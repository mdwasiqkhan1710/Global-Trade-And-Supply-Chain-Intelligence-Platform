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global-trade-supply-chain-intelligence\excel\"/>
    </mc:Choice>
  </mc:AlternateContent>
  <xr:revisionPtr revIDLastSave="0" documentId="13_ncr:1_{1795D5F4-B387-4318-BF44-F0BC55518666}" xr6:coauthVersionLast="47" xr6:coauthVersionMax="47" xr10:uidLastSave="{00000000-0000-0000-0000-000000000000}"/>
  <bookViews>
    <workbookView xWindow="-108" yWindow="-108" windowWidth="23256" windowHeight="12456" firstSheet="1" activeTab="4" xr2:uid="{3208DD6A-3801-4010-81A1-C201708AD4D4}"/>
  </bookViews>
  <sheets>
    <sheet name="SQL_Data_Import" sheetId="2" r:id="rId1"/>
    <sheet name="Assumptions" sheetId="3" r:id="rId2"/>
    <sheet name="Scenario_Model" sheetId="6" r:id="rId3"/>
    <sheet name="Sensitivity_Analysis" sheetId="8" r:id="rId4"/>
    <sheet name="Dashboard" sheetId="10" r:id="rId5"/>
    <sheet name="Hidden Sheet" sheetId="4" state="hidden" r:id="rId6"/>
  </sheets>
  <definedNames>
    <definedName name="ExternalData_1" localSheetId="0" hidden="1">SQL_Data_Import!$A$1:$N$1630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6" l="1"/>
  <c r="D12" i="8"/>
  <c r="D11" i="8"/>
  <c r="D10" i="8"/>
  <c r="D9" i="8"/>
  <c r="E21" i="6"/>
  <c r="E25" i="6"/>
  <c r="E24" i="6"/>
  <c r="E23" i="6"/>
  <c r="E22" i="6"/>
  <c r="E20" i="6"/>
  <c r="E19" i="6"/>
  <c r="C33" i="6" s="1"/>
  <c r="E18" i="6"/>
  <c r="D12" i="6"/>
  <c r="D11" i="6"/>
  <c r="D10" i="6"/>
  <c r="L16" i="3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C11" i="3"/>
  <c r="C32" i="6" l="1"/>
  <c r="C34" i="6"/>
  <c r="A55" i="6" s="1"/>
  <c r="C31" i="3"/>
  <c r="C30" i="3"/>
  <c r="C29" i="3"/>
  <c r="C28" i="3"/>
  <c r="C27" i="3"/>
  <c r="C26" i="3"/>
  <c r="C25" i="3"/>
  <c r="C24" i="3"/>
  <c r="E46" i="8" l="1"/>
  <c r="C46" i="8" s="1"/>
  <c r="E47" i="8"/>
  <c r="C47" i="8" s="1"/>
  <c r="E48" i="8"/>
  <c r="C48" i="8" s="1"/>
  <c r="E49" i="8"/>
  <c r="C49" i="8" s="1"/>
  <c r="E45" i="8"/>
  <c r="C45" i="8" s="1"/>
  <c r="C35" i="8"/>
  <c r="C36" i="8"/>
  <c r="C37" i="8"/>
  <c r="C38" i="8"/>
  <c r="C34" i="8"/>
  <c r="G34" i="8" s="1"/>
  <c r="C23" i="8"/>
  <c r="C24" i="8"/>
  <c r="C25" i="8"/>
  <c r="C26" i="8"/>
  <c r="C22" i="8"/>
  <c r="I31" i="3"/>
  <c r="I25" i="6" s="1"/>
  <c r="C48" i="6" s="1"/>
  <c r="C25" i="6"/>
  <c r="I30" i="3"/>
  <c r="I24" i="6" s="1"/>
  <c r="C47" i="6" s="1"/>
  <c r="C24" i="6"/>
  <c r="C59" i="8" s="1"/>
  <c r="I29" i="3"/>
  <c r="I23" i="6" s="1"/>
  <c r="C46" i="6" s="1"/>
  <c r="C23" i="6"/>
  <c r="I28" i="3"/>
  <c r="I22" i="6" s="1"/>
  <c r="C45" i="6" s="1"/>
  <c r="C22" i="6"/>
  <c r="G22" i="6" s="1"/>
  <c r="I27" i="3"/>
  <c r="I21" i="6" s="1"/>
  <c r="C44" i="6" s="1"/>
  <c r="C21" i="6"/>
  <c r="G21" i="6" s="1"/>
  <c r="I26" i="3"/>
  <c r="I20" i="6" s="1"/>
  <c r="C43" i="6" s="1"/>
  <c r="C20" i="6"/>
  <c r="I25" i="3"/>
  <c r="I19" i="6" s="1"/>
  <c r="C42" i="6" s="1"/>
  <c r="C19" i="6"/>
  <c r="C57" i="8" s="1"/>
  <c r="I24" i="3"/>
  <c r="I18" i="6" s="1"/>
  <c r="C18" i="6"/>
  <c r="C56" i="8" s="1"/>
  <c r="G58" i="8" l="1"/>
  <c r="E58" i="8"/>
  <c r="E34" i="8"/>
  <c r="G57" i="8"/>
  <c r="E57" i="8"/>
  <c r="H57" i="8" s="1"/>
  <c r="E56" i="8"/>
  <c r="G56" i="8"/>
  <c r="G25" i="6"/>
  <c r="C60" i="8"/>
  <c r="G23" i="6"/>
  <c r="C58" i="8"/>
  <c r="E38" i="8"/>
  <c r="G38" i="8"/>
  <c r="D16" i="8"/>
  <c r="D15" i="8"/>
  <c r="D14" i="8"/>
  <c r="G49" i="8"/>
  <c r="G47" i="8"/>
  <c r="G48" i="8"/>
  <c r="G45" i="8"/>
  <c r="E37" i="8"/>
  <c r="G37" i="8"/>
  <c r="E36" i="8"/>
  <c r="G36" i="8"/>
  <c r="E35" i="8"/>
  <c r="G35" i="8"/>
  <c r="G23" i="8"/>
  <c r="E23" i="8"/>
  <c r="E24" i="8"/>
  <c r="G24" i="8"/>
  <c r="E25" i="8"/>
  <c r="G25" i="8"/>
  <c r="E26" i="8"/>
  <c r="G26" i="8"/>
  <c r="G22" i="8"/>
  <c r="E22" i="8"/>
  <c r="G46" i="8"/>
  <c r="G20" i="6"/>
  <c r="G19" i="6"/>
  <c r="G18" i="6"/>
  <c r="A53" i="6"/>
  <c r="C41" i="6"/>
  <c r="G24" i="6"/>
  <c r="A57" i="6"/>
  <c r="J57" i="8" l="1"/>
  <c r="G60" i="8"/>
  <c r="E60" i="8"/>
  <c r="H56" i="8"/>
  <c r="G59" i="8"/>
  <c r="E59" i="8"/>
  <c r="J56" i="8" l="1"/>
  <c r="H58" i="8"/>
  <c r="H60" i="8"/>
  <c r="H59" i="8"/>
  <c r="J58" i="8" l="1"/>
  <c r="J60" i="8"/>
  <c r="J59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15C60F-67CB-4BBD-AE3A-6D8B8BC2D6A8}" keepAlive="1" name="Query - vw_scenario_analysis_dataset" description="Connection to the 'vw_scenario_analysis_dataset' query in the workbook." type="5" refreshedVersion="8" background="1" saveData="1">
    <dbPr connection="Provider=Microsoft.Mashup.OleDb.1;Data Source=$Workbook$;Location=vw_scenario_analysis_dataset;Extended Properties=&quot;&quot;" command="SELECT * FROM [vw_scenario_analysis_dataset]"/>
  </connection>
</connections>
</file>

<file path=xl/sharedStrings.xml><?xml version="1.0" encoding="utf-8"?>
<sst xmlns="http://schemas.openxmlformats.org/spreadsheetml/2006/main" count="3585" uniqueCount="459">
  <si>
    <t>reporter_iso3</t>
  </si>
  <si>
    <t>reporter_name</t>
  </si>
  <si>
    <t>reference_year</t>
  </si>
  <si>
    <t>total_exports_usd</t>
  </si>
  <si>
    <t>gdp_current_usd</t>
  </si>
  <si>
    <t>population_total</t>
  </si>
  <si>
    <t>gdp_growth_annual_pct</t>
  </si>
  <si>
    <t>trade_pct_of_gdp</t>
  </si>
  <si>
    <t>export_per_capita</t>
  </si>
  <si>
    <t>gdp_per_capita</t>
  </si>
  <si>
    <t>export_to_gdp_ratio_pct</t>
  </si>
  <si>
    <t>global_export_rank</t>
  </si>
  <si>
    <t>previous_year_exports</t>
  </si>
  <si>
    <t>yoy_export_growth_pct</t>
  </si>
  <si>
    <t>ABW</t>
  </si>
  <si>
    <t>Aruba</t>
  </si>
  <si>
    <t>AFG</t>
  </si>
  <si>
    <t>Afghanistan</t>
  </si>
  <si>
    <t>AGO</t>
  </si>
  <si>
    <t>Angola</t>
  </si>
  <si>
    <t>ALB</t>
  </si>
  <si>
    <t>Albania</t>
  </si>
  <si>
    <t>AND</t>
  </si>
  <si>
    <t>Andorra</t>
  </si>
  <si>
    <t>ARE</t>
  </si>
  <si>
    <t>United Arab Emirates</t>
  </si>
  <si>
    <t>ARG</t>
  </si>
  <si>
    <t>Argentina</t>
  </si>
  <si>
    <t>ARM</t>
  </si>
  <si>
    <t>Armenia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</si>
  <si>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</si>
  <si>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</si>
  <si>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</si>
  <si>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</si>
  <si>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</si>
  <si>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</si>
  <si>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</si>
  <si>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</si>
  <si>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</si>
  <si>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</si>
  <si>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</si>
  <si>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</si>
  <si>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</si>
  <si>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</si>
  <si>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</si>
  <si>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</si>
  <si>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</si>
  <si>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</si>
  <si>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</si>
  <si>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</si>
  <si>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</si>
  <si>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</si>
  <si>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</si>
  <si>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</si>
  <si>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</si>
  <si>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Herzegovina</t>
  </si>
  <si>
    <t>BLR</t>
  </si>
  <si>
    <t>Belarus</t>
  </si>
  <si>
    <t>BLZ</t>
  </si>
  <si>
    <t>Belize</t>
  </si>
  <si>
    <t>BMU</t>
  </si>
  <si>
    <t>Bermuda</t>
  </si>
  <si>
    <t>BOL</t>
  </si>
  <si>
    <t>Bolivia (Plurinational State of)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</si>
  <si>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</si>
  <si>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</si>
  <si>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</si>
  <si>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</si>
  <si>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</si>
  <si>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</si>
  <si>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</si>
  <si>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</si>
  <si>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</si>
  <si>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</si>
  <si>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</si>
  <si>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Rep.</t>
  </si>
  <si>
    <t>CAN</t>
  </si>
  <si>
    <t>Canada</t>
  </si>
  <si>
    <t>CHL</t>
  </si>
  <si>
    <t>Chile</t>
  </si>
  <si>
    <t>CHN</t>
  </si>
  <si>
    <t>China</t>
  </si>
  <si>
    <t>CMR</t>
  </si>
  <si>
    <t>Cameroon</t>
  </si>
  <si>
    <t>COD</t>
  </si>
  <si>
    <t>Dem. Rep. of the Congo</t>
  </si>
  <si>
    <t>COG</t>
  </si>
  <si>
    <t>Congo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</si>
  <si>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</si>
  <si>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</si>
  <si>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</si>
  <si>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</si>
  <si>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</si>
  <si>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</si>
  <si>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</si>
  <si>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</si>
  <si>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</si>
  <si>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</si>
  <si>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CUW</t>
  </si>
  <si>
    <t>Curaçao</t>
  </si>
  <si>
    <t>CYM</t>
  </si>
  <si>
    <t>Cayman Isds</t>
  </si>
  <si>
    <t>CYP</t>
  </si>
  <si>
    <t>Cyprus</t>
  </si>
  <si>
    <t>CZE</t>
  </si>
  <si>
    <t>Czechia</t>
  </si>
  <si>
    <t>DJI</t>
  </si>
  <si>
    <t>Djibouti</t>
  </si>
  <si>
    <t>DMA</t>
  </si>
  <si>
    <t>Dominica</t>
  </si>
  <si>
    <t>DNK</t>
  </si>
  <si>
    <t>Denmark</t>
  </si>
  <si>
    <t>DOM</t>
  </si>
  <si>
    <t>Dominican Rep.</t>
  </si>
  <si>
    <t>DZA</t>
  </si>
  <si>
    <t>Algeria</t>
  </si>
  <si>
    <t>ECU</t>
  </si>
  <si>
    <t>Ecuador</t>
  </si>
  <si>
    <t>EGY</t>
  </si>
  <si>
    <t>Egypt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</si>
  <si>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</si>
  <si>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</si>
  <si>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</si>
  <si>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</si>
  <si>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</si>
  <si>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</si>
  <si>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</si>
  <si>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</si>
  <si>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</si>
  <si>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</si>
  <si>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</si>
  <si>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</si>
  <si>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</si>
  <si>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</si>
  <si>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</si>
  <si>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</si>
  <si>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</si>
  <si>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</si>
  <si>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</si>
  <si>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</si>
  <si>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</si>
  <si>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</si>
  <si>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GMB</t>
  </si>
  <si>
    <t>Gambia</t>
  </si>
  <si>
    <t>GNB</t>
  </si>
  <si>
    <t>Guinea-Bissau</t>
  </si>
  <si>
    <t>GRC</t>
  </si>
  <si>
    <t>Greece</t>
  </si>
  <si>
    <t>GRD</t>
  </si>
  <si>
    <t>Grenada</t>
  </si>
  <si>
    <t>GRL</t>
  </si>
  <si>
    <t>Greenland</t>
  </si>
  <si>
    <t>GTM</t>
  </si>
  <si>
    <t>Guatemala</t>
  </si>
  <si>
    <t>GUY</t>
  </si>
  <si>
    <t>Guyana</t>
  </si>
  <si>
    <t>HKG</t>
  </si>
  <si>
    <t>China, Hong Kong SAR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</si>
  <si>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</si>
  <si>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</si>
  <si>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</si>
  <si>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</si>
  <si>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</si>
  <si>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</si>
  <si>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</si>
  <si>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</si>
  <si>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</si>
  <si>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</si>
  <si>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</si>
  <si>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</si>
  <si>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</si>
  <si>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</si>
  <si>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</si>
  <si>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</si>
  <si>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</si>
  <si>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</si>
  <si>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</si>
  <si>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</si>
  <si>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</si>
  <si>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</si>
  <si>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</si>
  <si>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</si>
  <si>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</si>
  <si>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</si>
  <si>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</si>
  <si>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</si>
  <si>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</si>
  <si>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</si>
  <si>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</si>
  <si>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</si>
  <si>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</si>
  <si>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</si>
  <si>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</si>
  <si>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</si>
  <si>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</si>
  <si>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</si>
  <si>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</si>
  <si>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</si>
  <si>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KNA</t>
  </si>
  <si>
    <t>Saint Kitts and Nevis</t>
  </si>
  <si>
    <t>KOR</t>
  </si>
  <si>
    <t>Rep. of Korea</t>
  </si>
  <si>
    <t>KWT</t>
  </si>
  <si>
    <t>Kuwait</t>
  </si>
  <si>
    <t>LAO</t>
  </si>
  <si>
    <t>Lao People's Dem. Rep.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</si>
  <si>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</si>
  <si>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</si>
  <si>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</si>
  <si>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</si>
  <si>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</si>
  <si>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</si>
  <si>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</si>
  <si>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</si>
  <si>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</si>
  <si>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</si>
  <si>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</si>
  <si>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</si>
  <si>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</si>
  <si>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</si>
  <si>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</si>
  <si>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</si>
  <si>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</si>
  <si>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</si>
  <si>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</si>
  <si>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China, Macao SAR</t>
  </si>
  <si>
    <t>MAR</t>
  </si>
  <si>
    <t>Morocco</t>
  </si>
  <si>
    <t>MDA</t>
  </si>
  <si>
    <t>Rep. of Moldova</t>
  </si>
  <si>
    <t>MDG</t>
  </si>
  <si>
    <t>Madagascar</t>
  </si>
  <si>
    <t>MDV</t>
  </si>
  <si>
    <t>Maldives</t>
  </si>
  <si>
    <t>MEX</t>
  </si>
  <si>
    <t>Mexico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</si>
  <si>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</si>
  <si>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</si>
  <si>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</si>
  <si>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</si>
  <si>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</si>
  <si>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</si>
  <si>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</si>
  <si>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</si>
  <si>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</si>
  <si>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</si>
  <si>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</si>
  <si>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</si>
  <si>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</si>
  <si>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</si>
  <si>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</si>
  <si>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</si>
  <si>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MSR</t>
  </si>
  <si>
    <t>Montserrat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</si>
  <si>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</si>
  <si>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</si>
  <si>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</si>
  <si>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</si>
  <si>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</si>
  <si>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</si>
  <si>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</si>
  <si>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</si>
  <si>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NCL</t>
  </si>
  <si>
    <t>New Caledonia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</si>
  <si>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</si>
  <si>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</si>
  <si>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</si>
  <si>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</si>
  <si>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</si>
  <si>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</si>
  <si>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</si>
  <si>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</si>
  <si>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NPL</t>
  </si>
  <si>
    <t>Nepal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</si>
  <si>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</si>
  <si>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</si>
  <si>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</si>
  <si>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</si>
  <si>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</si>
  <si>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</si>
  <si>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</si>
  <si>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</si>
  <si>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</si>
  <si>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</si>
  <si>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</si>
  <si>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</si>
  <si>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</si>
  <si>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</si>
  <si>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</si>
  <si>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</si>
  <si>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</si>
  <si>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</si>
  <si>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PRT</t>
  </si>
  <si>
    <t>Portugal</t>
  </si>
  <si>
    <t>PRY</t>
  </si>
  <si>
    <t>Paraguay</t>
  </si>
  <si>
    <t>PSE</t>
  </si>
  <si>
    <t>State of Palestine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</si>
  <si>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</si>
  <si>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</si>
  <si>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</si>
  <si>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</si>
  <si>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</si>
  <si>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</si>
  <si>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</si>
  <si>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</si>
  <si>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</si>
  <si>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</si>
  <si>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</si>
  <si>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</si>
  <si>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</si>
  <si>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</si>
  <si>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</si>
  <si>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</si>
  <si>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</si>
  <si>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Isds</t>
  </si>
  <si>
    <t>SLE</t>
  </si>
  <si>
    <t>Sierra Leone</t>
  </si>
  <si>
    <t>SLV</t>
  </si>
  <si>
    <t>El Salvador</t>
  </si>
  <si>
    <t>SRB</t>
  </si>
  <si>
    <t>Serbia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</si>
  <si>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</si>
  <si>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</si>
  <si>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</si>
  <si>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</si>
  <si>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</si>
  <si>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</si>
  <si>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</si>
  <si>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</si>
  <si>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</si>
  <si>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</si>
  <si>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</si>
  <si>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</t>
  </si>
  <si>
    <t>SYC</t>
  </si>
  <si>
    <t>Seychelles</t>
  </si>
  <si>
    <t>TGO</t>
  </si>
  <si>
    <t>Togo</t>
  </si>
  <si>
    <t>THA</t>
  </si>
  <si>
    <t>Thailand</t>
  </si>
  <si>
    <t>TJK</t>
  </si>
  <si>
    <t>Tajikistan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</si>
  <si>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</si>
  <si>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</si>
  <si>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</si>
  <si>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</si>
  <si>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</si>
  <si>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</si>
  <si>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</si>
  <si>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</si>
  <si>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</si>
  <si>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</si>
  <si>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TZA</t>
  </si>
  <si>
    <t>United Rep. of Tanzania</t>
  </si>
  <si>
    <t>UGA</t>
  </si>
  <si>
    <t>Uganda</t>
  </si>
  <si>
    <t>UKR</t>
  </si>
  <si>
    <t>Ukraine</t>
  </si>
  <si>
    <t>URY</t>
  </si>
  <si>
    <t>Uruguay</t>
  </si>
  <si>
    <t>USA</t>
  </si>
  <si>
    <t>UZB</t>
  </si>
  <si>
    <t>Uzbekistan</t>
  </si>
  <si>
    <t>VCT</t>
  </si>
  <si>
    <t>Saint Vincent and the Grenadines</t>
  </si>
  <si>
    <t>VNM</t>
  </si>
  <si>
    <t>Viet Nam</t>
  </si>
  <si>
    <t>WSM</t>
  </si>
  <si>
    <t>Samoa</t>
  </si>
  <si>
    <t>YEM</t>
  </si>
  <si>
    <t>Yemen</t>
  </si>
  <si>
    <t>ZAF</t>
  </si>
  <si>
    <t>South Africa</t>
  </si>
  <si>
    <t>ZMB</t>
  </si>
  <si>
    <t>Zambia</t>
  </si>
  <si>
    <t>ZWE</t>
  </si>
  <si>
    <t>Zimbabwe</t>
  </si>
  <si>
    <t>Global Trade &amp; Supply Chain Intelligence Platform
Scenario Analysis Model</t>
  </si>
  <si>
    <t>Scenario Information</t>
  </si>
  <si>
    <t xml:space="preserve">Scenario Name </t>
  </si>
  <si>
    <t>Created by</t>
  </si>
  <si>
    <t>Date</t>
  </si>
  <si>
    <t>High Exports Growth</t>
  </si>
  <si>
    <t>Mohammad Wasiq Khan</t>
  </si>
  <si>
    <t>Selected Year</t>
  </si>
  <si>
    <t>Selected Country</t>
  </si>
  <si>
    <t>Select Country</t>
  </si>
  <si>
    <t>Select Year</t>
  </si>
  <si>
    <t>Country &amp; Year Selection Dropdown</t>
  </si>
  <si>
    <t>Business Assumptions</t>
  </si>
  <si>
    <t>Variable</t>
  </si>
  <si>
    <t>Current Value</t>
  </si>
  <si>
    <t>Scenario Value</t>
  </si>
  <si>
    <t>Change %</t>
  </si>
  <si>
    <t>Total Exports</t>
  </si>
  <si>
    <t>GDP</t>
  </si>
  <si>
    <t>Population</t>
  </si>
  <si>
    <t>Export per Capita</t>
  </si>
  <si>
    <t>GDP per Capita</t>
  </si>
  <si>
    <t>lookup_key</t>
  </si>
  <si>
    <t>LookUp Key</t>
  </si>
  <si>
    <t>GDP Growth %</t>
  </si>
  <si>
    <t>Trade % Of GDP</t>
  </si>
  <si>
    <t>Export to GDP Ratio %</t>
  </si>
  <si>
    <t>Unit</t>
  </si>
  <si>
    <t>Billion USD</t>
  </si>
  <si>
    <t>Billion People</t>
  </si>
  <si>
    <t>%</t>
  </si>
  <si>
    <t>USD</t>
  </si>
  <si>
    <t>Instructions</t>
  </si>
  <si>
    <t>1. Select a country.</t>
  </si>
  <si>
    <t>2. Select a year.</t>
  </si>
  <si>
    <t>3. Enter Scenario Values only.</t>
  </si>
  <si>
    <t>4. Do not edit Current Values.</t>
  </si>
  <si>
    <t>5. Dashboard updates automatically.</t>
  </si>
  <si>
    <t>6. Scenario calculations are performed in the Scenario_Model sheet.</t>
  </si>
  <si>
    <t>Global Trade &amp; Supply Chain Intelligence Platform
Bussiness Assumptions</t>
  </si>
  <si>
    <t>Scenario Information Section</t>
  </si>
  <si>
    <t>Scenario Name</t>
  </si>
  <si>
    <t>Year</t>
  </si>
  <si>
    <t>Created Date</t>
  </si>
  <si>
    <t>Country</t>
  </si>
  <si>
    <t>Current VS Scenario Comparison</t>
  </si>
  <si>
    <t>KPI</t>
  </si>
  <si>
    <t>Current</t>
  </si>
  <si>
    <t>Scenario</t>
  </si>
  <si>
    <t>Difference</t>
  </si>
  <si>
    <t>Change%</t>
  </si>
  <si>
    <t>Trade% of GDP</t>
  </si>
  <si>
    <t>Exports per Capita</t>
  </si>
  <si>
    <t>Exports/GDP Ratio%</t>
  </si>
  <si>
    <t>GDP Growth%</t>
  </si>
  <si>
    <t>Projected Business KPI's</t>
  </si>
  <si>
    <t>Projected GDP per Capita</t>
  </si>
  <si>
    <t>Projected Exports per Capita</t>
  </si>
  <si>
    <t>Projected Export/GDP Ratio</t>
  </si>
  <si>
    <t>Projected Values</t>
  </si>
  <si>
    <t>Performance Indicators</t>
  </si>
  <si>
    <t>Status</t>
  </si>
  <si>
    <t>Key Insights</t>
  </si>
  <si>
    <t>Global Trade &amp; Supply Chain Intelligence Platform
Sensitivity Analysis Model</t>
  </si>
  <si>
    <t>Exports Sensitivity Analysis</t>
  </si>
  <si>
    <t>Export Change %</t>
  </si>
  <si>
    <t>Projected Exports</t>
  </si>
  <si>
    <t>Export/GDP Ratio</t>
  </si>
  <si>
    <t>GDP Sensitivity Analysis</t>
  </si>
  <si>
    <t>GDP Change %</t>
  </si>
  <si>
    <t>Population Sensitivity Analysis</t>
  </si>
  <si>
    <t>Population Change %</t>
  </si>
  <si>
    <t>Population in Billions</t>
  </si>
  <si>
    <t>Current Exports</t>
  </si>
  <si>
    <t>Current GDP</t>
  </si>
  <si>
    <t>Current Population</t>
  </si>
  <si>
    <t>Country Performance Summary</t>
  </si>
  <si>
    <t>Best Scenario</t>
  </si>
  <si>
    <t>Exports</t>
  </si>
  <si>
    <t>Worst Scenario</t>
  </si>
  <si>
    <t>Business Impact</t>
  </si>
  <si>
    <t>MaximumChange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</si>
</sst>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.00\%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2" fillId="0" borderId="2" xfId="0" applyFont="1" applyBorder="1"/>
    <xf numFmtId="0" fontId="7" fillId="0" borderId="0" xfId="0" applyFont="1" applyAlignment="1">
      <alignment horizontal="left" vertical="center"/>
    </xf>
    <xf numFmtId="0" fontId="0" fillId="0" borderId="0" xfId="0" applyProtection="1">
      <protection locked="0"/>
    </xf>
    <xf numFmtId="0" fontId="8" fillId="3" borderId="9" xfId="0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/>
      <protection locked="0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/>
    <xf numFmtId="0" fontId="3" fillId="5" borderId="0" xfId="0" applyFont="1" applyFill="1"/>
    <xf numFmtId="4" fontId="4" fillId="0" borderId="7" xfId="0" applyNumberFormat="1" applyFont="1" applyBorder="1" applyAlignment="1">
      <alignment horizontal="center" vertical="center"/>
    </xf>
    <xf numFmtId="0" fontId="12" fillId="6" borderId="0" xfId="0" applyFont="1" applyFill="1" applyAlignment="1">
      <alignment vertical="center"/>
    </xf>
    <xf numFmtId="10" fontId="4" fillId="0" borderId="7" xfId="1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7" fillId="4" borderId="7" xfId="0" applyFont="1" applyFill="1" applyBorder="1" applyAlignment="1" applyProtection="1">
      <alignment horizontal="center" vertical="center"/>
      <protection locked="0"/>
    </xf>
    <xf numFmtId="0" fontId="7" fillId="4" borderId="1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" fontId="0" fillId="0" borderId="7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8" fillId="3" borderId="8" xfId="0" applyFont="1" applyFill="1" applyBorder="1" applyAlignment="1" applyProtection="1">
      <alignment horizontal="center" vertical="center"/>
      <protection locked="0"/>
    </xf>
    <xf numFmtId="0" fontId="8" fillId="3" borderId="9" xfId="0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0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 applyProtection="1">
      <alignment horizontal="center" vertical="center"/>
      <protection locked="0"/>
    </xf>
    <xf numFmtId="10" fontId="0" fillId="0" borderId="7" xfId="0" applyNumberFormat="1" applyBorder="1" applyAlignment="1">
      <alignment horizontal="center" vertical="center"/>
    </xf>
    <xf numFmtId="4" fontId="0" fillId="0" borderId="0" xfId="0" applyNumberForma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0" fontId="4" fillId="0" borderId="7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10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3" borderId="10" xfId="0" applyFont="1" applyFill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4" fontId="4" fillId="0" borderId="7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4" fontId="4" fillId="0" borderId="1" xfId="0" applyNumberFormat="1" applyFont="1" applyBorder="1" applyAlignment="1">
      <alignment horizontal="center"/>
    </xf>
    <xf numFmtId="4" fontId="4" fillId="0" borderId="7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0" fontId="4" fillId="0" borderId="1" xfId="1" applyNumberFormat="1" applyFont="1" applyBorder="1" applyAlignment="1">
      <alignment horizontal="center" vertical="center"/>
    </xf>
    <xf numFmtId="2" fontId="11" fillId="0" borderId="7" xfId="0" applyNumberFormat="1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9" fontId="7" fillId="4" borderId="7" xfId="0" applyNumberFormat="1" applyFont="1" applyFill="1" applyBorder="1" applyAlignment="1" applyProtection="1">
      <alignment horizontal="center" vertical="center"/>
      <protection locked="0"/>
    </xf>
    <xf numFmtId="9" fontId="7" fillId="4" borderId="1" xfId="0" applyNumberFormat="1" applyFont="1" applyFill="1" applyBorder="1" applyAlignment="1" applyProtection="1">
      <alignment horizontal="center" vertical="center"/>
      <protection locked="0"/>
    </xf>
    <xf numFmtId="10" fontId="4" fillId="0" borderId="7" xfId="1" applyNumberFormat="1" applyFont="1" applyBorder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10" fontId="0" fillId="0" borderId="7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40"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rgb="FF00B0F0"/>
        </patternFill>
      </fill>
    </dxf>
    <dxf>
      <font>
        <color theme="4" tint="-0.24994659260841701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2" tint="-0.749961851863155"/>
      </font>
      <fill>
        <patternFill>
          <bgColor theme="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 val="0"/>
        <i val="0"/>
      </font>
      <fill>
        <patternFill>
          <bgColor rgb="FFFFC000"/>
        </patternFill>
      </fill>
      <border>
        <left/>
        <vertical/>
        <horizontal/>
      </border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2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</dxf>
  </dxfs>
  <tableStyles count="0" defaultTableStyle="TableStyleMedium2" defaultPivotStyle="PivotStyleLight16"/>
  <colors>
    <mruColors>
      <color rgb="FF88D8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IN" sz="16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Export Sensitivity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IN" sz="16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541996861134252E-2"/>
          <c:y val="0.14416204134754548"/>
          <c:w val="0.90831535912886785"/>
          <c:h val="0.78024447496796567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Sensitivity_Analysis!$A$21:$A$26</c:f>
              <c:numCache>
                <c:formatCode>0%</c:formatCode>
                <c:ptCount val="6"/>
                <c:pt idx="0" formatCode="General">
                  <c:v>0</c:v>
                </c:pt>
                <c:pt idx="1">
                  <c:v>-0.1</c:v>
                </c:pt>
                <c:pt idx="2">
                  <c:v>-0.05</c:v>
                </c:pt>
                <c:pt idx="3">
                  <c:v>0</c:v>
                </c:pt>
                <c:pt idx="4">
                  <c:v>0.05</c:v>
                </c:pt>
                <c:pt idx="5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8F-45C5-9D96-E7AD5C51BB2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Sensitivity_Analysis!$B$21:$B$26</c:f>
              <c:numCache>
                <c:formatCode>General</c:formatCode>
                <c:ptCount val="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08F-45C5-9D96-E7AD5C51BB27}"/>
            </c:ext>
          </c:extLst>
        </c:ser>
        <c:ser>
          <c:idx val="2"/>
          <c:order val="2"/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dLbls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       </a:t>
                    </a:r>
                    <a:fld id="{8DAC53B7-A853-4141-8061-A7A027C046AE}" type="YVALUE">
                      <a:rPr lang="en-US"/>
                      <a:pPr/>
                      <a:t>[Y VALUE]</a:t>
                    </a:fld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B2E4-4D55-85CB-162EC9131A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Sensitivity_Analysis!$C$21:$C$26</c:f>
              <c:numCache>
                <c:formatCode>#,##0.00</c:formatCode>
                <c:ptCount val="6"/>
                <c:pt idx="0" formatCode="General">
                  <c:v>0</c:v>
                </c:pt>
                <c:pt idx="1">
                  <c:v>4074.0669077418002</c:v>
                </c:pt>
                <c:pt idx="2">
                  <c:v>4300.4039581718998</c:v>
                </c:pt>
                <c:pt idx="3">
                  <c:v>4526.741008602</c:v>
                </c:pt>
                <c:pt idx="4">
                  <c:v>4753.0780590321001</c:v>
                </c:pt>
                <c:pt idx="5">
                  <c:v>4979.4151094622002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08F-45C5-9D96-E7AD5C51BB27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Sensitivity_Analysis!$D$21:$D$26</c:f>
              <c:numCache>
                <c:formatCode>#,##0.00</c:formatCode>
                <c:ptCount val="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08F-45C5-9D96-E7AD5C51BB2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961321056"/>
        <c:axId val="961374336"/>
      </c:scatterChart>
      <c:valAx>
        <c:axId val="961321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/>
                  <a:t>Export Change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noFill/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374336"/>
        <c:crosses val="autoZero"/>
        <c:crossBetween val="midCat"/>
      </c:valAx>
      <c:valAx>
        <c:axId val="96137433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/>
                  <a:t>Projected Exports in Billion USD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ln>
                  <a:noFill/>
                </a:ln>
                <a:noFill/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321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rotWithShape="1">
      <a:gsLst>
        <a:gs pos="0">
          <a:schemeClr val="accent2">
            <a:lumMod val="110000"/>
            <a:satMod val="105000"/>
            <a:tint val="67000"/>
          </a:schemeClr>
        </a:gs>
        <a:gs pos="50000">
          <a:schemeClr val="accent2">
            <a:lumMod val="105000"/>
            <a:satMod val="103000"/>
            <a:tint val="73000"/>
          </a:schemeClr>
        </a:gs>
        <a:gs pos="100000">
          <a:schemeClr val="accent2">
            <a:lumMod val="105000"/>
            <a:satMod val="109000"/>
            <a:tint val="81000"/>
          </a:schemeClr>
        </a:gs>
      </a:gsLst>
      <a:lin ang="5400000" scaled="0"/>
    </a:gradFill>
    <a:ln w="63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6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600" b="1"/>
              <a:t>GDP Sensitivity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6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389727346127571E-2"/>
          <c:y val="2.9050058304181243E-2"/>
          <c:w val="0.90856344326439353"/>
          <c:h val="0.8808383308345827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Sensitivity_Analysis!$A$33:$A$38</c:f>
              <c:numCache>
                <c:formatCode>0%</c:formatCode>
                <c:ptCount val="6"/>
                <c:pt idx="0" formatCode="General">
                  <c:v>0</c:v>
                </c:pt>
                <c:pt idx="1">
                  <c:v>-0.1</c:v>
                </c:pt>
                <c:pt idx="2">
                  <c:v>-0.05</c:v>
                </c:pt>
                <c:pt idx="3">
                  <c:v>0</c:v>
                </c:pt>
                <c:pt idx="4">
                  <c:v>0.05</c:v>
                </c:pt>
                <c:pt idx="5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5F-4C7B-81F4-78BAFC4DF99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Sensitivity_Analysis!$B$33:$B$38</c:f>
              <c:numCache>
                <c:formatCode>General</c:formatCode>
                <c:ptCount val="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55F-4C7B-81F4-78BAFC4DF999}"/>
            </c:ext>
          </c:extLst>
        </c:ser>
        <c:ser>
          <c:idx val="2"/>
          <c:order val="2"/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dLbls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            </a:t>
                    </a:r>
                    <a:fld id="{EB23261E-14BA-4BA9-898E-7E5208BB08FE}" type="YVALUE">
                      <a:rPr lang="en-US"/>
                      <a:pPr/>
                      <a:t>[Y VALUE]</a:t>
                    </a:fld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C55F-4C7B-81F4-78BAFC4DF9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Sensitivity_Analysis!$C$33:$C$38</c:f>
              <c:numCache>
                <c:formatCode>#,##0.00</c:formatCode>
                <c:ptCount val="6"/>
                <c:pt idx="0" formatCode="General">
                  <c:v>0</c:v>
                </c:pt>
                <c:pt idx="1">
                  <c:v>11250</c:v>
                </c:pt>
                <c:pt idx="2">
                  <c:v>11875</c:v>
                </c:pt>
                <c:pt idx="3">
                  <c:v>12500</c:v>
                </c:pt>
                <c:pt idx="4">
                  <c:v>13125</c:v>
                </c:pt>
                <c:pt idx="5">
                  <c:v>13750.000000000002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55F-4C7B-81F4-78BAFC4DF999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Sensitivity_Analysis!$D$33:$D$38</c:f>
              <c:numCache>
                <c:formatCode>#,##0.00</c:formatCode>
                <c:ptCount val="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55F-4C7B-81F4-78BAFC4DF999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axId val="536353520"/>
        <c:axId val="536348928"/>
      </c:scatterChart>
      <c:valAx>
        <c:axId val="536353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/>
                  <a:t>GDP</a:t>
                </a:r>
                <a:r>
                  <a:rPr lang="en-IN" sz="1100" b="1" baseline="0"/>
                  <a:t> Change %</a:t>
                </a:r>
                <a:endParaRPr lang="en-IN" sz="11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noFill/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348928"/>
        <c:crosses val="autoZero"/>
        <c:crossBetween val="midCat"/>
      </c:valAx>
      <c:valAx>
        <c:axId val="5363489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/>
                  <a:t>GDP (Billion 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noFill/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353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rotWithShape="1">
      <a:gsLst>
        <a:gs pos="0">
          <a:schemeClr val="accent2">
            <a:lumMod val="110000"/>
            <a:satMod val="105000"/>
            <a:tint val="67000"/>
          </a:schemeClr>
        </a:gs>
        <a:gs pos="50000">
          <a:schemeClr val="accent2">
            <a:lumMod val="105000"/>
            <a:satMod val="103000"/>
            <a:tint val="73000"/>
          </a:schemeClr>
        </a:gs>
        <a:gs pos="100000">
          <a:schemeClr val="accent2">
            <a:lumMod val="105000"/>
            <a:satMod val="109000"/>
            <a:tint val="81000"/>
          </a:schemeClr>
        </a:gs>
      </a:gsLst>
      <a:lin ang="5400000" scaled="0"/>
    </a:gradFill>
    <a:ln w="63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600" b="1"/>
              <a:t>Population Impact on Exports per Capita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400203332469059E-2"/>
          <c:y val="0.19616983175079128"/>
          <c:w val="0.88683029926718437"/>
          <c:h val="0.63654755955355657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Sensitivity_Analysis!$A$44:$A$49</c:f>
              <c:numCache>
                <c:formatCode>0%</c:formatCode>
                <c:ptCount val="6"/>
                <c:pt idx="0" formatCode="General">
                  <c:v>0</c:v>
                </c:pt>
                <c:pt idx="1">
                  <c:v>-0.1</c:v>
                </c:pt>
                <c:pt idx="2">
                  <c:v>-0.05</c:v>
                </c:pt>
                <c:pt idx="3">
                  <c:v>0</c:v>
                </c:pt>
                <c:pt idx="4">
                  <c:v>0.05</c:v>
                </c:pt>
                <c:pt idx="5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76E-43A4-8CEA-F6C7F60339C4}"/>
            </c:ext>
          </c:extLst>
        </c:ser>
        <c:ser>
          <c:idx val="1"/>
          <c:order val="1"/>
          <c:spPr>
            <a:ln w="190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Sensitivity_Analysis!$B$44:$B$49</c:f>
              <c:numCache>
                <c:formatCode>General</c:formatCode>
                <c:ptCount val="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76E-43A4-8CEA-F6C7F60339C4}"/>
            </c:ext>
          </c:extLst>
        </c:ser>
        <c:ser>
          <c:idx val="2"/>
          <c:order val="2"/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>
                  <a:lumMod val="50000"/>
                </a:schemeClr>
              </a:solidFill>
              <a:ln w="1270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dLbls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      </a:t>
                    </a:r>
                    <a:fld id="{55BE0C36-E39A-43C8-961D-004B704B49C7}" type="YVALUE">
                      <a:rPr lang="en-US"/>
                      <a:pPr/>
                      <a:t>[Y VALUE]</a:t>
                    </a:fld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C-D76E-43A4-8CEA-F6C7F60339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Sensitivity_Analysis!$C$44:$C$49</c:f>
              <c:numCache>
                <c:formatCode>#,##0.00</c:formatCode>
                <c:ptCount val="6"/>
                <c:pt idx="0" formatCode="General">
                  <c:v>0</c:v>
                </c:pt>
                <c:pt idx="1">
                  <c:v>3602.3909152816723</c:v>
                </c:pt>
                <c:pt idx="2">
                  <c:v>3412.7913934247422</c:v>
                </c:pt>
                <c:pt idx="3">
                  <c:v>3242.1518237535051</c:v>
                </c:pt>
                <c:pt idx="4">
                  <c:v>3087.7636416700047</c:v>
                </c:pt>
                <c:pt idx="5">
                  <c:v>2947.4107488668228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76E-43A4-8CEA-F6C7F60339C4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Sensitivity_Analysis!$D$44:$D$49</c:f>
              <c:numCache>
                <c:formatCode>#,##0.00</c:formatCode>
                <c:ptCount val="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D76E-43A4-8CEA-F6C7F60339C4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axId val="931391312"/>
        <c:axId val="931390832"/>
      </c:scatterChart>
      <c:valAx>
        <c:axId val="931391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/>
                  <a:t>Population Change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noFill/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390832"/>
        <c:crosses val="autoZero"/>
        <c:crossBetween val="midCat"/>
      </c:valAx>
      <c:valAx>
        <c:axId val="9313908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/>
                  <a:t>Exports per Capita (USD)</a:t>
                </a:r>
              </a:p>
            </c:rich>
          </c:tx>
          <c:layout>
            <c:manualLayout>
              <c:xMode val="edge"/>
              <c:yMode val="edge"/>
              <c:x val="2.3830155979202773E-2"/>
              <c:y val="0.201253956355155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22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noFill/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391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rotWithShape="1">
      <a:gsLst>
        <a:gs pos="0">
          <a:schemeClr val="accent2">
            <a:lumMod val="110000"/>
            <a:satMod val="105000"/>
            <a:tint val="67000"/>
          </a:schemeClr>
        </a:gs>
        <a:gs pos="50000">
          <a:schemeClr val="accent2">
            <a:lumMod val="105000"/>
            <a:satMod val="103000"/>
            <a:tint val="73000"/>
          </a:schemeClr>
        </a:gs>
        <a:gs pos="100000">
          <a:schemeClr val="accent2">
            <a:lumMod val="105000"/>
            <a:satMod val="109000"/>
            <a:tint val="81000"/>
          </a:schemeClr>
        </a:gs>
      </a:gsLst>
      <a:lin ang="5400000" scaled="0"/>
    </a:gradFill>
    <a:ln w="63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800" b="1"/>
              <a:t>Current VS Scenario</a:t>
            </a:r>
          </a:p>
        </c:rich>
      </c:tx>
      <c:layout>
        <c:manualLayout>
          <c:xMode val="edge"/>
          <c:yMode val="edge"/>
          <c:x val="0.4326989470740437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1"/>
          <c:order val="1"/>
          <c:tx>
            <c:strRef>
              <c:f>Scenario_Model!$C$17</c:f>
              <c:strCache>
                <c:ptCount val="1"/>
                <c:pt idx="0">
                  <c:v>Current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Scenario_Model!$A$18:$A$25</c:f>
              <c:strCache>
                <c:ptCount val="8"/>
                <c:pt idx="0">
                  <c:v>Total Exports</c:v>
                </c:pt>
                <c:pt idx="1">
                  <c:v>GDP</c:v>
                </c:pt>
                <c:pt idx="2">
                  <c:v>Population</c:v>
                </c:pt>
                <c:pt idx="3">
                  <c:v>GDP Growth%</c:v>
                </c:pt>
                <c:pt idx="4">
                  <c:v>Trade% of GDP</c:v>
                </c:pt>
                <c:pt idx="5">
                  <c:v>Exports per Capita</c:v>
                </c:pt>
                <c:pt idx="6">
                  <c:v>GDP per Capita</c:v>
                </c:pt>
                <c:pt idx="7">
                  <c:v>Exports/GDP Ratio%</c:v>
                </c:pt>
              </c:strCache>
            </c:strRef>
          </c:cat>
          <c:val>
            <c:numRef>
              <c:f>Scenario_Model!$C$18:$C$25</c:f>
              <c:numCache>
                <c:formatCode>#,##0.00</c:formatCode>
                <c:ptCount val="8"/>
                <c:pt idx="0">
                  <c:v>4526.741008602</c:v>
                </c:pt>
                <c:pt idx="1">
                  <c:v>12500</c:v>
                </c:pt>
                <c:pt idx="2">
                  <c:v>1.396215</c:v>
                </c:pt>
                <c:pt idx="3">
                  <c:v>6.8912391660000001</c:v>
                </c:pt>
                <c:pt idx="4">
                  <c:v>36.950852619999999</c:v>
                </c:pt>
                <c:pt idx="5">
                  <c:v>3242.15</c:v>
                </c:pt>
                <c:pt idx="6">
                  <c:v>8952.7800000000007</c:v>
                </c:pt>
                <c:pt idx="7">
                  <c:v>36.21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E-43C7-8DF2-8C7818FD27FB}"/>
            </c:ext>
          </c:extLst>
        </c:ser>
        <c:ser>
          <c:idx val="3"/>
          <c:order val="3"/>
          <c:tx>
            <c:strRef>
              <c:f>Scenario_Model!$E$17</c:f>
              <c:strCache>
                <c:ptCount val="1"/>
                <c:pt idx="0">
                  <c:v>Scenario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Scenario_Model!$A$18:$A$25</c:f>
              <c:strCache>
                <c:ptCount val="8"/>
                <c:pt idx="0">
                  <c:v>Total Exports</c:v>
                </c:pt>
                <c:pt idx="1">
                  <c:v>GDP</c:v>
                </c:pt>
                <c:pt idx="2">
                  <c:v>Population</c:v>
                </c:pt>
                <c:pt idx="3">
                  <c:v>GDP Growth%</c:v>
                </c:pt>
                <c:pt idx="4">
                  <c:v>Trade% of GDP</c:v>
                </c:pt>
                <c:pt idx="5">
                  <c:v>Exports per Capita</c:v>
                </c:pt>
                <c:pt idx="6">
                  <c:v>GDP per Capita</c:v>
                </c:pt>
                <c:pt idx="7">
                  <c:v>Exports/GDP Ratio%</c:v>
                </c:pt>
              </c:strCache>
            </c:strRef>
          </c:cat>
          <c:val>
            <c:numRef>
              <c:f>Scenario_Model!$E$18:$E$25</c:f>
              <c:numCache>
                <c:formatCode>General</c:formatCode>
                <c:ptCount val="8"/>
                <c:pt idx="0">
                  <c:v>5000</c:v>
                </c:pt>
                <c:pt idx="1">
                  <c:v>13298.98</c:v>
                </c:pt>
                <c:pt idx="2">
                  <c:v>1.54</c:v>
                </c:pt>
                <c:pt idx="3">
                  <c:v>1.62</c:v>
                </c:pt>
                <c:pt idx="4">
                  <c:v>63.2</c:v>
                </c:pt>
                <c:pt idx="5">
                  <c:v>630.75</c:v>
                </c:pt>
                <c:pt idx="6">
                  <c:v>2787.98</c:v>
                </c:pt>
                <c:pt idx="7">
                  <c:v>31.5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0E-43C7-8DF2-8C7818FD2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668806272"/>
        <c:axId val="66880435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Scenario_Model!$B$17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Scenario_Model!$A$18:$A$25</c15:sqref>
                        </c15:formulaRef>
                      </c:ext>
                    </c:extLst>
                    <c:strCache>
                      <c:ptCount val="8"/>
                      <c:pt idx="0">
                        <c:v>Total Exports</c:v>
                      </c:pt>
                      <c:pt idx="1">
                        <c:v>GDP</c:v>
                      </c:pt>
                      <c:pt idx="2">
                        <c:v>Population</c:v>
                      </c:pt>
                      <c:pt idx="3">
                        <c:v>GDP Growth%</c:v>
                      </c:pt>
                      <c:pt idx="4">
                        <c:v>Trade% of GDP</c:v>
                      </c:pt>
                      <c:pt idx="5">
                        <c:v>Exports per Capita</c:v>
                      </c:pt>
                      <c:pt idx="6">
                        <c:v>GDP per Capita</c:v>
                      </c:pt>
                      <c:pt idx="7">
                        <c:v>Exports/GDP Ratio%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Scenario_Model!$B$18:$B$25</c15:sqref>
                        </c15:formulaRef>
                      </c:ext>
                    </c:extLst>
                    <c:numCache>
                      <c:formatCode>General</c:formatCode>
                      <c:ptCount val="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790E-43C7-8DF2-8C7818FD27FB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Scenario_Model!$D$17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Scenario_Model!$A$18:$A$25</c15:sqref>
                        </c15:formulaRef>
                      </c:ext>
                    </c:extLst>
                    <c:strCache>
                      <c:ptCount val="8"/>
                      <c:pt idx="0">
                        <c:v>Total Exports</c:v>
                      </c:pt>
                      <c:pt idx="1">
                        <c:v>GDP</c:v>
                      </c:pt>
                      <c:pt idx="2">
                        <c:v>Population</c:v>
                      </c:pt>
                      <c:pt idx="3">
                        <c:v>GDP Growth%</c:v>
                      </c:pt>
                      <c:pt idx="4">
                        <c:v>Trade% of GDP</c:v>
                      </c:pt>
                      <c:pt idx="5">
                        <c:v>Exports per Capita</c:v>
                      </c:pt>
                      <c:pt idx="6">
                        <c:v>GDP per Capita</c:v>
                      </c:pt>
                      <c:pt idx="7">
                        <c:v>Exports/GDP Ratio%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Scenario_Model!$D$18:$D$25</c15:sqref>
                        </c15:formulaRef>
                      </c:ext>
                    </c:extLst>
                    <c:numCache>
                      <c:formatCode>#,##0.00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90E-43C7-8DF2-8C7818FD27FB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Scenario_Model!$F$17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Scenario_Model!$A$18:$A$25</c15:sqref>
                        </c15:formulaRef>
                      </c:ext>
                    </c:extLst>
                    <c:strCache>
                      <c:ptCount val="8"/>
                      <c:pt idx="0">
                        <c:v>Total Exports</c:v>
                      </c:pt>
                      <c:pt idx="1">
                        <c:v>GDP</c:v>
                      </c:pt>
                      <c:pt idx="2">
                        <c:v>Population</c:v>
                      </c:pt>
                      <c:pt idx="3">
                        <c:v>GDP Growth%</c:v>
                      </c:pt>
                      <c:pt idx="4">
                        <c:v>Trade% of GDP</c:v>
                      </c:pt>
                      <c:pt idx="5">
                        <c:v>Exports per Capita</c:v>
                      </c:pt>
                      <c:pt idx="6">
                        <c:v>GDP per Capita</c:v>
                      </c:pt>
                      <c:pt idx="7">
                        <c:v>Exports/GDP Ratio%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Scenario_Model!$F$18:$F$25</c15:sqref>
                        </c15:formulaRef>
                      </c:ext>
                    </c:extLst>
                    <c:numCache>
                      <c:formatCode>General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90E-43C7-8DF2-8C7818FD27FB}"/>
                  </c:ext>
                </c:extLst>
              </c15:ser>
            </c15:filteredBarSeries>
          </c:ext>
        </c:extLst>
      </c:barChart>
      <c:catAx>
        <c:axId val="668806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68804352"/>
        <c:crosses val="autoZero"/>
        <c:auto val="1"/>
        <c:lblAlgn val="ctr"/>
        <c:lblOffset val="100"/>
        <c:noMultiLvlLbl val="0"/>
      </c:catAx>
      <c:valAx>
        <c:axId val="668804352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80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1296145867957357"/>
          <c:y val="0.14856481481481482"/>
          <c:w val="0.27340323609869338"/>
          <c:h val="0.118096019247594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gradFill rotWithShape="1">
      <a:gsLst>
        <a:gs pos="0">
          <a:schemeClr val="accent2">
            <a:lumMod val="110000"/>
            <a:satMod val="105000"/>
            <a:tint val="67000"/>
          </a:schemeClr>
        </a:gs>
        <a:gs pos="50000">
          <a:schemeClr val="accent2">
            <a:lumMod val="105000"/>
            <a:satMod val="103000"/>
            <a:tint val="73000"/>
          </a:schemeClr>
        </a:gs>
        <a:gs pos="100000">
          <a:schemeClr val="accent2">
            <a:lumMod val="105000"/>
            <a:satMod val="109000"/>
            <a:tint val="81000"/>
          </a:schemeClr>
        </a:gs>
      </a:gsLst>
      <a:lin ang="5400000" scaled="0"/>
    </a:gradFill>
    <a:ln w="63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147851</xdr:colOff>
      <xdr:row>1</xdr:row>
      <xdr:rowOff>90985</xdr:rowOff>
    </xdr:from>
    <xdr:to>
      <xdr:col>32</xdr:col>
      <xdr:colOff>80150</xdr:colOff>
      <xdr:row>47</xdr:row>
      <xdr:rowOff>102505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FB1BA390-B63E-8634-C6E2-B6E333EFC217}"/>
            </a:ext>
          </a:extLst>
        </xdr:cNvPr>
        <xdr:cNvGrpSpPr/>
      </xdr:nvGrpSpPr>
      <xdr:grpSpPr>
        <a:xfrm>
          <a:off x="3176313" y="276600"/>
          <a:ext cx="16285991" cy="8549828"/>
          <a:chOff x="614149" y="181970"/>
          <a:chExt cx="16514329" cy="8382147"/>
        </a:xfrm>
      </xdr:grpSpPr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CB5A1A25-2FDC-486A-5834-5E60DAA79BD4}"/>
              </a:ext>
            </a:extLst>
          </xdr:cNvPr>
          <xdr:cNvGrpSpPr/>
        </xdr:nvGrpSpPr>
        <xdr:grpSpPr>
          <a:xfrm>
            <a:off x="614149" y="181970"/>
            <a:ext cx="16514329" cy="8382147"/>
            <a:chOff x="614149" y="181970"/>
            <a:chExt cx="16514329" cy="8382147"/>
          </a:xfrm>
        </xdr:grpSpPr>
        <xdr:sp macro="" textlink="">
          <xdr:nvSpPr>
            <xdr:cNvPr id="2" name="Rectangle 1">
              <a:extLst>
                <a:ext uri="{FF2B5EF4-FFF2-40B4-BE49-F238E27FC236}">
                  <a16:creationId xmlns:a16="http://schemas.microsoft.com/office/drawing/2014/main" id="{9376294E-3BB8-4006-A60C-16D10422F77F}"/>
                </a:ext>
              </a:extLst>
            </xdr:cNvPr>
            <xdr:cNvSpPr/>
          </xdr:nvSpPr>
          <xdr:spPr>
            <a:xfrm>
              <a:off x="614149" y="181970"/>
              <a:ext cx="16514329" cy="8382147"/>
            </a:xfrm>
            <a:prstGeom prst="rect">
              <a:avLst/>
            </a:prstGeom>
            <a:gradFill flip="none" rotWithShape="1">
              <a:gsLst>
                <a:gs pos="0">
                  <a:schemeClr val="dk1">
                    <a:lumMod val="67000"/>
                  </a:schemeClr>
                </a:gs>
                <a:gs pos="48000">
                  <a:schemeClr val="dk1">
                    <a:lumMod val="97000"/>
                    <a:lumOff val="3000"/>
                  </a:schemeClr>
                </a:gs>
                <a:gs pos="100000">
                  <a:schemeClr val="dk1">
                    <a:lumMod val="60000"/>
                    <a:lumOff val="40000"/>
                  </a:schemeClr>
                </a:gs>
              </a:gsLst>
              <a:lin ang="16200000" scaled="1"/>
              <a:tileRect/>
            </a:gradFill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IN" sz="1100">
                  <a:solidFill>
                    <a:schemeClr val="bg1"/>
                  </a:solidFill>
                </a:rPr>
                <a:t>KPI</a:t>
              </a:r>
            </a:p>
          </xdr:txBody>
        </xdr:sp>
        <xdr:grpSp>
          <xdr:nvGrpSpPr>
            <xdr:cNvPr id="41" name="Group 40">
              <a:extLst>
                <a:ext uri="{FF2B5EF4-FFF2-40B4-BE49-F238E27FC236}">
                  <a16:creationId xmlns:a16="http://schemas.microsoft.com/office/drawing/2014/main" id="{2B2EA470-0190-E0AB-5F0E-ED51C3169E2A}"/>
                </a:ext>
              </a:extLst>
            </xdr:cNvPr>
            <xdr:cNvGrpSpPr/>
          </xdr:nvGrpSpPr>
          <xdr:grpSpPr>
            <a:xfrm>
              <a:off x="650002" y="212448"/>
              <a:ext cx="16441228" cy="3044303"/>
              <a:chOff x="642938" y="208396"/>
              <a:chExt cx="16261224" cy="2990958"/>
            </a:xfrm>
          </xdr:grpSpPr>
          <xdr:sp macro="" textlink="">
            <xdr:nvSpPr>
              <xdr:cNvPr id="3" name="TextBox 2">
                <a:extLst>
                  <a:ext uri="{FF2B5EF4-FFF2-40B4-BE49-F238E27FC236}">
                    <a16:creationId xmlns:a16="http://schemas.microsoft.com/office/drawing/2014/main" id="{7FE66B19-FF53-4C90-A574-16F0F53B1DDF}"/>
                  </a:ext>
                </a:extLst>
              </xdr:cNvPr>
              <xdr:cNvSpPr txBox="1"/>
            </xdr:nvSpPr>
            <xdr:spPr>
              <a:xfrm>
                <a:off x="657828" y="208396"/>
                <a:ext cx="16246334" cy="849240"/>
              </a:xfrm>
              <a:prstGeom prst="rect">
                <a:avLst/>
              </a:prstGeom>
              <a:ln/>
            </xdr:spPr>
            <xdr:style>
              <a:lnRef idx="1">
                <a:schemeClr val="accent2"/>
              </a:lnRef>
              <a:fillRef idx="2">
                <a:schemeClr val="accent2"/>
              </a:fillRef>
              <a:effectRef idx="1">
                <a:schemeClr val="accent2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marL="0" indent="0" algn="ctr"/>
                <a:r>
                  <a:rPr lang="en-IN" sz="2400" b="1" i="0" u="none" strike="noStrik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GLOBAL TRADE &amp; SUPPLY CHAIN INTELLIGENCE PLATFORM</a:t>
                </a:r>
              </a:p>
              <a:p>
                <a:pPr marL="0" indent="0" algn="ctr"/>
                <a:r>
                  <a:rPr lang="en-IN" sz="1800" b="1" i="0" u="none" strike="noStrik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SCENARIO</a:t>
                </a:r>
                <a:r>
                  <a:rPr lang="en-IN" sz="18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 ANALYSIS DASHBOARD</a:t>
                </a:r>
                <a:r>
                  <a:rPr lang="en-IN" sz="1800" b="1" i="0" u="none" strike="noStrik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                        </a:t>
                </a:r>
                <a:endParaRPr lang="en-IN" sz="1600" b="1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endParaRPr>
              </a:p>
            </xdr:txBody>
          </xdr:sp>
          <xdr:grpSp>
            <xdr:nvGrpSpPr>
              <xdr:cNvPr id="36" name="Group 35">
                <a:extLst>
                  <a:ext uri="{FF2B5EF4-FFF2-40B4-BE49-F238E27FC236}">
                    <a16:creationId xmlns:a16="http://schemas.microsoft.com/office/drawing/2014/main" id="{7BE77399-85E9-70E5-4F85-AC0CAF6C60A1}"/>
                  </a:ext>
                </a:extLst>
              </xdr:cNvPr>
              <xdr:cNvGrpSpPr/>
            </xdr:nvGrpSpPr>
            <xdr:grpSpPr>
              <a:xfrm>
                <a:off x="642938" y="1132999"/>
                <a:ext cx="16228218" cy="879158"/>
                <a:chOff x="642938" y="1132999"/>
                <a:chExt cx="16228218" cy="879158"/>
              </a:xfrm>
            </xdr:grpSpPr>
            <xdr:grpSp>
              <xdr:nvGrpSpPr>
                <xdr:cNvPr id="33" name="Group 32">
                  <a:extLst>
                    <a:ext uri="{FF2B5EF4-FFF2-40B4-BE49-F238E27FC236}">
                      <a16:creationId xmlns:a16="http://schemas.microsoft.com/office/drawing/2014/main" id="{A2395962-79BD-35AF-23F2-A9A68784E1A7}"/>
                    </a:ext>
                  </a:extLst>
                </xdr:cNvPr>
                <xdr:cNvGrpSpPr/>
              </xdr:nvGrpSpPr>
              <xdr:grpSpPr>
                <a:xfrm>
                  <a:off x="642938" y="1135380"/>
                  <a:ext cx="5400000" cy="864870"/>
                  <a:chOff x="642938" y="1135380"/>
                  <a:chExt cx="5400000" cy="864870"/>
                </a:xfrm>
              </xdr:grpSpPr>
              <xdr:sp macro="" textlink="Sensitivity_Analysis!D10">
                <xdr:nvSpPr>
                  <xdr:cNvPr id="7" name="TextBox 6">
                    <a:extLst>
                      <a:ext uri="{FF2B5EF4-FFF2-40B4-BE49-F238E27FC236}">
                        <a16:creationId xmlns:a16="http://schemas.microsoft.com/office/drawing/2014/main" id="{ABCA1373-8245-49F8-B747-1CC9C5D6E2BD}"/>
                      </a:ext>
                    </a:extLst>
                  </xdr:cNvPr>
                  <xdr:cNvSpPr txBox="1"/>
                </xdr:nvSpPr>
                <xdr:spPr>
                  <a:xfrm>
                    <a:off x="642938" y="1135380"/>
                    <a:ext cx="5400000" cy="864870"/>
                  </a:xfrm>
                  <a:prstGeom prst="rect">
                    <a:avLst/>
                  </a:prstGeom>
                  <a:ln/>
                </xdr:spPr>
                <xdr:style>
                  <a:lnRef idx="1">
                    <a:schemeClr val="accent2"/>
                  </a:lnRef>
                  <a:fillRef idx="2">
                    <a:schemeClr val="accent2"/>
                  </a:fillRef>
                  <a:effectRef idx="1">
                    <a:schemeClr val="accent2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marL="0" indent="0" algn="ctr"/>
                    <a:endParaRPr lang="en-US" sz="2400" b="1" i="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endParaRPr>
                  </a:p>
                  <a:p>
                    <a:pPr marL="0" indent="0" algn="ctr"/>
                    <a:fld id="{24B7A468-3641-4011-89E8-CEA9E12156EC}" type="TxLink">
                      <a:rPr lang="en-US" sz="2400" b="1" i="0" u="none" strike="noStrike">
                        <a:solidFill>
                          <a:srgbClr val="000000"/>
                        </a:solidFill>
                        <a:latin typeface="Calibri"/>
                        <a:ea typeface="Calibri"/>
                        <a:cs typeface="Calibri"/>
                      </a:rPr>
                      <a:pPr marL="0" indent="0" algn="ctr"/>
                      <a:t>China</a:t>
                    </a:fld>
                    <a:endParaRPr lang="en-IN" sz="4000" b="1" i="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endParaRPr>
                  </a:p>
                </xdr:txBody>
              </xdr:sp>
              <xdr:sp macro="" textlink="">
                <xdr:nvSpPr>
                  <xdr:cNvPr id="8" name="TextBox 7">
                    <a:extLst>
                      <a:ext uri="{FF2B5EF4-FFF2-40B4-BE49-F238E27FC236}">
                        <a16:creationId xmlns:a16="http://schemas.microsoft.com/office/drawing/2014/main" id="{1F98525C-DBE2-404A-AFB4-F6892BD3B401}"/>
                      </a:ext>
                    </a:extLst>
                  </xdr:cNvPr>
                  <xdr:cNvSpPr txBox="1"/>
                </xdr:nvSpPr>
                <xdr:spPr>
                  <a:xfrm>
                    <a:off x="2131219" y="1147286"/>
                    <a:ext cx="2410976" cy="388620"/>
                  </a:xfrm>
                  <a:prstGeom prst="rect">
                    <a:avLst/>
                  </a:prstGeom>
                  <a:ln/>
                </xdr:spPr>
                <xdr:style>
                  <a:lnRef idx="1">
                    <a:schemeClr val="accent2"/>
                  </a:lnRef>
                  <a:fillRef idx="2">
                    <a:schemeClr val="accent2"/>
                  </a:fillRef>
                  <a:effectRef idx="1">
                    <a:schemeClr val="accent2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IN" sz="2000" b="1">
                        <a:ln>
                          <a:noFill/>
                        </a:ln>
                      </a:rPr>
                      <a:t>Country</a:t>
                    </a:r>
                    <a:r>
                      <a:rPr lang="en-IN" sz="2000" b="1" baseline="0">
                        <a:ln>
                          <a:noFill/>
                        </a:ln>
                      </a:rPr>
                      <a:t> -:</a:t>
                    </a:r>
                    <a:endParaRPr lang="en-IN" sz="2000" b="1"/>
                  </a:p>
                </xdr:txBody>
              </xdr:sp>
            </xdr:grpSp>
            <xdr:grpSp>
              <xdr:nvGrpSpPr>
                <xdr:cNvPr id="35" name="Group 34">
                  <a:extLst>
                    <a:ext uri="{FF2B5EF4-FFF2-40B4-BE49-F238E27FC236}">
                      <a16:creationId xmlns:a16="http://schemas.microsoft.com/office/drawing/2014/main" id="{DCB697C3-10B6-C49F-5BD3-A1530A4FF3AA}"/>
                    </a:ext>
                  </a:extLst>
                </xdr:cNvPr>
                <xdr:cNvGrpSpPr/>
              </xdr:nvGrpSpPr>
              <xdr:grpSpPr>
                <a:xfrm>
                  <a:off x="11680031" y="1147287"/>
                  <a:ext cx="5191125" cy="864870"/>
                  <a:chOff x="11680031" y="1147287"/>
                  <a:chExt cx="5191125" cy="864870"/>
                </a:xfrm>
              </xdr:grpSpPr>
              <xdr:sp macro="" textlink="Scenario_Model!$D$9">
                <xdr:nvSpPr>
                  <xdr:cNvPr id="11" name="TextBox 10">
                    <a:extLst>
                      <a:ext uri="{FF2B5EF4-FFF2-40B4-BE49-F238E27FC236}">
                        <a16:creationId xmlns:a16="http://schemas.microsoft.com/office/drawing/2014/main" id="{508405A3-ECC0-9ABD-CAE7-5EFB084396AF}"/>
                      </a:ext>
                    </a:extLst>
                  </xdr:cNvPr>
                  <xdr:cNvSpPr txBox="1"/>
                </xdr:nvSpPr>
                <xdr:spPr>
                  <a:xfrm>
                    <a:off x="11680031" y="1147287"/>
                    <a:ext cx="5191125" cy="864870"/>
                  </a:xfrm>
                  <a:prstGeom prst="rect">
                    <a:avLst/>
                  </a:prstGeom>
                  <a:ln/>
                </xdr:spPr>
                <xdr:style>
                  <a:lnRef idx="1">
                    <a:schemeClr val="accent2"/>
                  </a:lnRef>
                  <a:fillRef idx="2">
                    <a:schemeClr val="accent2"/>
                  </a:fillRef>
                  <a:effectRef idx="1">
                    <a:schemeClr val="accent2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marL="0" indent="0" algn="ctr"/>
                    <a:endParaRPr lang="en-US" sz="2000" b="1" i="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endParaRPr>
                  </a:p>
                  <a:p>
                    <a:pPr marL="0" indent="0" algn="ctr"/>
                    <a:fld id="{EC085F57-D5BC-49DF-BC29-77CAB7F24FB4}" type="TxLink">
                      <a:rPr lang="en-US" sz="2000" b="1" i="0" u="none" strike="noStrike">
                        <a:solidFill>
                          <a:srgbClr val="000000"/>
                        </a:solidFill>
                        <a:latin typeface="Calibri"/>
                        <a:ea typeface="Calibri"/>
                        <a:cs typeface="Calibri"/>
                      </a:rPr>
                      <a:pPr marL="0" indent="0" algn="ctr"/>
                      <a:t>High Exports Growth</a:t>
                    </a:fld>
                    <a:endParaRPr lang="en-US" sz="2000" b="1" i="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endParaRPr>
                  </a:p>
                </xdr:txBody>
              </xdr:sp>
              <xdr:sp macro="" textlink="">
                <xdr:nvSpPr>
                  <xdr:cNvPr id="12" name="TextBox 11">
                    <a:extLst>
                      <a:ext uri="{FF2B5EF4-FFF2-40B4-BE49-F238E27FC236}">
                        <a16:creationId xmlns:a16="http://schemas.microsoft.com/office/drawing/2014/main" id="{49A1BA36-A478-FDAB-5460-720D592BA1A9}"/>
                      </a:ext>
                    </a:extLst>
                  </xdr:cNvPr>
                  <xdr:cNvSpPr txBox="1"/>
                </xdr:nvSpPr>
                <xdr:spPr>
                  <a:xfrm>
                    <a:off x="13388951" y="1194913"/>
                    <a:ext cx="1887271" cy="299454"/>
                  </a:xfrm>
                  <a:prstGeom prst="rect">
                    <a:avLst/>
                  </a:prstGeom>
                  <a:ln/>
                </xdr:spPr>
                <xdr:style>
                  <a:lnRef idx="1">
                    <a:schemeClr val="accent2"/>
                  </a:lnRef>
                  <a:fillRef idx="2">
                    <a:schemeClr val="accent2"/>
                  </a:fillRef>
                  <a:effectRef idx="1">
                    <a:schemeClr val="accent2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IN" sz="2000" b="1">
                        <a:ln>
                          <a:noFill/>
                        </a:ln>
                      </a:rPr>
                      <a:t>Scenario</a:t>
                    </a:r>
                    <a:r>
                      <a:rPr lang="en-IN" sz="2000" b="1" baseline="0">
                        <a:ln>
                          <a:noFill/>
                        </a:ln>
                      </a:rPr>
                      <a:t> -:</a:t>
                    </a:r>
                    <a:endParaRPr lang="en-IN" sz="2000" b="1"/>
                  </a:p>
                </xdr:txBody>
              </xdr:sp>
            </xdr:grpSp>
            <xdr:grpSp>
              <xdr:nvGrpSpPr>
                <xdr:cNvPr id="34" name="Group 33">
                  <a:extLst>
                    <a:ext uri="{FF2B5EF4-FFF2-40B4-BE49-F238E27FC236}">
                      <a16:creationId xmlns:a16="http://schemas.microsoft.com/office/drawing/2014/main" id="{5B872B32-BA9D-DC7F-973D-D7257E1434B1}"/>
                    </a:ext>
                  </a:extLst>
                </xdr:cNvPr>
                <xdr:cNvGrpSpPr/>
              </xdr:nvGrpSpPr>
              <xdr:grpSpPr>
                <a:xfrm>
                  <a:off x="6161484" y="1132999"/>
                  <a:ext cx="5400000" cy="864870"/>
                  <a:chOff x="6161484" y="1132999"/>
                  <a:chExt cx="5400000" cy="864870"/>
                </a:xfrm>
              </xdr:grpSpPr>
              <xdr:sp macro="" textlink="Scenario_Model!D11">
                <xdr:nvSpPr>
                  <xdr:cNvPr id="14" name="TextBox 13">
                    <a:extLst>
                      <a:ext uri="{FF2B5EF4-FFF2-40B4-BE49-F238E27FC236}">
                        <a16:creationId xmlns:a16="http://schemas.microsoft.com/office/drawing/2014/main" id="{CA97609A-A7B7-3625-FA04-C4BAD3DE9A9E}"/>
                      </a:ext>
                    </a:extLst>
                  </xdr:cNvPr>
                  <xdr:cNvSpPr txBox="1"/>
                </xdr:nvSpPr>
                <xdr:spPr>
                  <a:xfrm>
                    <a:off x="6161484" y="1132999"/>
                    <a:ext cx="5400000" cy="864870"/>
                  </a:xfrm>
                  <a:prstGeom prst="rect">
                    <a:avLst/>
                  </a:prstGeom>
                  <a:ln/>
                </xdr:spPr>
                <xdr:style>
                  <a:lnRef idx="1">
                    <a:schemeClr val="accent2"/>
                  </a:lnRef>
                  <a:fillRef idx="2">
                    <a:schemeClr val="accent2"/>
                  </a:fillRef>
                  <a:effectRef idx="1">
                    <a:schemeClr val="accent2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marL="0" indent="0" algn="ctr"/>
                    <a:endParaRPr lang="en-US" sz="2400" b="1" i="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endParaRPr>
                  </a:p>
                  <a:p>
                    <a:pPr marL="0" indent="0" algn="ctr"/>
                    <a:fld id="{AB782BF1-549F-4193-B270-95FCD5218458}" type="TxLink">
                      <a:rPr lang="en-US" sz="2400" b="1" i="0" u="none" strike="noStrike">
                        <a:solidFill>
                          <a:srgbClr val="000000"/>
                        </a:solidFill>
                        <a:latin typeface="Calibri"/>
                        <a:ea typeface="Calibri"/>
                        <a:cs typeface="Calibri"/>
                      </a:rPr>
                      <a:pPr marL="0" indent="0" algn="ctr"/>
                      <a:t>2017</a:t>
                    </a:fld>
                    <a:endParaRPr lang="en-IN" sz="8800" b="1" i="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endParaRPr>
                  </a:p>
                </xdr:txBody>
              </xdr:sp>
              <xdr:sp macro="" textlink="">
                <xdr:nvSpPr>
                  <xdr:cNvPr id="15" name="TextBox 14">
                    <a:extLst>
                      <a:ext uri="{FF2B5EF4-FFF2-40B4-BE49-F238E27FC236}">
                        <a16:creationId xmlns:a16="http://schemas.microsoft.com/office/drawing/2014/main" id="{E6253262-4C1D-0C9D-F3E4-D3819E823C62}"/>
                      </a:ext>
                    </a:extLst>
                  </xdr:cNvPr>
                  <xdr:cNvSpPr txBox="1"/>
                </xdr:nvSpPr>
                <xdr:spPr>
                  <a:xfrm>
                    <a:off x="7846882" y="1180624"/>
                    <a:ext cx="2264726" cy="299454"/>
                  </a:xfrm>
                  <a:prstGeom prst="rect">
                    <a:avLst/>
                  </a:prstGeom>
                  <a:ln/>
                </xdr:spPr>
                <xdr:style>
                  <a:lnRef idx="1">
                    <a:schemeClr val="accent2"/>
                  </a:lnRef>
                  <a:fillRef idx="2">
                    <a:schemeClr val="accent2"/>
                  </a:fillRef>
                  <a:effectRef idx="1">
                    <a:schemeClr val="accent2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IN" sz="2000" b="1" baseline="0">
                        <a:ln>
                          <a:noFill/>
                        </a:ln>
                      </a:rPr>
                      <a:t>Year -:</a:t>
                    </a:r>
                    <a:endParaRPr lang="en-IN" sz="2000" b="1"/>
                  </a:p>
                </xdr:txBody>
              </xdr:sp>
            </xdr:grpSp>
          </xdr:grpSp>
          <xdr:grpSp>
            <xdr:nvGrpSpPr>
              <xdr:cNvPr id="40" name="Group 39">
                <a:extLst>
                  <a:ext uri="{FF2B5EF4-FFF2-40B4-BE49-F238E27FC236}">
                    <a16:creationId xmlns:a16="http://schemas.microsoft.com/office/drawing/2014/main" id="{54F15D34-B305-4DD1-D828-93C917BD0B1F}"/>
                  </a:ext>
                </a:extLst>
              </xdr:cNvPr>
              <xdr:cNvGrpSpPr/>
            </xdr:nvGrpSpPr>
            <xdr:grpSpPr>
              <a:xfrm>
                <a:off x="645318" y="2078355"/>
                <a:ext cx="16225838" cy="1120999"/>
                <a:chOff x="645318" y="2078355"/>
                <a:chExt cx="16225838" cy="1120999"/>
              </a:xfrm>
            </xdr:grpSpPr>
            <xdr:grpSp>
              <xdr:nvGrpSpPr>
                <xdr:cNvPr id="16" name="Group 15">
                  <a:extLst>
                    <a:ext uri="{FF2B5EF4-FFF2-40B4-BE49-F238E27FC236}">
                      <a16:creationId xmlns:a16="http://schemas.microsoft.com/office/drawing/2014/main" id="{405679B2-305F-4D88-A696-CDEC615CDB9E}"/>
                    </a:ext>
                  </a:extLst>
                </xdr:cNvPr>
                <xdr:cNvGrpSpPr/>
              </xdr:nvGrpSpPr>
              <xdr:grpSpPr>
                <a:xfrm>
                  <a:off x="13727906" y="2097754"/>
                  <a:ext cx="3143250" cy="1101600"/>
                  <a:chOff x="619125" y="1099661"/>
                  <a:chExt cx="3143250" cy="864870"/>
                </a:xfrm>
              </xdr:grpSpPr>
              <xdr:sp macro="" textlink="Scenario_Model!$C$25">
                <xdr:nvSpPr>
                  <xdr:cNvPr id="17" name="TextBox 16">
                    <a:extLst>
                      <a:ext uri="{FF2B5EF4-FFF2-40B4-BE49-F238E27FC236}">
                        <a16:creationId xmlns:a16="http://schemas.microsoft.com/office/drawing/2014/main" id="{EF8256AF-E64C-344A-4C7E-70ACCC2FC5B0}"/>
                      </a:ext>
                    </a:extLst>
                  </xdr:cNvPr>
                  <xdr:cNvSpPr txBox="1"/>
                </xdr:nvSpPr>
                <xdr:spPr>
                  <a:xfrm>
                    <a:off x="619125" y="1099661"/>
                    <a:ext cx="3143250" cy="864870"/>
                  </a:xfrm>
                  <a:prstGeom prst="rect">
                    <a:avLst/>
                  </a:prstGeom>
                  <a:ln/>
                </xdr:spPr>
                <xdr:style>
                  <a:lnRef idx="1">
                    <a:schemeClr val="accent2"/>
                  </a:lnRef>
                  <a:fillRef idx="2">
                    <a:schemeClr val="accent2"/>
                  </a:fillRef>
                  <a:effectRef idx="1">
                    <a:schemeClr val="accent2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marL="0" indent="0" algn="ctr"/>
                    <a:endParaRPr lang="en-US" sz="2800" b="1" i="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endParaRPr>
                  </a:p>
                  <a:p>
                    <a:pPr marL="0" indent="0" algn="ctr"/>
                    <a:fld id="{3E17C40E-3546-4377-92F5-ABEC003D823B}" type="TxLink">
                      <a:rPr lang="en-US" sz="2800" b="1" i="0" u="none" strike="noStrike">
                        <a:solidFill>
                          <a:srgbClr val="000000"/>
                        </a:solidFill>
                        <a:latin typeface="Calibri"/>
                        <a:ea typeface="Calibri"/>
                        <a:cs typeface="Calibri"/>
                      </a:rPr>
                      <a:pPr marL="0" indent="0" algn="ctr"/>
                      <a:t>51.58</a:t>
                    </a:fld>
                    <a:endParaRPr lang="en-IN" sz="2800" b="1" i="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endParaRPr>
                  </a:p>
                </xdr:txBody>
              </xdr:sp>
              <xdr:sp macro="" textlink="">
                <xdr:nvSpPr>
                  <xdr:cNvPr id="18" name="TextBox 17">
                    <a:extLst>
                      <a:ext uri="{FF2B5EF4-FFF2-40B4-BE49-F238E27FC236}">
                        <a16:creationId xmlns:a16="http://schemas.microsoft.com/office/drawing/2014/main" id="{25099D77-2C62-DED9-F5A2-CBC825F31A11}"/>
                      </a:ext>
                    </a:extLst>
                  </xdr:cNvPr>
                  <xdr:cNvSpPr txBox="1"/>
                </xdr:nvSpPr>
                <xdr:spPr>
                  <a:xfrm>
                    <a:off x="809625" y="1147285"/>
                    <a:ext cx="2786063" cy="436245"/>
                  </a:xfrm>
                  <a:prstGeom prst="rect">
                    <a:avLst/>
                  </a:prstGeom>
                  <a:ln/>
                </xdr:spPr>
                <xdr:style>
                  <a:lnRef idx="1">
                    <a:schemeClr val="accent2"/>
                  </a:lnRef>
                  <a:fillRef idx="2">
                    <a:schemeClr val="accent2"/>
                  </a:fillRef>
                  <a:effectRef idx="1">
                    <a:schemeClr val="accent2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IN" sz="1600" b="1">
                        <a:ln>
                          <a:noFill/>
                        </a:ln>
                      </a:rPr>
                      <a:t>Export/GDP</a:t>
                    </a:r>
                    <a:r>
                      <a:rPr lang="en-IN" sz="1600" b="1" baseline="0">
                        <a:ln>
                          <a:noFill/>
                        </a:ln>
                      </a:rPr>
                      <a:t> Ratio (Percent) -:</a:t>
                    </a:r>
                    <a:endParaRPr lang="en-IN" sz="1600" b="1"/>
                  </a:p>
                </xdr:txBody>
              </xdr:sp>
            </xdr:grpSp>
            <xdr:grpSp>
              <xdr:nvGrpSpPr>
                <xdr:cNvPr id="19" name="Group 18">
                  <a:extLst>
                    <a:ext uri="{FF2B5EF4-FFF2-40B4-BE49-F238E27FC236}">
                      <a16:creationId xmlns:a16="http://schemas.microsoft.com/office/drawing/2014/main" id="{131551BD-12E0-485D-A924-02B20CBBB982}"/>
                    </a:ext>
                  </a:extLst>
                </xdr:cNvPr>
                <xdr:cNvGrpSpPr/>
              </xdr:nvGrpSpPr>
              <xdr:grpSpPr>
                <a:xfrm>
                  <a:off x="10451306" y="2090959"/>
                  <a:ext cx="3143250" cy="1101600"/>
                  <a:chOff x="619125" y="1099661"/>
                  <a:chExt cx="3143250" cy="864870"/>
                </a:xfrm>
              </xdr:grpSpPr>
              <xdr:sp macro="" textlink="Scenario_Model!$C$24">
                <xdr:nvSpPr>
                  <xdr:cNvPr id="20" name="TextBox 19">
                    <a:extLst>
                      <a:ext uri="{FF2B5EF4-FFF2-40B4-BE49-F238E27FC236}">
                        <a16:creationId xmlns:a16="http://schemas.microsoft.com/office/drawing/2014/main" id="{32F274B7-A136-8A05-EE4E-A2D79B193401}"/>
                      </a:ext>
                    </a:extLst>
                  </xdr:cNvPr>
                  <xdr:cNvSpPr txBox="1"/>
                </xdr:nvSpPr>
                <xdr:spPr>
                  <a:xfrm>
                    <a:off x="619125" y="1099661"/>
                    <a:ext cx="3143250" cy="864870"/>
                  </a:xfrm>
                  <a:prstGeom prst="rect">
                    <a:avLst/>
                  </a:prstGeom>
                  <a:ln/>
                </xdr:spPr>
                <xdr:style>
                  <a:lnRef idx="1">
                    <a:schemeClr val="accent2"/>
                  </a:lnRef>
                  <a:fillRef idx="2">
                    <a:schemeClr val="accent2"/>
                  </a:fillRef>
                  <a:effectRef idx="1">
                    <a:schemeClr val="accent2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marL="0" indent="0" algn="ctr"/>
                    <a:endParaRPr lang="en-US" sz="2800" b="1" i="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endParaRPr>
                  </a:p>
                  <a:p>
                    <a:pPr marL="0" indent="0" algn="ctr"/>
                    <a:fld id="{ECFFE9B9-9B29-4347-829D-9B0DA233353B}" type="TxLink">
                      <a:rPr lang="en-US" sz="2800" b="1" i="0" u="none" strike="noStrike">
                        <a:solidFill>
                          <a:srgbClr val="000000"/>
                        </a:solidFill>
                        <a:latin typeface="Calibri"/>
                        <a:ea typeface="Calibri"/>
                        <a:cs typeface="Calibri"/>
                      </a:rPr>
                      <a:pPr marL="0" indent="0" algn="ctr"/>
                      <a:t>54,932.59</a:t>
                    </a:fld>
                    <a:endParaRPr lang="en-IN" sz="4400" b="1" i="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endParaRPr>
                  </a:p>
                </xdr:txBody>
              </xdr:sp>
              <xdr:sp macro="" textlink="">
                <xdr:nvSpPr>
                  <xdr:cNvPr id="21" name="TextBox 20">
                    <a:extLst>
                      <a:ext uri="{FF2B5EF4-FFF2-40B4-BE49-F238E27FC236}">
                        <a16:creationId xmlns:a16="http://schemas.microsoft.com/office/drawing/2014/main" id="{4D5F16E8-7546-C988-A9F9-305D421DFEE6}"/>
                      </a:ext>
                    </a:extLst>
                  </xdr:cNvPr>
                  <xdr:cNvSpPr txBox="1"/>
                </xdr:nvSpPr>
                <xdr:spPr>
                  <a:xfrm>
                    <a:off x="835818" y="1171097"/>
                    <a:ext cx="2750344" cy="343376"/>
                  </a:xfrm>
                  <a:prstGeom prst="rect">
                    <a:avLst/>
                  </a:prstGeom>
                  <a:ln/>
                </xdr:spPr>
                <xdr:style>
                  <a:lnRef idx="1">
                    <a:schemeClr val="accent2"/>
                  </a:lnRef>
                  <a:fillRef idx="2">
                    <a:schemeClr val="accent2"/>
                  </a:fillRef>
                  <a:effectRef idx="1">
                    <a:schemeClr val="accent2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IN" sz="1600" b="1">
                        <a:ln>
                          <a:noFill/>
                        </a:ln>
                      </a:rPr>
                      <a:t>GDP per Capita (in</a:t>
                    </a:r>
                    <a:r>
                      <a:rPr lang="en-IN" sz="1600" b="1" baseline="0">
                        <a:ln>
                          <a:noFill/>
                        </a:ln>
                      </a:rPr>
                      <a:t> USD)</a:t>
                    </a:r>
                    <a:r>
                      <a:rPr lang="en-IN" sz="1600" b="1">
                        <a:ln>
                          <a:noFill/>
                        </a:ln>
                      </a:rPr>
                      <a:t> -:</a:t>
                    </a:r>
                    <a:endParaRPr lang="en-IN" sz="1600" b="1"/>
                  </a:p>
                </xdr:txBody>
              </xdr:sp>
            </xdr:grpSp>
            <xdr:grpSp>
              <xdr:nvGrpSpPr>
                <xdr:cNvPr id="22" name="Group 21">
                  <a:extLst>
                    <a:ext uri="{FF2B5EF4-FFF2-40B4-BE49-F238E27FC236}">
                      <a16:creationId xmlns:a16="http://schemas.microsoft.com/office/drawing/2014/main" id="{658451A9-340E-4939-8E25-9769CBECDCC6}"/>
                    </a:ext>
                  </a:extLst>
                </xdr:cNvPr>
                <xdr:cNvGrpSpPr/>
              </xdr:nvGrpSpPr>
              <xdr:grpSpPr>
                <a:xfrm>
                  <a:off x="7186613" y="2084164"/>
                  <a:ext cx="3143250" cy="1101600"/>
                  <a:chOff x="619125" y="1099661"/>
                  <a:chExt cx="3143250" cy="864870"/>
                </a:xfrm>
              </xdr:grpSpPr>
              <xdr:sp macro="" textlink="Scenario_Model!$C$23">
                <xdr:nvSpPr>
                  <xdr:cNvPr id="23" name="TextBox 22">
                    <a:extLst>
                      <a:ext uri="{FF2B5EF4-FFF2-40B4-BE49-F238E27FC236}">
                        <a16:creationId xmlns:a16="http://schemas.microsoft.com/office/drawing/2014/main" id="{A29B3A6D-963E-5175-BD91-3A567FF813D0}"/>
                      </a:ext>
                    </a:extLst>
                  </xdr:cNvPr>
                  <xdr:cNvSpPr txBox="1"/>
                </xdr:nvSpPr>
                <xdr:spPr>
                  <a:xfrm>
                    <a:off x="619125" y="1099661"/>
                    <a:ext cx="3143250" cy="864870"/>
                  </a:xfrm>
                  <a:prstGeom prst="rect">
                    <a:avLst/>
                  </a:prstGeom>
                  <a:ln/>
                </xdr:spPr>
                <xdr:style>
                  <a:lnRef idx="1">
                    <a:schemeClr val="accent2"/>
                  </a:lnRef>
                  <a:fillRef idx="2">
                    <a:schemeClr val="accent2"/>
                  </a:fillRef>
                  <a:effectRef idx="1">
                    <a:schemeClr val="accent2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marL="0" indent="0" algn="ctr"/>
                    <a:endParaRPr lang="en-US" sz="2800" b="1" i="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endParaRPr>
                  </a:p>
                  <a:p>
                    <a:pPr marL="0" indent="0" algn="ctr"/>
                    <a:fld id="{37F3D84E-B2F3-40E3-BC27-907DE448E6A0}" type="TxLink">
                      <a:rPr lang="en-US" sz="2800" b="1" i="0" u="none" strike="noStrike">
                        <a:solidFill>
                          <a:srgbClr val="000000"/>
                        </a:solidFill>
                        <a:latin typeface="Calibri"/>
                        <a:ea typeface="Calibri"/>
                        <a:cs typeface="Calibri"/>
                      </a:rPr>
                      <a:pPr marL="0" indent="0" algn="ctr"/>
                      <a:t>28,332.46</a:t>
                    </a:fld>
                    <a:endParaRPr lang="en-IN" sz="4400" b="1" i="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endParaRPr>
                  </a:p>
                </xdr:txBody>
              </xdr:sp>
              <xdr:sp macro="" textlink="">
                <xdr:nvSpPr>
                  <xdr:cNvPr id="24" name="TextBox 23">
                    <a:extLst>
                      <a:ext uri="{FF2B5EF4-FFF2-40B4-BE49-F238E27FC236}">
                        <a16:creationId xmlns:a16="http://schemas.microsoft.com/office/drawing/2014/main" id="{9D1C76A6-3334-03B0-8569-90CFE7BA7AED}"/>
                      </a:ext>
                    </a:extLst>
                  </xdr:cNvPr>
                  <xdr:cNvSpPr txBox="1"/>
                </xdr:nvSpPr>
                <xdr:spPr>
                  <a:xfrm>
                    <a:off x="809625" y="1147286"/>
                    <a:ext cx="2802731" cy="345758"/>
                  </a:xfrm>
                  <a:prstGeom prst="rect">
                    <a:avLst/>
                  </a:prstGeom>
                  <a:ln/>
                </xdr:spPr>
                <xdr:style>
                  <a:lnRef idx="1">
                    <a:schemeClr val="accent2"/>
                  </a:lnRef>
                  <a:fillRef idx="2">
                    <a:schemeClr val="accent2"/>
                  </a:fillRef>
                  <a:effectRef idx="1">
                    <a:schemeClr val="accent2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IN" sz="1600" b="1"/>
                      <a:t>Exports</a:t>
                    </a:r>
                    <a:r>
                      <a:rPr lang="en-IN" sz="1600" b="1" baseline="0"/>
                      <a:t> per Capita (in USD) -:</a:t>
                    </a:r>
                    <a:endParaRPr lang="en-IN" sz="1600" b="1"/>
                  </a:p>
                </xdr:txBody>
              </xdr:sp>
            </xdr:grpSp>
            <xdr:grpSp>
              <xdr:nvGrpSpPr>
                <xdr:cNvPr id="25" name="Group 24">
                  <a:extLst>
                    <a:ext uri="{FF2B5EF4-FFF2-40B4-BE49-F238E27FC236}">
                      <a16:creationId xmlns:a16="http://schemas.microsoft.com/office/drawing/2014/main" id="{99642C5B-B0A4-40F1-9A66-A15C13CB3B33}"/>
                    </a:ext>
                  </a:extLst>
                </xdr:cNvPr>
                <xdr:cNvGrpSpPr/>
              </xdr:nvGrpSpPr>
              <xdr:grpSpPr>
                <a:xfrm>
                  <a:off x="3921919" y="2104550"/>
                  <a:ext cx="3143250" cy="1086326"/>
                  <a:chOff x="619125" y="1099661"/>
                  <a:chExt cx="3143250" cy="864870"/>
                </a:xfrm>
              </xdr:grpSpPr>
              <xdr:sp macro="" textlink="Scenario_Model!$C$19">
                <xdr:nvSpPr>
                  <xdr:cNvPr id="26" name="TextBox 25">
                    <a:extLst>
                      <a:ext uri="{FF2B5EF4-FFF2-40B4-BE49-F238E27FC236}">
                        <a16:creationId xmlns:a16="http://schemas.microsoft.com/office/drawing/2014/main" id="{AF47E9E9-51C8-7D5A-B0B8-089DD7ED7594}"/>
                      </a:ext>
                    </a:extLst>
                  </xdr:cNvPr>
                  <xdr:cNvSpPr txBox="1"/>
                </xdr:nvSpPr>
                <xdr:spPr>
                  <a:xfrm>
                    <a:off x="619125" y="1099661"/>
                    <a:ext cx="3143250" cy="864870"/>
                  </a:xfrm>
                  <a:prstGeom prst="rect">
                    <a:avLst/>
                  </a:prstGeom>
                  <a:ln/>
                </xdr:spPr>
                <xdr:style>
                  <a:lnRef idx="1">
                    <a:schemeClr val="accent2"/>
                  </a:lnRef>
                  <a:fillRef idx="2">
                    <a:schemeClr val="accent2"/>
                  </a:fillRef>
                  <a:effectRef idx="1">
                    <a:schemeClr val="accent2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marL="0" indent="0" algn="ctr"/>
                    <a:endParaRPr lang="en-US" sz="2800" b="1" i="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endParaRPr>
                  </a:p>
                  <a:p>
                    <a:pPr marL="0" indent="0" algn="ctr"/>
                    <a:fld id="{96B6FCEF-5185-4309-9AE5-34312A7C6A56}" type="TxLink">
                      <a:rPr lang="en-US" sz="2800" b="1" i="0" u="none" strike="noStrike">
                        <a:solidFill>
                          <a:srgbClr val="000000"/>
                        </a:solidFill>
                        <a:latin typeface="Calibri"/>
                        <a:ea typeface="Calibri"/>
                        <a:cs typeface="Calibri"/>
                      </a:rPr>
                      <a:pPr marL="0" indent="0" algn="ctr"/>
                      <a:t>2,200.00</a:t>
                    </a:fld>
                    <a:endParaRPr lang="en-IN" sz="4400" b="1" i="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endParaRPr>
                  </a:p>
                </xdr:txBody>
              </xdr:sp>
              <xdr:sp macro="" textlink="">
                <xdr:nvSpPr>
                  <xdr:cNvPr id="27" name="TextBox 26">
                    <a:extLst>
                      <a:ext uri="{FF2B5EF4-FFF2-40B4-BE49-F238E27FC236}">
                        <a16:creationId xmlns:a16="http://schemas.microsoft.com/office/drawing/2014/main" id="{A49420C4-27FB-9FF6-8324-ADFA70D7276F}"/>
                      </a:ext>
                    </a:extLst>
                  </xdr:cNvPr>
                  <xdr:cNvSpPr txBox="1"/>
                </xdr:nvSpPr>
                <xdr:spPr>
                  <a:xfrm>
                    <a:off x="1054895" y="1183005"/>
                    <a:ext cx="2321718" cy="371952"/>
                  </a:xfrm>
                  <a:prstGeom prst="rect">
                    <a:avLst/>
                  </a:prstGeom>
                  <a:ln/>
                </xdr:spPr>
                <xdr:style>
                  <a:lnRef idx="1">
                    <a:schemeClr val="accent2"/>
                  </a:lnRef>
                  <a:fillRef idx="2">
                    <a:schemeClr val="accent2"/>
                  </a:fillRef>
                  <a:effectRef idx="1">
                    <a:schemeClr val="accent2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IN" sz="1600" b="1" baseline="0">
                        <a:ln>
                          <a:noFill/>
                        </a:ln>
                      </a:rPr>
                      <a:t> GDP (in Billion USD) -:</a:t>
                    </a:r>
                    <a:endParaRPr lang="en-IN" sz="1600" b="1"/>
                  </a:p>
                </xdr:txBody>
              </xdr:sp>
            </xdr:grpSp>
            <xdr:grpSp>
              <xdr:nvGrpSpPr>
                <xdr:cNvPr id="28" name="Group 27">
                  <a:extLst>
                    <a:ext uri="{FF2B5EF4-FFF2-40B4-BE49-F238E27FC236}">
                      <a16:creationId xmlns:a16="http://schemas.microsoft.com/office/drawing/2014/main" id="{C91F8C6B-ECEB-4672-9792-CC6DDB6C52F8}"/>
                    </a:ext>
                  </a:extLst>
                </xdr:cNvPr>
                <xdr:cNvGrpSpPr/>
              </xdr:nvGrpSpPr>
              <xdr:grpSpPr>
                <a:xfrm>
                  <a:off x="645318" y="2078355"/>
                  <a:ext cx="3143250" cy="1100614"/>
                  <a:chOff x="619125" y="1099661"/>
                  <a:chExt cx="3143250" cy="864870"/>
                </a:xfrm>
              </xdr:grpSpPr>
              <xdr:sp macro="" textlink="Scenario_Model!$C$18">
                <xdr:nvSpPr>
                  <xdr:cNvPr id="29" name="TextBox 28">
                    <a:extLst>
                      <a:ext uri="{FF2B5EF4-FFF2-40B4-BE49-F238E27FC236}">
                        <a16:creationId xmlns:a16="http://schemas.microsoft.com/office/drawing/2014/main" id="{4CFACC75-09D4-6F4D-FAE6-630AC357C37D}"/>
                      </a:ext>
                    </a:extLst>
                  </xdr:cNvPr>
                  <xdr:cNvSpPr txBox="1"/>
                </xdr:nvSpPr>
                <xdr:spPr>
                  <a:xfrm>
                    <a:off x="619125" y="1099661"/>
                    <a:ext cx="3143250" cy="864870"/>
                  </a:xfrm>
                  <a:prstGeom prst="rect">
                    <a:avLst/>
                  </a:prstGeom>
                  <a:ln/>
                </xdr:spPr>
                <xdr:style>
                  <a:lnRef idx="1">
                    <a:schemeClr val="accent2"/>
                  </a:lnRef>
                  <a:fillRef idx="2">
                    <a:schemeClr val="accent2"/>
                  </a:fillRef>
                  <a:effectRef idx="1">
                    <a:schemeClr val="accent2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marL="0" indent="0" algn="ctr"/>
                    <a:endParaRPr lang="en-US" sz="2800" b="1" i="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endParaRPr>
                  </a:p>
                  <a:p>
                    <a:pPr marL="0" indent="0" algn="ctr"/>
                    <a:fld id="{B2A65397-952B-412E-8129-0ED43CBD2EA2}" type="TxLink">
                      <a:rPr lang="en-US" sz="2800" b="1" i="0" u="none" strike="noStrike">
                        <a:solidFill>
                          <a:srgbClr val="000000"/>
                        </a:solidFill>
                        <a:latin typeface="Calibri"/>
                        <a:ea typeface="Calibri"/>
                        <a:cs typeface="Calibri"/>
                      </a:rPr>
                      <a:pPr marL="0" indent="0" algn="ctr"/>
                      <a:t>1,134.69</a:t>
                    </a:fld>
                    <a:endParaRPr lang="en-IN" sz="4400" b="1" i="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endParaRPr>
                  </a:p>
                </xdr:txBody>
              </xdr:sp>
              <xdr:sp macro="" textlink="">
                <xdr:nvSpPr>
                  <xdr:cNvPr id="30" name="TextBox 29">
                    <a:extLst>
                      <a:ext uri="{FF2B5EF4-FFF2-40B4-BE49-F238E27FC236}">
                        <a16:creationId xmlns:a16="http://schemas.microsoft.com/office/drawing/2014/main" id="{C79E89A6-B792-4A8A-28EB-C81DE10B2737}"/>
                      </a:ext>
                    </a:extLst>
                  </xdr:cNvPr>
                  <xdr:cNvSpPr txBox="1"/>
                </xdr:nvSpPr>
                <xdr:spPr>
                  <a:xfrm>
                    <a:off x="750094" y="1171098"/>
                    <a:ext cx="2795587" cy="386239"/>
                  </a:xfrm>
                  <a:prstGeom prst="rect">
                    <a:avLst/>
                  </a:prstGeom>
                  <a:ln/>
                </xdr:spPr>
                <xdr:style>
                  <a:lnRef idx="1">
                    <a:schemeClr val="accent2"/>
                  </a:lnRef>
                  <a:fillRef idx="2">
                    <a:schemeClr val="accent2"/>
                  </a:fillRef>
                  <a:effectRef idx="1">
                    <a:schemeClr val="accent2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IN" sz="1600" b="1">
                        <a:ln>
                          <a:noFill/>
                        </a:ln>
                      </a:rPr>
                      <a:t>Total</a:t>
                    </a:r>
                    <a:r>
                      <a:rPr lang="en-IN" sz="1600" b="1" baseline="0">
                        <a:ln>
                          <a:noFill/>
                        </a:ln>
                      </a:rPr>
                      <a:t> Exports (in Billion USD)-:</a:t>
                    </a:r>
                  </a:p>
                </xdr:txBody>
              </xdr:sp>
            </xdr:grpSp>
          </xdr:grpSp>
        </xdr:grpSp>
        <xdr:grpSp>
          <xdr:nvGrpSpPr>
            <xdr:cNvPr id="38" name="Group 37">
              <a:extLst>
                <a:ext uri="{FF2B5EF4-FFF2-40B4-BE49-F238E27FC236}">
                  <a16:creationId xmlns:a16="http://schemas.microsoft.com/office/drawing/2014/main" id="{22226E3A-427D-5A19-B591-6CDB4D20A7BE}"/>
                </a:ext>
              </a:extLst>
            </xdr:cNvPr>
            <xdr:cNvGrpSpPr/>
          </xdr:nvGrpSpPr>
          <xdr:grpSpPr>
            <a:xfrm>
              <a:off x="649867" y="3332298"/>
              <a:ext cx="16379203" cy="2403657"/>
              <a:chOff x="649867" y="3332298"/>
              <a:chExt cx="16379203" cy="2403657"/>
            </a:xfrm>
          </xdr:grpSpPr>
          <xdr:graphicFrame macro="">
            <xdr:nvGraphicFramePr>
              <xdr:cNvPr id="43" name="Chart 42">
                <a:extLst>
                  <a:ext uri="{FF2B5EF4-FFF2-40B4-BE49-F238E27FC236}">
                    <a16:creationId xmlns:a16="http://schemas.microsoft.com/office/drawing/2014/main" id="{58A8DD2C-D5C6-409E-AAAA-4C21DC29A6B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649867" y="3332298"/>
              <a:ext cx="5076394" cy="2390419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"/>
              </a:graphicData>
            </a:graphic>
          </xdr:graphicFrame>
          <xdr:graphicFrame macro="">
            <xdr:nvGraphicFramePr>
              <xdr:cNvPr id="4" name="Chart 3">
                <a:extLst>
                  <a:ext uri="{FF2B5EF4-FFF2-40B4-BE49-F238E27FC236}">
                    <a16:creationId xmlns:a16="http://schemas.microsoft.com/office/drawing/2014/main" id="{46672ECB-61D5-4633-8A8C-3CBF30ED85ED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5887837" y="3342297"/>
              <a:ext cx="5076394" cy="2389372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"/>
              </a:graphicData>
            </a:graphic>
          </xdr:graphicFrame>
          <xdr:graphicFrame macro="">
            <xdr:nvGraphicFramePr>
              <xdr:cNvPr id="5" name="Chart 4">
                <a:extLst>
                  <a:ext uri="{FF2B5EF4-FFF2-40B4-BE49-F238E27FC236}">
                    <a16:creationId xmlns:a16="http://schemas.microsoft.com/office/drawing/2014/main" id="{35B36FAC-534C-4406-A4D5-B3C2F544948B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11125807" y="3346583"/>
              <a:ext cx="5903263" cy="2389372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"/>
              </a:graphicData>
            </a:graphic>
          </xdr:graphicFrame>
        </xdr:grp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EDC2F72F-E2F1-E210-4BBC-6DA3F033797F}"/>
              </a:ext>
            </a:extLst>
          </xdr:cNvPr>
          <xdr:cNvGrpSpPr/>
        </xdr:nvGrpSpPr>
        <xdr:grpSpPr>
          <a:xfrm>
            <a:off x="659641" y="5788925"/>
            <a:ext cx="16365941" cy="2743200"/>
            <a:chOff x="659641" y="5788925"/>
            <a:chExt cx="16365941" cy="2743200"/>
          </a:xfrm>
        </xdr:grpSpPr>
        <xdr:graphicFrame macro="">
          <xdr:nvGraphicFramePr>
            <xdr:cNvPr id="42" name="Chart 41">
              <a:extLst>
                <a:ext uri="{FF2B5EF4-FFF2-40B4-BE49-F238E27FC236}">
                  <a16:creationId xmlns:a16="http://schemas.microsoft.com/office/drawing/2014/main" id="{A73DFA22-3349-4F8F-8AF5-A7794C1323AB}"/>
                </a:ext>
              </a:extLst>
            </xdr:cNvPr>
            <xdr:cNvGraphicFramePr>
              <a:graphicFrameLocks/>
            </xdr:cNvGraphicFramePr>
          </xdr:nvGraphicFramePr>
          <xdr:xfrm>
            <a:off x="659641" y="5788925"/>
            <a:ext cx="8438865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9E129501-B808-9A6A-7438-2BE9413EBA54}"/>
                </a:ext>
              </a:extLst>
            </xdr:cNvPr>
            <xdr:cNvSpPr txBox="1"/>
          </xdr:nvSpPr>
          <xdr:spPr>
            <a:xfrm>
              <a:off x="9223612" y="5800299"/>
              <a:ext cx="7801970" cy="2729551"/>
            </a:xfrm>
            <a:prstGeom prst="rect">
              <a:avLst/>
            </a:prstGeom>
            <a:ln/>
          </xdr:spPr>
          <xdr:style>
            <a:lnRef idx="1">
              <a:schemeClr val="accent2"/>
            </a:lnRef>
            <a:fillRef idx="2">
              <a:schemeClr val="accent2"/>
            </a:fillRef>
            <a:effectRef idx="1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sz="2400" b="1" u="sng"/>
                <a:t>Executive</a:t>
              </a:r>
              <a:r>
                <a:rPr lang="en-IN" sz="2400" b="1" u="sng" baseline="0"/>
                <a:t> Recommendations:</a:t>
              </a:r>
              <a:endParaRPr lang="en-IN" sz="2400" b="1" u="sng"/>
            </a:p>
            <a:p>
              <a:endParaRPr lang="en-IN" sz="1800" b="1" u="sng"/>
            </a:p>
            <a:p>
              <a:r>
                <a:rPr lang="en-IN" sz="1800" b="1"/>
                <a:t>1. Increase exports to achieve the largest improvement in trade performance. </a:t>
              </a:r>
            </a:p>
            <a:p>
              <a:r>
                <a:rPr lang="en-IN" sz="1800" b="1"/>
                <a:t>2. Encourage GDP growth alongside export expansion to maintain a healthy Export-to-GDP Ratio. </a:t>
              </a:r>
            </a:p>
            <a:p>
              <a:r>
                <a:rPr lang="en-IN" sz="1800" b="1"/>
                <a:t>3. Monitor population growth, as it can reduce per-capita performance if exports and GDP do not keep pace. </a:t>
              </a:r>
            </a:p>
            <a:p>
              <a:r>
                <a:rPr lang="en-IN" sz="1800" b="1"/>
                <a:t>4. Prioritize export-led strategies for sustainable long-term economic growth.</a:t>
              </a:r>
            </a:p>
          </xdr:txBody>
        </xdr:sp>
      </xdr:grpSp>
    </xdr:grp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CDA969F-F891-41D9-B8E3-D3D0924DCA35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reporter_iso3" tableColumnId="1"/>
      <queryTableField id="2" name="reporter_name" tableColumnId="2"/>
      <queryTableField id="3" name="reference_year" tableColumnId="3"/>
      <queryTableField id="4" name="total_exports_usd" tableColumnId="4"/>
      <queryTableField id="5" name="gdp_current_usd" tableColumnId="5"/>
      <queryTableField id="6" name="population_total" tableColumnId="6"/>
      <queryTableField id="7" name="gdp_growth_annual_pct" tableColumnId="7"/>
      <queryTableField id="8" name="trade_pct_of_gdp" tableColumnId="8"/>
      <queryTableField id="9" name="export_per_capita" tableColumnId="9"/>
      <queryTableField id="10" name="gdp_per_capita" tableColumnId="10"/>
      <queryTableField id="11" name="export_to_gdp_ratio_pct" tableColumnId="11"/>
      <queryTableField id="12" name="global_export_rank" tableColumnId="12"/>
      <queryTableField id="13" name="previous_year_exports" tableColumnId="13"/>
      <queryTableField id="14" name="yoy_export_growth_pct" tableColumnId="14"/>
      <queryTableField id="15" dataBound="0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709454-78D5-4734-8F07-DAE5A3856489}" name="vw_scenario_analysis_dataset" displayName="vw_scenario_analysis_dataset" ref="A1:O1630" tableType="queryTable" totalsRowShown="0" headerRowDxfId="39" dataDxfId="38">
  <autoFilter ref="A1:O1630" xr:uid="{51709454-78D5-4734-8F07-DAE5A3856489}"/>
  <tableColumns count="15">
    <tableColumn id="1" xr3:uid="{A27CE423-E7F2-4B32-B85D-61ECC1AB6D65}" uniqueName="1" name="reporter_iso3" queryTableFieldId="1" dataDxfId="37"/>
    <tableColumn id="2" xr3:uid="{E4F5515E-9DF6-40FB-9F1A-2210F626834E}" uniqueName="2" name="reporter_name" queryTableFieldId="2" dataDxfId="36"/>
    <tableColumn id="3" xr3:uid="{5DE27CF5-F552-48F5-9384-F7989F7A6B9A}" uniqueName="3" name="reference_year" queryTableFieldId="3" dataDxfId="35"/>
    <tableColumn id="4" xr3:uid="{EBC800DC-F210-404A-B503-CCD2924038D2}" uniqueName="4" name="total_exports_usd" queryTableFieldId="4" dataDxfId="34"/>
    <tableColumn id="5" xr3:uid="{F6785553-029D-4DB8-B894-1BBB0A7FC76D}" uniqueName="5" name="gdp_current_usd" queryTableFieldId="5" dataDxfId="33"/>
    <tableColumn id="6" xr3:uid="{349725C6-9ED9-4B79-8D28-94BD84043DC6}" uniqueName="6" name="population_total" queryTableFieldId="6" dataDxfId="32"/>
    <tableColumn id="7" xr3:uid="{6EB55466-B59C-4AB2-916F-F3F411D9B03B}" uniqueName="7" name="gdp_growth_annual_pct" queryTableFieldId="7" dataDxfId="31"/>
    <tableColumn id="8" xr3:uid="{6D3EDD93-A71E-4661-B72B-46B2ED7A51FD}" uniqueName="8" name="trade_pct_of_gdp" queryTableFieldId="8" dataDxfId="30"/>
    <tableColumn id="9" xr3:uid="{B5783EDB-A944-4BEB-887B-25ADFB7D1BD5}" uniqueName="9" name="export_per_capita" queryTableFieldId="9" dataDxfId="29"/>
    <tableColumn id="10" xr3:uid="{38A7EFAF-D3B4-40D4-96A0-495CC75E9C1B}" uniqueName="10" name="gdp_per_capita" queryTableFieldId="10" dataDxfId="28"/>
    <tableColumn id="11" xr3:uid="{6BCB9A89-BD59-4B8F-BD2C-F9D76D2B3D34}" uniqueName="11" name="export_to_gdp_ratio_pct" queryTableFieldId="11" dataDxfId="27"/>
    <tableColumn id="12" xr3:uid="{27739075-6711-408E-AE31-2A3B956A3019}" uniqueName="12" name="global_export_rank" queryTableFieldId="12" dataDxfId="26"/>
    <tableColumn id="13" xr3:uid="{364E6164-7482-4AC0-96E5-6E4B430DF454}" uniqueName="13" name="previous_year_exports" queryTableFieldId="13" dataDxfId="25"/>
    <tableColumn id="14" xr3:uid="{895F4B17-C147-47FD-B326-F281FD081371}" uniqueName="14" name="yoy_export_growth_pct" queryTableFieldId="14" dataDxfId="24"/>
    <tableColumn id="15" xr3:uid="{0AE9F204-4955-4178-BBCF-777BAF552903}" uniqueName="15" name="lookup_key" queryTableFieldId="15" dataDxfId="23">
      <calculatedColumnFormula>vw_scenario_analysis_dataset[[#This Row],[reporter_name]] &amp; "-" &amp; vw_scenario_analysis_dataset[[#This Row],[reference_year]]</calculatedColumnFormula>
    </tableColumn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1772C-9B3E-4C11-87BE-C2BFD73AE56D}">
  <sheetPr>
    <tabColor rgb="FFFFFF00"/>
  </sheetPr>
  <dimension ref="A1:O1630"/>
  <sheetViews>
    <sheetView workbookViewId="0">
      <selection activeCell="C7" sqref="C7"/>
    </sheetView>
  </sheetViews>
  <sheetFormatPr defaultRowHeight="14.4" x14ac:dyDescent="0.3"/>
  <cols>
    <col min="1" max="1" width="16.109375" customWidth="1"/>
    <col min="2" max="2" width="28.109375" bestFit="1" customWidth="1"/>
    <col min="3" max="3" width="19.77734375" customWidth="1"/>
    <col min="4" max="4" width="22.88671875" customWidth="1"/>
    <col min="5" max="5" width="22.21875" customWidth="1"/>
    <col min="6" max="6" width="27.21875" customWidth="1"/>
    <col min="7" max="7" width="30.33203125" customWidth="1"/>
    <col min="8" max="8" width="25.6640625" customWidth="1"/>
    <col min="9" max="9" width="22.6640625" customWidth="1"/>
    <col min="10" max="10" width="21.44140625" customWidth="1"/>
    <col min="11" max="11" width="29.88671875" customWidth="1"/>
    <col min="12" max="12" width="26.33203125" customWidth="1"/>
    <col min="13" max="13" width="28.33203125" customWidth="1"/>
    <col min="14" max="14" width="28.21875" customWidth="1"/>
    <col min="15" max="15" width="32.88671875" bestFit="1" customWidth="1"/>
  </cols>
  <sheetData>
    <row r="1" spans="1:15" s="9" customForma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399</v>
      </c>
    </row>
    <row r="2" spans="1:15" x14ac:dyDescent="0.3">
      <c r="A2" s="8" t="s">
        <v>14</v>
      </c>
      <c r="B2" s="8" t="s">
        <v>15</v>
      </c>
      <c r="C2" s="8">
        <v>2015</v>
      </c>
      <c r="D2" s="8">
        <v>159764410</v>
      </c>
      <c r="E2" s="8">
        <v>2962906704</v>
      </c>
      <c r="F2" s="8">
        <v>107906</v>
      </c>
      <c r="G2" s="8">
        <v>3.6114790659999998</v>
      </c>
      <c r="H2" s="8">
        <v>140.49300109999999</v>
      </c>
      <c r="I2" s="8">
        <v>1480.59</v>
      </c>
      <c r="J2" s="8">
        <v>27458.22</v>
      </c>
      <c r="K2" s="8">
        <v>5.39</v>
      </c>
      <c r="L2" s="8">
        <v>157</v>
      </c>
      <c r="M2" s="8"/>
      <c r="N2" s="8"/>
      <c r="O2" s="8" t="str">
        <f>vw_scenario_analysis_dataset[[#This Row],[reporter_name]] &amp; "-" &amp; vw_scenario_analysis_dataset[[#This Row],[reference_year]]</f>
        <v>Aruba-2015</v>
      </c>
    </row>
    <row r="3" spans="1:15" x14ac:dyDescent="0.3">
      <c r="A3" s="8" t="s">
        <v>14</v>
      </c>
      <c r="B3" s="8" t="s">
        <v>15</v>
      </c>
      <c r="C3" s="8">
        <v>2016</v>
      </c>
      <c r="D3" s="8">
        <v>190792982.44</v>
      </c>
      <c r="E3" s="8">
        <v>2983637430</v>
      </c>
      <c r="F3" s="8">
        <v>108727</v>
      </c>
      <c r="G3" s="8">
        <v>1.234335374</v>
      </c>
      <c r="H3" s="8">
        <v>136.8872633</v>
      </c>
      <c r="I3" s="8">
        <v>1754.79</v>
      </c>
      <c r="J3" s="8">
        <v>27441.55</v>
      </c>
      <c r="K3" s="8">
        <v>6.39</v>
      </c>
      <c r="L3" s="8">
        <v>157</v>
      </c>
      <c r="M3" s="8">
        <v>159764410</v>
      </c>
      <c r="N3" s="8">
        <v>19.420000000000002</v>
      </c>
      <c r="O3" s="8" t="str">
        <f>vw_scenario_analysis_dataset[[#This Row],[reporter_name]] &amp; "-" &amp; vw_scenario_analysis_dataset[[#This Row],[reference_year]]</f>
        <v>Aruba-2016</v>
      </c>
    </row>
    <row r="4" spans="1:15" x14ac:dyDescent="0.3">
      <c r="A4" s="8" t="s">
        <v>14</v>
      </c>
      <c r="B4" s="8" t="s">
        <v>15</v>
      </c>
      <c r="C4" s="8">
        <v>2017</v>
      </c>
      <c r="D4" s="8">
        <v>177666674.76099998</v>
      </c>
      <c r="E4" s="8">
        <v>3092427933</v>
      </c>
      <c r="F4" s="8">
        <v>108735</v>
      </c>
      <c r="G4" s="8">
        <v>3.4934298529999999</v>
      </c>
      <c r="H4" s="8">
        <v>138.7166201</v>
      </c>
      <c r="I4" s="8">
        <v>1633.94</v>
      </c>
      <c r="J4" s="8">
        <v>28440.04</v>
      </c>
      <c r="K4" s="8">
        <v>5.75</v>
      </c>
      <c r="L4" s="8">
        <v>159</v>
      </c>
      <c r="M4" s="8">
        <v>190792982.44</v>
      </c>
      <c r="N4" s="8">
        <v>-6.88</v>
      </c>
      <c r="O4" s="8" t="str">
        <f>vw_scenario_analysis_dataset[[#This Row],[reporter_name]] &amp; "-" &amp; vw_scenario_analysis_dataset[[#This Row],[reference_year]]</f>
        <v>Aruba-2017</v>
      </c>
    </row>
    <row r="5" spans="1:15" x14ac:dyDescent="0.3">
      <c r="A5" s="8" t="s">
        <v>14</v>
      </c>
      <c r="B5" s="8" t="s">
        <v>15</v>
      </c>
      <c r="C5" s="8">
        <v>2018</v>
      </c>
      <c r="D5" s="8">
        <v>138940748.62699997</v>
      </c>
      <c r="E5" s="8">
        <v>3276187709</v>
      </c>
      <c r="F5" s="8">
        <v>108908</v>
      </c>
      <c r="G5" s="8">
        <v>3.2124711189999999</v>
      </c>
      <c r="H5" s="8">
        <v>138.82497219999999</v>
      </c>
      <c r="I5" s="8">
        <v>1275.76</v>
      </c>
      <c r="J5" s="8">
        <v>30082.16</v>
      </c>
      <c r="K5" s="8">
        <v>4.24</v>
      </c>
      <c r="L5" s="8">
        <v>156</v>
      </c>
      <c r="M5" s="8">
        <v>177666674.76099998</v>
      </c>
      <c r="N5" s="8">
        <v>-21.8</v>
      </c>
      <c r="O5" s="8" t="str">
        <f>vw_scenario_analysis_dataset[[#This Row],[reporter_name]] &amp; "-" &amp; vw_scenario_analysis_dataset[[#This Row],[reference_year]]</f>
        <v>Aruba-2018</v>
      </c>
    </row>
    <row r="6" spans="1:15" x14ac:dyDescent="0.3">
      <c r="A6" s="8" t="s">
        <v>14</v>
      </c>
      <c r="B6" s="8" t="s">
        <v>15</v>
      </c>
      <c r="C6" s="8">
        <v>2019</v>
      </c>
      <c r="D6" s="8">
        <v>157285878.76499999</v>
      </c>
      <c r="E6" s="8">
        <v>3347561739</v>
      </c>
      <c r="F6" s="8">
        <v>109203</v>
      </c>
      <c r="G6" s="8">
        <v>1.2291440890000001</v>
      </c>
      <c r="H6" s="8">
        <v>137.92324930000001</v>
      </c>
      <c r="I6" s="8">
        <v>1440.31</v>
      </c>
      <c r="J6" s="8">
        <v>30654.49</v>
      </c>
      <c r="K6" s="8">
        <v>4.7</v>
      </c>
      <c r="L6" s="8">
        <v>154</v>
      </c>
      <c r="M6" s="8">
        <v>138940748.62699997</v>
      </c>
      <c r="N6" s="8">
        <v>13.2</v>
      </c>
      <c r="O6" s="8" t="str">
        <f>vw_scenario_analysis_dataset[[#This Row],[reporter_name]] &amp; "-" &amp; vw_scenario_analysis_dataset[[#This Row],[reference_year]]</f>
        <v>Aruba-2019</v>
      </c>
    </row>
    <row r="7" spans="1:15" x14ac:dyDescent="0.3">
      <c r="A7" s="8" t="s">
        <v>14</v>
      </c>
      <c r="B7" s="8" t="s">
        <v>15</v>
      </c>
      <c r="C7" s="8">
        <v>2020</v>
      </c>
      <c r="D7" s="8">
        <v>131859450.52899998</v>
      </c>
      <c r="E7" s="8">
        <v>2461056053</v>
      </c>
      <c r="F7" s="8">
        <v>108587</v>
      </c>
      <c r="G7" s="8">
        <v>-23.940059269999999</v>
      </c>
      <c r="H7" s="8">
        <v>123.2405037</v>
      </c>
      <c r="I7" s="8">
        <v>1214.32</v>
      </c>
      <c r="J7" s="8">
        <v>22664.37</v>
      </c>
      <c r="K7" s="8">
        <v>5.36</v>
      </c>
      <c r="L7" s="8">
        <v>149</v>
      </c>
      <c r="M7" s="8">
        <v>157285878.76499999</v>
      </c>
      <c r="N7" s="8">
        <v>-16.170000000000002</v>
      </c>
      <c r="O7" s="8" t="str">
        <f>vw_scenario_analysis_dataset[[#This Row],[reporter_name]] &amp; "-" &amp; vw_scenario_analysis_dataset[[#This Row],[reference_year]]</f>
        <v>Aruba-2020</v>
      </c>
    </row>
    <row r="8" spans="1:15" x14ac:dyDescent="0.3">
      <c r="A8" s="8" t="s">
        <v>14</v>
      </c>
      <c r="B8" s="8" t="s">
        <v>15</v>
      </c>
      <c r="C8" s="8">
        <v>2021</v>
      </c>
      <c r="D8" s="8">
        <v>176694015.38599998</v>
      </c>
      <c r="E8" s="8">
        <v>2889305034</v>
      </c>
      <c r="F8" s="8">
        <v>107700</v>
      </c>
      <c r="G8" s="8">
        <v>14.833691979999999</v>
      </c>
      <c r="H8" s="8">
        <v>139.51090260000001</v>
      </c>
      <c r="I8" s="8">
        <v>1640.61</v>
      </c>
      <c r="J8" s="8">
        <v>26827.34</v>
      </c>
      <c r="K8" s="8">
        <v>6.12</v>
      </c>
      <c r="L8" s="8">
        <v>149</v>
      </c>
      <c r="M8" s="8">
        <v>131859450.52899998</v>
      </c>
      <c r="N8" s="8">
        <v>34</v>
      </c>
      <c r="O8" s="8" t="str">
        <f>vw_scenario_analysis_dataset[[#This Row],[reporter_name]] &amp; "-" &amp; vw_scenario_analysis_dataset[[#This Row],[reference_year]]</f>
        <v>Aruba-2021</v>
      </c>
    </row>
    <row r="9" spans="1:15" x14ac:dyDescent="0.3">
      <c r="A9" s="8" t="s">
        <v>14</v>
      </c>
      <c r="B9" s="8" t="s">
        <v>15</v>
      </c>
      <c r="C9" s="8">
        <v>2022</v>
      </c>
      <c r="D9" s="8">
        <v>209593573.58200002</v>
      </c>
      <c r="E9" s="8">
        <v>3326671315</v>
      </c>
      <c r="F9" s="8">
        <v>107310</v>
      </c>
      <c r="G9" s="8">
        <v>10.607960759999999</v>
      </c>
      <c r="H9" s="8">
        <v>160.55814100000001</v>
      </c>
      <c r="I9" s="8">
        <v>1953.16</v>
      </c>
      <c r="J9" s="8">
        <v>31000.57</v>
      </c>
      <c r="K9" s="8">
        <v>6.3</v>
      </c>
      <c r="L9" s="8">
        <v>148</v>
      </c>
      <c r="M9" s="8">
        <v>176694015.38599998</v>
      </c>
      <c r="N9" s="8">
        <v>18.62</v>
      </c>
      <c r="O9" s="8" t="str">
        <f>vw_scenario_analysis_dataset[[#This Row],[reporter_name]] &amp; "-" &amp; vw_scenario_analysis_dataset[[#This Row],[reference_year]]</f>
        <v>Aruba-2022</v>
      </c>
    </row>
    <row r="10" spans="1:15" x14ac:dyDescent="0.3">
      <c r="A10" s="8" t="s">
        <v>14</v>
      </c>
      <c r="B10" s="8" t="s">
        <v>15</v>
      </c>
      <c r="C10" s="8">
        <v>2023</v>
      </c>
      <c r="D10" s="8">
        <v>222009827.03600001</v>
      </c>
      <c r="E10" s="8">
        <v>3746573413</v>
      </c>
      <c r="F10" s="8">
        <v>107359</v>
      </c>
      <c r="G10" s="8">
        <v>9.5163602229999995</v>
      </c>
      <c r="H10" s="8">
        <v>153.7191583</v>
      </c>
      <c r="I10" s="8">
        <v>2067.92</v>
      </c>
      <c r="J10" s="8">
        <v>34897.620000000003</v>
      </c>
      <c r="K10" s="8">
        <v>5.93</v>
      </c>
      <c r="L10" s="8">
        <v>146</v>
      </c>
      <c r="M10" s="8">
        <v>209593573.58200002</v>
      </c>
      <c r="N10" s="8">
        <v>5.92</v>
      </c>
      <c r="O10" s="8" t="str">
        <f>vw_scenario_analysis_dataset[[#This Row],[reporter_name]] &amp; "-" &amp; vw_scenario_analysis_dataset[[#This Row],[reference_year]]</f>
        <v>Aruba-2023</v>
      </c>
    </row>
    <row r="11" spans="1:15" x14ac:dyDescent="0.3">
      <c r="A11" s="8" t="s">
        <v>16</v>
      </c>
      <c r="B11" s="8" t="s">
        <v>17</v>
      </c>
      <c r="C11" s="8">
        <v>2015</v>
      </c>
      <c r="D11" s="8">
        <v>1142809936</v>
      </c>
      <c r="E11" s="8">
        <v>19134221645</v>
      </c>
      <c r="F11" s="8">
        <v>33831764</v>
      </c>
      <c r="G11" s="8">
        <v>1.4513146610000001</v>
      </c>
      <c r="H11" s="8"/>
      <c r="I11" s="8">
        <v>33.78</v>
      </c>
      <c r="J11" s="8">
        <v>565.57000000000005</v>
      </c>
      <c r="K11" s="8">
        <v>5.97</v>
      </c>
      <c r="L11" s="8">
        <v>139</v>
      </c>
      <c r="M11" s="8"/>
      <c r="N11" s="8"/>
      <c r="O11" s="8" t="str">
        <f>vw_scenario_analysis_dataset[[#This Row],[reporter_name]] &amp; "-" &amp; vw_scenario_analysis_dataset[[#This Row],[reference_year]]</f>
        <v>Afghanistan-2015</v>
      </c>
    </row>
    <row r="12" spans="1:15" x14ac:dyDescent="0.3">
      <c r="A12" s="8" t="s">
        <v>16</v>
      </c>
      <c r="B12" s="8" t="s">
        <v>17</v>
      </c>
      <c r="C12" s="8">
        <v>2016</v>
      </c>
      <c r="D12" s="8">
        <v>1192910671</v>
      </c>
      <c r="E12" s="8">
        <v>18116572395</v>
      </c>
      <c r="F12" s="8">
        <v>34700612</v>
      </c>
      <c r="G12" s="8">
        <v>2.2603142030000001</v>
      </c>
      <c r="H12" s="8"/>
      <c r="I12" s="8">
        <v>34.380000000000003</v>
      </c>
      <c r="J12" s="8">
        <v>522.08000000000004</v>
      </c>
      <c r="K12" s="8">
        <v>6.58</v>
      </c>
      <c r="L12" s="8">
        <v>140</v>
      </c>
      <c r="M12" s="8">
        <v>1142809936</v>
      </c>
      <c r="N12" s="8">
        <v>4.38</v>
      </c>
      <c r="O12" s="8" t="str">
        <f>vw_scenario_analysis_dataset[[#This Row],[reporter_name]] &amp; "-" &amp; vw_scenario_analysis_dataset[[#This Row],[reference_year]]</f>
        <v>Afghanistan-2016</v>
      </c>
    </row>
    <row r="13" spans="1:15" x14ac:dyDescent="0.3">
      <c r="A13" s="8" t="s">
        <v>16</v>
      </c>
      <c r="B13" s="8" t="s">
        <v>17</v>
      </c>
      <c r="C13" s="8">
        <v>2017</v>
      </c>
      <c r="D13" s="8">
        <v>1663853543.54</v>
      </c>
      <c r="E13" s="8">
        <v>18753456498</v>
      </c>
      <c r="F13" s="8">
        <v>35688935</v>
      </c>
      <c r="G13" s="8">
        <v>2.6470032030000001</v>
      </c>
      <c r="H13" s="8"/>
      <c r="I13" s="8">
        <v>46.62</v>
      </c>
      <c r="J13" s="8">
        <v>525.47</v>
      </c>
      <c r="K13" s="8">
        <v>8.8699999999999992</v>
      </c>
      <c r="L13" s="8">
        <v>138</v>
      </c>
      <c r="M13" s="8">
        <v>1192910671</v>
      </c>
      <c r="N13" s="8">
        <v>39.479999999999997</v>
      </c>
      <c r="O13" s="8" t="str">
        <f>vw_scenario_analysis_dataset[[#This Row],[reporter_name]] &amp; "-" &amp; vw_scenario_analysis_dataset[[#This Row],[reference_year]]</f>
        <v>Afghanistan-2017</v>
      </c>
    </row>
    <row r="14" spans="1:15" x14ac:dyDescent="0.3">
      <c r="A14" s="8" t="s">
        <v>16</v>
      </c>
      <c r="B14" s="8" t="s">
        <v>17</v>
      </c>
      <c r="C14" s="8">
        <v>2018</v>
      </c>
      <c r="D14" s="8">
        <v>1769008992.7400007</v>
      </c>
      <c r="E14" s="8">
        <v>18053222687</v>
      </c>
      <c r="F14" s="8">
        <v>36743039</v>
      </c>
      <c r="G14" s="8">
        <v>1.189228129</v>
      </c>
      <c r="H14" s="8"/>
      <c r="I14" s="8">
        <v>48.15</v>
      </c>
      <c r="J14" s="8">
        <v>491.34</v>
      </c>
      <c r="K14" s="8">
        <v>9.8000000000000007</v>
      </c>
      <c r="L14" s="8">
        <v>135</v>
      </c>
      <c r="M14" s="8">
        <v>1663853543.54</v>
      </c>
      <c r="N14" s="8">
        <v>6.32</v>
      </c>
      <c r="O14" s="8" t="str">
        <f>vw_scenario_analysis_dataset[[#This Row],[reporter_name]] &amp; "-" &amp; vw_scenario_analysis_dataset[[#This Row],[reference_year]]</f>
        <v>Afghanistan-2018</v>
      </c>
    </row>
    <row r="15" spans="1:15" x14ac:dyDescent="0.3">
      <c r="A15" s="8" t="s">
        <v>16</v>
      </c>
      <c r="B15" s="8" t="s">
        <v>17</v>
      </c>
      <c r="C15" s="8">
        <v>2019</v>
      </c>
      <c r="D15" s="8">
        <v>1740977024.9199996</v>
      </c>
      <c r="E15" s="8">
        <v>18799444490</v>
      </c>
      <c r="F15" s="8">
        <v>37856121</v>
      </c>
      <c r="G15" s="8">
        <v>3.9116034160000002</v>
      </c>
      <c r="H15" s="8"/>
      <c r="I15" s="8">
        <v>45.99</v>
      </c>
      <c r="J15" s="8">
        <v>496.6</v>
      </c>
      <c r="K15" s="8">
        <v>9.26</v>
      </c>
      <c r="L15" s="8">
        <v>136</v>
      </c>
      <c r="M15" s="8">
        <v>1769008992.7400007</v>
      </c>
      <c r="N15" s="8">
        <v>-1.58</v>
      </c>
      <c r="O15" s="8" t="str">
        <f>vw_scenario_analysis_dataset[[#This Row],[reporter_name]] &amp; "-" &amp; vw_scenario_analysis_dataset[[#This Row],[reference_year]]</f>
        <v>Afghanistan-2019</v>
      </c>
    </row>
    <row r="16" spans="1:15" x14ac:dyDescent="0.3">
      <c r="A16" s="8" t="s">
        <v>18</v>
      </c>
      <c r="B16" s="8" t="s">
        <v>19</v>
      </c>
      <c r="C16" s="8">
        <v>2015</v>
      </c>
      <c r="D16" s="8">
        <v>67849874956.620018</v>
      </c>
      <c r="E16" s="8">
        <v>103000000000</v>
      </c>
      <c r="F16" s="8">
        <v>28157798</v>
      </c>
      <c r="G16" s="8">
        <v>0.76317771099999998</v>
      </c>
      <c r="H16" s="8">
        <v>54.979380880000001</v>
      </c>
      <c r="I16" s="8">
        <v>2409.63</v>
      </c>
      <c r="J16" s="8">
        <v>3657.96</v>
      </c>
      <c r="K16" s="8">
        <v>65.87</v>
      </c>
      <c r="L16" s="8">
        <v>54</v>
      </c>
      <c r="M16" s="8"/>
      <c r="N16" s="8"/>
      <c r="O16" s="8" t="str">
        <f>vw_scenario_analysis_dataset[[#This Row],[reporter_name]] &amp; "-" &amp; vw_scenario_analysis_dataset[[#This Row],[reference_year]]</f>
        <v>Angola-2015</v>
      </c>
    </row>
    <row r="17" spans="1:15" x14ac:dyDescent="0.3">
      <c r="A17" s="8" t="s">
        <v>18</v>
      </c>
      <c r="B17" s="8" t="s">
        <v>19</v>
      </c>
      <c r="C17" s="8">
        <v>2016</v>
      </c>
      <c r="D17" s="8">
        <v>56114999044.780014</v>
      </c>
      <c r="E17" s="8">
        <v>60770049747</v>
      </c>
      <c r="F17" s="8">
        <v>29183070</v>
      </c>
      <c r="G17" s="8">
        <v>-0.233076955</v>
      </c>
      <c r="H17" s="8">
        <v>46.325613060000002</v>
      </c>
      <c r="I17" s="8">
        <v>1922.86</v>
      </c>
      <c r="J17" s="8">
        <v>2082.37</v>
      </c>
      <c r="K17" s="8">
        <v>92.34</v>
      </c>
      <c r="L17" s="8">
        <v>55</v>
      </c>
      <c r="M17" s="8">
        <v>67849874956.620018</v>
      </c>
      <c r="N17" s="8">
        <v>-17.3</v>
      </c>
      <c r="O17" s="8" t="str">
        <f>vw_scenario_analysis_dataset[[#This Row],[reporter_name]] &amp; "-" &amp; vw_scenario_analysis_dataset[[#This Row],[reference_year]]</f>
        <v>Angola-2016</v>
      </c>
    </row>
    <row r="18" spans="1:15" x14ac:dyDescent="0.3">
      <c r="A18" s="8" t="s">
        <v>18</v>
      </c>
      <c r="B18" s="8" t="s">
        <v>19</v>
      </c>
      <c r="C18" s="8">
        <v>2017</v>
      </c>
      <c r="D18" s="8">
        <v>83365332635.699966</v>
      </c>
      <c r="E18" s="8">
        <v>85629598654</v>
      </c>
      <c r="F18" s="8">
        <v>30234839</v>
      </c>
      <c r="G18" s="8">
        <v>-0.16468865699999999</v>
      </c>
      <c r="H18" s="8">
        <v>44.996325319999997</v>
      </c>
      <c r="I18" s="8">
        <v>2757.26</v>
      </c>
      <c r="J18" s="8">
        <v>2832.15</v>
      </c>
      <c r="K18" s="8">
        <v>97.36</v>
      </c>
      <c r="L18" s="8">
        <v>49</v>
      </c>
      <c r="M18" s="8">
        <v>56114999044.780014</v>
      </c>
      <c r="N18" s="8">
        <v>48.56</v>
      </c>
      <c r="O18" s="8" t="str">
        <f>vw_scenario_analysis_dataset[[#This Row],[reporter_name]] &amp; "-" &amp; vw_scenario_analysis_dataset[[#This Row],[reference_year]]</f>
        <v>Angola-2017</v>
      </c>
    </row>
    <row r="19" spans="1:15" x14ac:dyDescent="0.3">
      <c r="A19" s="8" t="s">
        <v>18</v>
      </c>
      <c r="B19" s="8" t="s">
        <v>19</v>
      </c>
      <c r="C19" s="8">
        <v>2018</v>
      </c>
      <c r="D19" s="8">
        <v>81329437629.91893</v>
      </c>
      <c r="E19" s="8">
        <v>90506061877</v>
      </c>
      <c r="F19" s="8">
        <v>31297155</v>
      </c>
      <c r="G19" s="8">
        <v>-0.506697544</v>
      </c>
      <c r="H19" s="8">
        <v>58.269895390000002</v>
      </c>
      <c r="I19" s="8">
        <v>2598.62</v>
      </c>
      <c r="J19" s="8">
        <v>2891.83</v>
      </c>
      <c r="K19" s="8">
        <v>89.86</v>
      </c>
      <c r="L19" s="8">
        <v>51</v>
      </c>
      <c r="M19" s="8">
        <v>83365332635.699966</v>
      </c>
      <c r="N19" s="8">
        <v>-2.44</v>
      </c>
      <c r="O19" s="8" t="str">
        <f>vw_scenario_analysis_dataset[[#This Row],[reporter_name]] &amp; "-" &amp; vw_scenario_analysis_dataset[[#This Row],[reference_year]]</f>
        <v>Angola-2018</v>
      </c>
    </row>
    <row r="20" spans="1:15" x14ac:dyDescent="0.3">
      <c r="A20" s="8" t="s">
        <v>18</v>
      </c>
      <c r="B20" s="8" t="s">
        <v>19</v>
      </c>
      <c r="C20" s="8">
        <v>2019</v>
      </c>
      <c r="D20" s="8">
        <v>70864909717.669067</v>
      </c>
      <c r="E20" s="8">
        <v>81193813808</v>
      </c>
      <c r="F20" s="8">
        <v>32375632</v>
      </c>
      <c r="G20" s="8">
        <v>-1.055234145</v>
      </c>
      <c r="H20" s="8">
        <v>60.371306869999998</v>
      </c>
      <c r="I20" s="8">
        <v>2188.83</v>
      </c>
      <c r="J20" s="8">
        <v>2507.87</v>
      </c>
      <c r="K20" s="8">
        <v>87.28</v>
      </c>
      <c r="L20" s="8">
        <v>54</v>
      </c>
      <c r="M20" s="8">
        <v>81329437629.91893</v>
      </c>
      <c r="N20" s="8">
        <v>-12.87</v>
      </c>
      <c r="O20" s="8" t="str">
        <f>vw_scenario_analysis_dataset[[#This Row],[reporter_name]] &amp; "-" &amp; vw_scenario_analysis_dataset[[#This Row],[reference_year]]</f>
        <v>Angola-2019</v>
      </c>
    </row>
    <row r="21" spans="1:15" x14ac:dyDescent="0.3">
      <c r="A21" s="8" t="s">
        <v>18</v>
      </c>
      <c r="B21" s="8" t="s">
        <v>19</v>
      </c>
      <c r="C21" s="8">
        <v>2020</v>
      </c>
      <c r="D21" s="8">
        <v>44008635280.555</v>
      </c>
      <c r="E21" s="8">
        <v>58512033806</v>
      </c>
      <c r="F21" s="8">
        <v>33451132</v>
      </c>
      <c r="G21" s="8">
        <v>-5.2734912830000003</v>
      </c>
      <c r="H21" s="8">
        <v>54.660403070000001</v>
      </c>
      <c r="I21" s="8">
        <v>1315.61</v>
      </c>
      <c r="J21" s="8">
        <v>1749.18</v>
      </c>
      <c r="K21" s="8">
        <v>75.209999999999994</v>
      </c>
      <c r="L21" s="8">
        <v>60</v>
      </c>
      <c r="M21" s="8">
        <v>70864909717.669067</v>
      </c>
      <c r="N21" s="8">
        <v>-37.9</v>
      </c>
      <c r="O21" s="8" t="str">
        <f>vw_scenario_analysis_dataset[[#This Row],[reporter_name]] &amp; "-" &amp; vw_scenario_analysis_dataset[[#This Row],[reference_year]]</f>
        <v>Angola-2020</v>
      </c>
    </row>
    <row r="22" spans="1:15" x14ac:dyDescent="0.3">
      <c r="A22" s="8" t="s">
        <v>18</v>
      </c>
      <c r="B22" s="8" t="s">
        <v>19</v>
      </c>
      <c r="C22" s="8">
        <v>2021</v>
      </c>
      <c r="D22" s="8">
        <v>68944323913.666977</v>
      </c>
      <c r="E22" s="8">
        <v>78283923544</v>
      </c>
      <c r="F22" s="8">
        <v>34532429</v>
      </c>
      <c r="G22" s="8">
        <v>1.090583699</v>
      </c>
      <c r="H22" s="8">
        <v>62.528770530000003</v>
      </c>
      <c r="I22" s="8">
        <v>1996.51</v>
      </c>
      <c r="J22" s="8">
        <v>2266.9699999999998</v>
      </c>
      <c r="K22" s="8">
        <v>88.07</v>
      </c>
      <c r="L22" s="8">
        <v>59</v>
      </c>
      <c r="M22" s="8">
        <v>44008635280.555</v>
      </c>
      <c r="N22" s="8">
        <v>56.66</v>
      </c>
      <c r="O22" s="8" t="str">
        <f>vw_scenario_analysis_dataset[[#This Row],[reporter_name]] &amp; "-" &amp; vw_scenario_analysis_dataset[[#This Row],[reference_year]]</f>
        <v>Angola-2021</v>
      </c>
    </row>
    <row r="23" spans="1:15" x14ac:dyDescent="0.3">
      <c r="A23" s="8" t="s">
        <v>18</v>
      </c>
      <c r="B23" s="8" t="s">
        <v>19</v>
      </c>
      <c r="C23" s="8">
        <v>2022</v>
      </c>
      <c r="D23" s="8">
        <v>102549903423.29498</v>
      </c>
      <c r="E23" s="8">
        <v>128000000000</v>
      </c>
      <c r="F23" s="8">
        <v>35635029</v>
      </c>
      <c r="G23" s="8">
        <v>3.5574920670000001</v>
      </c>
      <c r="H23" s="8">
        <v>56.538072229999997</v>
      </c>
      <c r="I23" s="8">
        <v>2877.78</v>
      </c>
      <c r="J23" s="8">
        <v>3591.97</v>
      </c>
      <c r="K23" s="8">
        <v>80.12</v>
      </c>
      <c r="L23" s="8">
        <v>52</v>
      </c>
      <c r="M23" s="8">
        <v>68944323913.666977</v>
      </c>
      <c r="N23" s="8">
        <v>48.74</v>
      </c>
      <c r="O23" s="8" t="str">
        <f>vw_scenario_analysis_dataset[[#This Row],[reporter_name]] &amp; "-" &amp; vw_scenario_analysis_dataset[[#This Row],[reference_year]]</f>
        <v>Angola-2022</v>
      </c>
    </row>
    <row r="24" spans="1:15" x14ac:dyDescent="0.3">
      <c r="A24" s="8" t="s">
        <v>18</v>
      </c>
      <c r="B24" s="8" t="s">
        <v>19</v>
      </c>
      <c r="C24" s="8">
        <v>2023</v>
      </c>
      <c r="D24" s="8">
        <v>77463173150.095993</v>
      </c>
      <c r="E24" s="8">
        <v>106000000000</v>
      </c>
      <c r="F24" s="8">
        <v>36749906</v>
      </c>
      <c r="G24" s="8">
        <v>1.3201658709999999</v>
      </c>
      <c r="H24" s="8">
        <v>53.607012650000001</v>
      </c>
      <c r="I24" s="8">
        <v>2107.85</v>
      </c>
      <c r="J24" s="8">
        <v>2884.36</v>
      </c>
      <c r="K24" s="8">
        <v>73.08</v>
      </c>
      <c r="L24" s="8">
        <v>55</v>
      </c>
      <c r="M24" s="8">
        <v>102549903423.29498</v>
      </c>
      <c r="N24" s="8">
        <v>-24.46</v>
      </c>
      <c r="O24" s="8" t="str">
        <f>vw_scenario_analysis_dataset[[#This Row],[reporter_name]] &amp; "-" &amp; vw_scenario_analysis_dataset[[#This Row],[reference_year]]</f>
        <v>Angola-2023</v>
      </c>
    </row>
    <row r="25" spans="1:15" x14ac:dyDescent="0.3">
      <c r="A25" s="8" t="s">
        <v>18</v>
      </c>
      <c r="B25" s="8" t="s">
        <v>19</v>
      </c>
      <c r="C25" s="8">
        <v>2024</v>
      </c>
      <c r="D25" s="8">
        <v>78743268793.103989</v>
      </c>
      <c r="E25" s="8">
        <v>103000000000</v>
      </c>
      <c r="F25" s="8">
        <v>37885849</v>
      </c>
      <c r="G25" s="8">
        <v>4.9526786039999999</v>
      </c>
      <c r="H25" s="8">
        <v>49.848950670000001</v>
      </c>
      <c r="I25" s="8">
        <v>2078.4299999999998</v>
      </c>
      <c r="J25" s="8">
        <v>2718.69</v>
      </c>
      <c r="K25" s="8">
        <v>76.45</v>
      </c>
      <c r="L25" s="8">
        <v>55</v>
      </c>
      <c r="M25" s="8">
        <v>77463173150.095993</v>
      </c>
      <c r="N25" s="8">
        <v>1.65</v>
      </c>
      <c r="O25" s="8" t="str">
        <f>vw_scenario_analysis_dataset[[#This Row],[reporter_name]] &amp; "-" &amp; vw_scenario_analysis_dataset[[#This Row],[reference_year]]</f>
        <v>Angola-2024</v>
      </c>
    </row>
    <row r="26" spans="1:15" x14ac:dyDescent="0.3">
      <c r="A26" s="8" t="s">
        <v>20</v>
      </c>
      <c r="B26" s="8" t="s">
        <v>21</v>
      </c>
      <c r="C26" s="8">
        <v>2015</v>
      </c>
      <c r="D26" s="8">
        <v>3859314063</v>
      </c>
      <c r="E26" s="8">
        <v>11470171827</v>
      </c>
      <c r="F26" s="8">
        <v>2731293</v>
      </c>
      <c r="G26" s="8">
        <v>2.2277040750000001</v>
      </c>
      <c r="H26" s="8">
        <v>71.279447660000002</v>
      </c>
      <c r="I26" s="8">
        <v>1413</v>
      </c>
      <c r="J26" s="8">
        <v>4199.54</v>
      </c>
      <c r="K26" s="8">
        <v>33.65</v>
      </c>
      <c r="L26" s="8">
        <v>118</v>
      </c>
      <c r="M26" s="8"/>
      <c r="N26" s="8"/>
      <c r="O26" s="8" t="str">
        <f>vw_scenario_analysis_dataset[[#This Row],[reporter_name]] &amp; "-" &amp; vw_scenario_analysis_dataset[[#This Row],[reference_year]]</f>
        <v>Albania-2015</v>
      </c>
    </row>
    <row r="27" spans="1:15" x14ac:dyDescent="0.3">
      <c r="A27" s="8" t="s">
        <v>20</v>
      </c>
      <c r="B27" s="8" t="s">
        <v>21</v>
      </c>
      <c r="C27" s="8">
        <v>2016</v>
      </c>
      <c r="D27" s="8">
        <v>3924234833</v>
      </c>
      <c r="E27" s="8">
        <v>11988668785</v>
      </c>
      <c r="F27" s="8">
        <v>2689469</v>
      </c>
      <c r="G27" s="8">
        <v>3.9089355139999999</v>
      </c>
      <c r="H27" s="8">
        <v>74.014450449999998</v>
      </c>
      <c r="I27" s="8">
        <v>1459.11</v>
      </c>
      <c r="J27" s="8">
        <v>4457.63</v>
      </c>
      <c r="K27" s="8">
        <v>32.729999999999997</v>
      </c>
      <c r="L27" s="8">
        <v>122</v>
      </c>
      <c r="M27" s="8">
        <v>3859314063</v>
      </c>
      <c r="N27" s="8">
        <v>1.68</v>
      </c>
      <c r="O27" s="8" t="str">
        <f>vw_scenario_analysis_dataset[[#This Row],[reporter_name]] &amp; "-" &amp; vw_scenario_analysis_dataset[[#This Row],[reference_year]]</f>
        <v>Albania-2016</v>
      </c>
    </row>
    <row r="28" spans="1:15" x14ac:dyDescent="0.3">
      <c r="A28" s="8" t="s">
        <v>20</v>
      </c>
      <c r="B28" s="8" t="s">
        <v>21</v>
      </c>
      <c r="C28" s="8">
        <v>2017</v>
      </c>
      <c r="D28" s="8">
        <v>4602681931.3390017</v>
      </c>
      <c r="E28" s="8">
        <v>13258268436</v>
      </c>
      <c r="F28" s="8">
        <v>2648285</v>
      </c>
      <c r="G28" s="8">
        <v>3.2831759329999999</v>
      </c>
      <c r="H28" s="8">
        <v>76.787381789999998</v>
      </c>
      <c r="I28" s="8">
        <v>1737.99</v>
      </c>
      <c r="J28" s="8">
        <v>5006.3599999999997</v>
      </c>
      <c r="K28" s="8">
        <v>34.72</v>
      </c>
      <c r="L28" s="8">
        <v>120</v>
      </c>
      <c r="M28" s="8">
        <v>3924234833</v>
      </c>
      <c r="N28" s="8">
        <v>17.29</v>
      </c>
      <c r="O28" s="8" t="str">
        <f>vw_scenario_analysis_dataset[[#This Row],[reporter_name]] &amp; "-" &amp; vw_scenario_analysis_dataset[[#This Row],[reference_year]]</f>
        <v>Albania-2017</v>
      </c>
    </row>
    <row r="29" spans="1:15" x14ac:dyDescent="0.3">
      <c r="A29" s="8" t="s">
        <v>20</v>
      </c>
      <c r="B29" s="8" t="s">
        <v>21</v>
      </c>
      <c r="C29" s="8">
        <v>2018</v>
      </c>
      <c r="D29" s="8">
        <v>5751719557.5349932</v>
      </c>
      <c r="E29" s="8">
        <v>15379508330</v>
      </c>
      <c r="F29" s="8">
        <v>2607733</v>
      </c>
      <c r="G29" s="8">
        <v>3.6714192809999999</v>
      </c>
      <c r="H29" s="8">
        <v>75.69407837</v>
      </c>
      <c r="I29" s="8">
        <v>2205.64</v>
      </c>
      <c r="J29" s="8">
        <v>5897.65</v>
      </c>
      <c r="K29" s="8">
        <v>37.4</v>
      </c>
      <c r="L29" s="8">
        <v>115</v>
      </c>
      <c r="M29" s="8">
        <v>4602681931.3390017</v>
      </c>
      <c r="N29" s="8">
        <v>24.96</v>
      </c>
      <c r="O29" s="8" t="str">
        <f>vw_scenario_analysis_dataset[[#This Row],[reporter_name]] &amp; "-" &amp; vw_scenario_analysis_dataset[[#This Row],[reference_year]]</f>
        <v>Albania-2018</v>
      </c>
    </row>
    <row r="30" spans="1:15" x14ac:dyDescent="0.3">
      <c r="A30" s="8" t="s">
        <v>20</v>
      </c>
      <c r="B30" s="8" t="s">
        <v>21</v>
      </c>
      <c r="C30" s="8">
        <v>2019</v>
      </c>
      <c r="D30" s="8">
        <v>5438857416.0799971</v>
      </c>
      <c r="E30" s="8">
        <v>15585111614</v>
      </c>
      <c r="F30" s="8">
        <v>2567801</v>
      </c>
      <c r="G30" s="8">
        <v>2.0625779020000001</v>
      </c>
      <c r="H30" s="8">
        <v>75.382128929999993</v>
      </c>
      <c r="I30" s="8">
        <v>2118.1</v>
      </c>
      <c r="J30" s="8">
        <v>6069.44</v>
      </c>
      <c r="K30" s="8">
        <v>34.9</v>
      </c>
      <c r="L30" s="8">
        <v>115</v>
      </c>
      <c r="M30" s="8">
        <v>5751719557.5349932</v>
      </c>
      <c r="N30" s="8">
        <v>-5.44</v>
      </c>
      <c r="O30" s="8" t="str">
        <f>vw_scenario_analysis_dataset[[#This Row],[reporter_name]] &amp; "-" &amp; vw_scenario_analysis_dataset[[#This Row],[reference_year]]</f>
        <v>Albania-2019</v>
      </c>
    </row>
    <row r="31" spans="1:15" x14ac:dyDescent="0.3">
      <c r="A31" s="8" t="s">
        <v>20</v>
      </c>
      <c r="B31" s="8" t="s">
        <v>21</v>
      </c>
      <c r="C31" s="8">
        <v>2020</v>
      </c>
      <c r="D31" s="8">
        <v>4831264670.8390017</v>
      </c>
      <c r="E31" s="8">
        <v>15241458745</v>
      </c>
      <c r="F31" s="8">
        <v>2528480</v>
      </c>
      <c r="G31" s="8">
        <v>-3.313756369</v>
      </c>
      <c r="H31" s="8">
        <v>59.520699440000001</v>
      </c>
      <c r="I31" s="8">
        <v>1910.74</v>
      </c>
      <c r="J31" s="8">
        <v>6027.91</v>
      </c>
      <c r="K31" s="8">
        <v>31.7</v>
      </c>
      <c r="L31" s="8">
        <v>116</v>
      </c>
      <c r="M31" s="8">
        <v>5438857416.0799971</v>
      </c>
      <c r="N31" s="8">
        <v>-11.17</v>
      </c>
      <c r="O31" s="8" t="str">
        <f>vw_scenario_analysis_dataset[[#This Row],[reporter_name]] &amp; "-" &amp; vw_scenario_analysis_dataset[[#This Row],[reference_year]]</f>
        <v>Albania-2020</v>
      </c>
    </row>
    <row r="32" spans="1:15" x14ac:dyDescent="0.3">
      <c r="A32" s="8" t="s">
        <v>20</v>
      </c>
      <c r="B32" s="8" t="s">
        <v>21</v>
      </c>
      <c r="C32" s="8">
        <v>2021</v>
      </c>
      <c r="D32" s="8">
        <v>7124594471.7460012</v>
      </c>
      <c r="E32" s="8">
        <v>18031989573</v>
      </c>
      <c r="F32" s="8">
        <v>2489762</v>
      </c>
      <c r="G32" s="8">
        <v>8.9695761909999998</v>
      </c>
      <c r="H32" s="8">
        <v>75.590404090000007</v>
      </c>
      <c r="I32" s="8">
        <v>2861.56</v>
      </c>
      <c r="J32" s="8">
        <v>7242.46</v>
      </c>
      <c r="K32" s="8">
        <v>39.51</v>
      </c>
      <c r="L32" s="8">
        <v>113</v>
      </c>
      <c r="M32" s="8">
        <v>4831264670.8390017</v>
      </c>
      <c r="N32" s="8">
        <v>47.47</v>
      </c>
      <c r="O32" s="8" t="str">
        <f>vw_scenario_analysis_dataset[[#This Row],[reporter_name]] &amp; "-" &amp; vw_scenario_analysis_dataset[[#This Row],[reference_year]]</f>
        <v>Albania-2021</v>
      </c>
    </row>
    <row r="33" spans="1:15" x14ac:dyDescent="0.3">
      <c r="A33" s="8" t="s">
        <v>20</v>
      </c>
      <c r="B33" s="8" t="s">
        <v>21</v>
      </c>
      <c r="C33" s="8">
        <v>2022</v>
      </c>
      <c r="D33" s="8">
        <v>8612469494.4840012</v>
      </c>
      <c r="E33" s="8">
        <v>19017247014</v>
      </c>
      <c r="F33" s="8">
        <v>2451636</v>
      </c>
      <c r="G33" s="8">
        <v>4.8268006229999996</v>
      </c>
      <c r="H33" s="8">
        <v>84.698043589999997</v>
      </c>
      <c r="I33" s="8">
        <v>3512.95</v>
      </c>
      <c r="J33" s="8">
        <v>7756.96</v>
      </c>
      <c r="K33" s="8">
        <v>45.29</v>
      </c>
      <c r="L33" s="8">
        <v>109</v>
      </c>
      <c r="M33" s="8">
        <v>7124594471.7460012</v>
      </c>
      <c r="N33" s="8">
        <v>20.88</v>
      </c>
      <c r="O33" s="8" t="str">
        <f>vw_scenario_analysis_dataset[[#This Row],[reporter_name]] &amp; "-" &amp; vw_scenario_analysis_dataset[[#This Row],[reference_year]]</f>
        <v>Albania-2022</v>
      </c>
    </row>
    <row r="34" spans="1:15" x14ac:dyDescent="0.3">
      <c r="A34" s="8" t="s">
        <v>20</v>
      </c>
      <c r="B34" s="8" t="s">
        <v>21</v>
      </c>
      <c r="C34" s="8">
        <v>2023</v>
      </c>
      <c r="D34" s="8">
        <v>8749714424.9109993</v>
      </c>
      <c r="E34" s="8">
        <v>23491242727</v>
      </c>
      <c r="F34" s="8">
        <v>2411658</v>
      </c>
      <c r="G34" s="8">
        <v>4.015417169</v>
      </c>
      <c r="H34" s="8">
        <v>82.3524934</v>
      </c>
      <c r="I34" s="8">
        <v>3628.09</v>
      </c>
      <c r="J34" s="8">
        <v>9740.7000000000007</v>
      </c>
      <c r="K34" s="8">
        <v>37.25</v>
      </c>
      <c r="L34" s="8">
        <v>110</v>
      </c>
      <c r="M34" s="8">
        <v>8612469494.4840012</v>
      </c>
      <c r="N34" s="8">
        <v>1.59</v>
      </c>
      <c r="O34" s="8" t="str">
        <f>vw_scenario_analysis_dataset[[#This Row],[reporter_name]] &amp; "-" &amp; vw_scenario_analysis_dataset[[#This Row],[reference_year]]</f>
        <v>Albania-2023</v>
      </c>
    </row>
    <row r="35" spans="1:15" x14ac:dyDescent="0.3">
      <c r="A35" s="8" t="s">
        <v>20</v>
      </c>
      <c r="B35" s="8" t="s">
        <v>21</v>
      </c>
      <c r="C35" s="8">
        <v>2024</v>
      </c>
      <c r="D35" s="8">
        <v>8002308177.2769976</v>
      </c>
      <c r="E35" s="8">
        <v>27037474263</v>
      </c>
      <c r="F35" s="8">
        <v>2377128</v>
      </c>
      <c r="G35" s="8">
        <v>4.045928451</v>
      </c>
      <c r="H35" s="8">
        <v>79.45463608</v>
      </c>
      <c r="I35" s="8">
        <v>3366.38</v>
      </c>
      <c r="J35" s="8">
        <v>11374.01</v>
      </c>
      <c r="K35" s="8">
        <v>29.6</v>
      </c>
      <c r="L35" s="8">
        <v>100</v>
      </c>
      <c r="M35" s="8">
        <v>8749714424.9109993</v>
      </c>
      <c r="N35" s="8">
        <v>-8.5399999999999991</v>
      </c>
      <c r="O35" s="8" t="str">
        <f>vw_scenario_analysis_dataset[[#This Row],[reporter_name]] &amp; "-" &amp; vw_scenario_analysis_dataset[[#This Row],[reference_year]]</f>
        <v>Albania-2024</v>
      </c>
    </row>
    <row r="36" spans="1:15" x14ac:dyDescent="0.3">
      <c r="A36" s="8" t="s">
        <v>22</v>
      </c>
      <c r="B36" s="8" t="s">
        <v>23</v>
      </c>
      <c r="C36" s="8">
        <v>2015</v>
      </c>
      <c r="D36" s="8">
        <v>179003870.31999999</v>
      </c>
      <c r="E36" s="8">
        <v>2789881259</v>
      </c>
      <c r="F36" s="8">
        <v>72174</v>
      </c>
      <c r="G36" s="8">
        <v>1.434140395</v>
      </c>
      <c r="H36" s="8"/>
      <c r="I36" s="8">
        <v>2480.17</v>
      </c>
      <c r="J36" s="8">
        <v>38654.93</v>
      </c>
      <c r="K36" s="8">
        <v>6.42</v>
      </c>
      <c r="L36" s="8">
        <v>155</v>
      </c>
      <c r="M36" s="8"/>
      <c r="N36" s="8"/>
      <c r="O36" s="8" t="str">
        <f>vw_scenario_analysis_dataset[[#This Row],[reporter_name]] &amp; "-" &amp; vw_scenario_analysis_dataset[[#This Row],[reference_year]]</f>
        <v>Andorra-2015</v>
      </c>
    </row>
    <row r="37" spans="1:15" x14ac:dyDescent="0.3">
      <c r="A37" s="8" t="s">
        <v>22</v>
      </c>
      <c r="B37" s="8" t="s">
        <v>23</v>
      </c>
      <c r="C37" s="8">
        <v>2016</v>
      </c>
      <c r="D37" s="8">
        <v>192734619.27800009</v>
      </c>
      <c r="E37" s="8">
        <v>2896610480</v>
      </c>
      <c r="F37" s="8">
        <v>72181</v>
      </c>
      <c r="G37" s="8">
        <v>3.7096780699999998</v>
      </c>
      <c r="H37" s="8"/>
      <c r="I37" s="8">
        <v>2670.16</v>
      </c>
      <c r="J37" s="8">
        <v>40129.82</v>
      </c>
      <c r="K37" s="8">
        <v>6.65</v>
      </c>
      <c r="L37" s="8">
        <v>156</v>
      </c>
      <c r="M37" s="8">
        <v>179003870.31999999</v>
      </c>
      <c r="N37" s="8">
        <v>7.67</v>
      </c>
      <c r="O37" s="8" t="str">
        <f>vw_scenario_analysis_dataset[[#This Row],[reporter_name]] &amp; "-" &amp; vw_scenario_analysis_dataset[[#This Row],[reference_year]]</f>
        <v>Andorra-2016</v>
      </c>
    </row>
    <row r="38" spans="1:15" x14ac:dyDescent="0.3">
      <c r="A38" s="8" t="s">
        <v>22</v>
      </c>
      <c r="B38" s="8" t="s">
        <v>23</v>
      </c>
      <c r="C38" s="8">
        <v>2017</v>
      </c>
      <c r="D38" s="8">
        <v>235959812.54099995</v>
      </c>
      <c r="E38" s="8">
        <v>3000162081</v>
      </c>
      <c r="F38" s="8">
        <v>73763</v>
      </c>
      <c r="G38" s="8">
        <v>0.34607188999999999</v>
      </c>
      <c r="H38" s="8"/>
      <c r="I38" s="8">
        <v>3198.89</v>
      </c>
      <c r="J38" s="8">
        <v>40672.99</v>
      </c>
      <c r="K38" s="8">
        <v>7.86</v>
      </c>
      <c r="L38" s="8">
        <v>156</v>
      </c>
      <c r="M38" s="8">
        <v>192734619.27800009</v>
      </c>
      <c r="N38" s="8">
        <v>22.43</v>
      </c>
      <c r="O38" s="8" t="str">
        <f>vw_scenario_analysis_dataset[[#This Row],[reporter_name]] &amp; "-" &amp; vw_scenario_analysis_dataset[[#This Row],[reference_year]]</f>
        <v>Andorra-2017</v>
      </c>
    </row>
    <row r="39" spans="1:15" x14ac:dyDescent="0.3">
      <c r="A39" s="8" t="s">
        <v>22</v>
      </c>
      <c r="B39" s="8" t="s">
        <v>23</v>
      </c>
      <c r="C39" s="8">
        <v>2018</v>
      </c>
      <c r="D39" s="8">
        <v>258670728.37299997</v>
      </c>
      <c r="E39" s="8">
        <v>3218419897</v>
      </c>
      <c r="F39" s="8">
        <v>75162</v>
      </c>
      <c r="G39" s="8">
        <v>1.5887654899999999</v>
      </c>
      <c r="H39" s="8"/>
      <c r="I39" s="8">
        <v>3441.51</v>
      </c>
      <c r="J39" s="8">
        <v>42819.77</v>
      </c>
      <c r="K39" s="8">
        <v>8.0399999999999991</v>
      </c>
      <c r="L39" s="8">
        <v>152</v>
      </c>
      <c r="M39" s="8">
        <v>235959812.54099995</v>
      </c>
      <c r="N39" s="8">
        <v>9.6199999999999992</v>
      </c>
      <c r="O39" s="8" t="str">
        <f>vw_scenario_analysis_dataset[[#This Row],[reporter_name]] &amp; "-" &amp; vw_scenario_analysis_dataset[[#This Row],[reference_year]]</f>
        <v>Andorra-2018</v>
      </c>
    </row>
    <row r="40" spans="1:15" x14ac:dyDescent="0.3">
      <c r="A40" s="8" t="s">
        <v>22</v>
      </c>
      <c r="B40" s="8" t="s">
        <v>23</v>
      </c>
      <c r="C40" s="8">
        <v>2019</v>
      </c>
      <c r="D40" s="8">
        <v>250303147.56799999</v>
      </c>
      <c r="E40" s="8">
        <v>3155149348</v>
      </c>
      <c r="F40" s="8">
        <v>76474</v>
      </c>
      <c r="G40" s="8">
        <v>2.0155476380000001</v>
      </c>
      <c r="H40" s="8"/>
      <c r="I40" s="8">
        <v>3273.05</v>
      </c>
      <c r="J40" s="8">
        <v>41257.800000000003</v>
      </c>
      <c r="K40" s="8">
        <v>7.93</v>
      </c>
      <c r="L40" s="8">
        <v>150</v>
      </c>
      <c r="M40" s="8">
        <v>258670728.37299997</v>
      </c>
      <c r="N40" s="8">
        <v>-3.23</v>
      </c>
      <c r="O40" s="8" t="str">
        <f>vw_scenario_analysis_dataset[[#This Row],[reporter_name]] &amp; "-" &amp; vw_scenario_analysis_dataset[[#This Row],[reference_year]]</f>
        <v>Andorra-2019</v>
      </c>
    </row>
    <row r="41" spans="1:15" x14ac:dyDescent="0.3">
      <c r="A41" s="8" t="s">
        <v>22</v>
      </c>
      <c r="B41" s="8" t="s">
        <v>23</v>
      </c>
      <c r="C41" s="8">
        <v>2020</v>
      </c>
      <c r="D41" s="8">
        <v>333562178.65099984</v>
      </c>
      <c r="E41" s="8">
        <v>2891001149</v>
      </c>
      <c r="F41" s="8">
        <v>77380</v>
      </c>
      <c r="G41" s="8">
        <v>-11.18393994</v>
      </c>
      <c r="H41" s="8"/>
      <c r="I41" s="8">
        <v>4310.7</v>
      </c>
      <c r="J41" s="8">
        <v>37361.089999999997</v>
      </c>
      <c r="K41" s="8">
        <v>11.54</v>
      </c>
      <c r="L41" s="8">
        <v>144</v>
      </c>
      <c r="M41" s="8">
        <v>250303147.56799999</v>
      </c>
      <c r="N41" s="8">
        <v>33.26</v>
      </c>
      <c r="O41" s="8" t="str">
        <f>vw_scenario_analysis_dataset[[#This Row],[reporter_name]] &amp; "-" &amp; vw_scenario_analysis_dataset[[#This Row],[reference_year]]</f>
        <v>Andorra-2020</v>
      </c>
    </row>
    <row r="42" spans="1:15" x14ac:dyDescent="0.3">
      <c r="A42" s="8" t="s">
        <v>22</v>
      </c>
      <c r="B42" s="8" t="s">
        <v>23</v>
      </c>
      <c r="C42" s="8">
        <v>2021</v>
      </c>
      <c r="D42" s="8">
        <v>327948635.7809999</v>
      </c>
      <c r="E42" s="8">
        <v>3324647529</v>
      </c>
      <c r="F42" s="8">
        <v>78364</v>
      </c>
      <c r="G42" s="8">
        <v>8.2867787899999996</v>
      </c>
      <c r="H42" s="8"/>
      <c r="I42" s="8">
        <v>4184.9399999999996</v>
      </c>
      <c r="J42" s="8">
        <v>42425.7</v>
      </c>
      <c r="K42" s="8">
        <v>9.86</v>
      </c>
      <c r="L42" s="8">
        <v>146</v>
      </c>
      <c r="M42" s="8">
        <v>333562178.65099984</v>
      </c>
      <c r="N42" s="8">
        <v>-1.68</v>
      </c>
      <c r="O42" s="8" t="str">
        <f>vw_scenario_analysis_dataset[[#This Row],[reporter_name]] &amp; "-" &amp; vw_scenario_analysis_dataset[[#This Row],[reference_year]]</f>
        <v>Andorra-2021</v>
      </c>
    </row>
    <row r="43" spans="1:15" x14ac:dyDescent="0.3">
      <c r="A43" s="8" t="s">
        <v>22</v>
      </c>
      <c r="B43" s="8" t="s">
        <v>23</v>
      </c>
      <c r="C43" s="8">
        <v>2022</v>
      </c>
      <c r="D43" s="8">
        <v>772285991.35999954</v>
      </c>
      <c r="E43" s="8">
        <v>3380612573</v>
      </c>
      <c r="F43" s="8">
        <v>79705</v>
      </c>
      <c r="G43" s="8">
        <v>9.5646122560000002</v>
      </c>
      <c r="H43" s="8"/>
      <c r="I43" s="8">
        <v>9689.2999999999993</v>
      </c>
      <c r="J43" s="8">
        <v>42414.06</v>
      </c>
      <c r="K43" s="8">
        <v>22.84</v>
      </c>
      <c r="L43" s="8">
        <v>141</v>
      </c>
      <c r="M43" s="8">
        <v>327948635.7809999</v>
      </c>
      <c r="N43" s="8">
        <v>135.49</v>
      </c>
      <c r="O43" s="8" t="str">
        <f>vw_scenario_analysis_dataset[[#This Row],[reporter_name]] &amp; "-" &amp; vw_scenario_analysis_dataset[[#This Row],[reference_year]]</f>
        <v>Andorra-2022</v>
      </c>
    </row>
    <row r="44" spans="1:15" x14ac:dyDescent="0.3">
      <c r="A44" s="8" t="s">
        <v>22</v>
      </c>
      <c r="B44" s="8" t="s">
        <v>23</v>
      </c>
      <c r="C44" s="8">
        <v>2023</v>
      </c>
      <c r="D44" s="8">
        <v>504730210.10700017</v>
      </c>
      <c r="E44" s="8">
        <v>3785067332</v>
      </c>
      <c r="F44" s="8">
        <v>80856</v>
      </c>
      <c r="G44" s="8">
        <v>2.5835548099999999</v>
      </c>
      <c r="H44" s="8"/>
      <c r="I44" s="8">
        <v>6242.33</v>
      </c>
      <c r="J44" s="8">
        <v>46812.45</v>
      </c>
      <c r="K44" s="8">
        <v>13.33</v>
      </c>
      <c r="L44" s="8">
        <v>140</v>
      </c>
      <c r="M44" s="8">
        <v>772285991.35999954</v>
      </c>
      <c r="N44" s="8">
        <v>-34.64</v>
      </c>
      <c r="O44" s="8" t="str">
        <f>vw_scenario_analysis_dataset[[#This Row],[reporter_name]] &amp; "-" &amp; vw_scenario_analysis_dataset[[#This Row],[reference_year]]</f>
        <v>Andorra-2023</v>
      </c>
    </row>
    <row r="45" spans="1:15" x14ac:dyDescent="0.3">
      <c r="A45" s="8" t="s">
        <v>24</v>
      </c>
      <c r="B45" s="8" t="s">
        <v>25</v>
      </c>
      <c r="C45" s="8">
        <v>2015</v>
      </c>
      <c r="D45" s="8">
        <v>600957295633.65967</v>
      </c>
      <c r="E45" s="8">
        <v>382000000000</v>
      </c>
      <c r="F45" s="8">
        <v>8505237</v>
      </c>
      <c r="G45" s="8">
        <v>7.0876662269999997</v>
      </c>
      <c r="H45" s="8">
        <v>164.28614289999999</v>
      </c>
      <c r="I45" s="8">
        <v>70657.33</v>
      </c>
      <c r="J45" s="8">
        <v>44913.5</v>
      </c>
      <c r="K45" s="8">
        <v>157.32</v>
      </c>
      <c r="L45" s="8">
        <v>14</v>
      </c>
      <c r="M45" s="8"/>
      <c r="N45" s="8"/>
      <c r="O45" s="8" t="str">
        <f>vw_scenario_analysis_dataset[[#This Row],[reporter_name]] &amp; "-" &amp; vw_scenario_analysis_dataset[[#This Row],[reference_year]]</f>
        <v>United Arab Emirates-2015</v>
      </c>
    </row>
    <row r="46" spans="1:15" x14ac:dyDescent="0.3">
      <c r="A46" s="8" t="s">
        <v>24</v>
      </c>
      <c r="B46" s="8" t="s">
        <v>25</v>
      </c>
      <c r="C46" s="8">
        <v>2016</v>
      </c>
      <c r="D46" s="8">
        <v>590093382297.34131</v>
      </c>
      <c r="E46" s="8">
        <v>382000000000</v>
      </c>
      <c r="F46" s="8">
        <v>8935095</v>
      </c>
      <c r="G46" s="8">
        <v>5.6579014719999998</v>
      </c>
      <c r="H46" s="8">
        <v>165.3949662</v>
      </c>
      <c r="I46" s="8">
        <v>66042.210000000006</v>
      </c>
      <c r="J46" s="8">
        <v>42752.76</v>
      </c>
      <c r="K46" s="8">
        <v>154.47</v>
      </c>
      <c r="L46" s="8">
        <v>14</v>
      </c>
      <c r="M46" s="8">
        <v>600957295633.65967</v>
      </c>
      <c r="N46" s="8">
        <v>-1.81</v>
      </c>
      <c r="O46" s="8" t="str">
        <f>vw_scenario_analysis_dataset[[#This Row],[reporter_name]] &amp; "-" &amp; vw_scenario_analysis_dataset[[#This Row],[reference_year]]</f>
        <v>United Arab Emirates-2016</v>
      </c>
    </row>
    <row r="47" spans="1:15" x14ac:dyDescent="0.3">
      <c r="A47" s="8" t="s">
        <v>24</v>
      </c>
      <c r="B47" s="8" t="s">
        <v>25</v>
      </c>
      <c r="C47" s="8">
        <v>2017</v>
      </c>
      <c r="D47" s="8">
        <v>627198724205.90002</v>
      </c>
      <c r="E47" s="8">
        <v>403000000000</v>
      </c>
      <c r="F47" s="8">
        <v>9223225</v>
      </c>
      <c r="G47" s="8">
        <v>-1.0613711450000001</v>
      </c>
      <c r="H47" s="8">
        <v>165.4765237</v>
      </c>
      <c r="I47" s="8">
        <v>68002.11</v>
      </c>
      <c r="J47" s="8">
        <v>43694.04</v>
      </c>
      <c r="K47" s="8">
        <v>155.63</v>
      </c>
      <c r="L47" s="8">
        <v>14</v>
      </c>
      <c r="M47" s="8">
        <v>590093382297.34131</v>
      </c>
      <c r="N47" s="8">
        <v>6.29</v>
      </c>
      <c r="O47" s="8" t="str">
        <f>vw_scenario_analysis_dataset[[#This Row],[reporter_name]] &amp; "-" &amp; vw_scenario_analysis_dataset[[#This Row],[reference_year]]</f>
        <v>United Arab Emirates-2017</v>
      </c>
    </row>
    <row r="48" spans="1:15" x14ac:dyDescent="0.3">
      <c r="A48" s="8" t="s">
        <v>24</v>
      </c>
      <c r="B48" s="8" t="s">
        <v>25</v>
      </c>
      <c r="C48" s="8">
        <v>2018</v>
      </c>
      <c r="D48" s="8">
        <v>775928544123.76611</v>
      </c>
      <c r="E48" s="8">
        <v>441000000000</v>
      </c>
      <c r="F48" s="8">
        <v>9346701</v>
      </c>
      <c r="G48" s="8">
        <v>1.53720634</v>
      </c>
      <c r="H48" s="8">
        <v>154.74704220000001</v>
      </c>
      <c r="I48" s="8">
        <v>83016.3</v>
      </c>
      <c r="J48" s="8">
        <v>47182.42</v>
      </c>
      <c r="K48" s="8">
        <v>175.95</v>
      </c>
      <c r="L48" s="8">
        <v>14</v>
      </c>
      <c r="M48" s="8">
        <v>627198724205.90002</v>
      </c>
      <c r="N48" s="8">
        <v>23.71</v>
      </c>
      <c r="O48" s="8" t="str">
        <f>vw_scenario_analysis_dataset[[#This Row],[reporter_name]] &amp; "-" &amp; vw_scenario_analysis_dataset[[#This Row],[reference_year]]</f>
        <v>United Arab Emirates-2018</v>
      </c>
    </row>
    <row r="49" spans="1:15" x14ac:dyDescent="0.3">
      <c r="A49" s="8" t="s">
        <v>24</v>
      </c>
      <c r="B49" s="8" t="s">
        <v>25</v>
      </c>
      <c r="C49" s="8">
        <v>2019</v>
      </c>
      <c r="D49" s="8">
        <v>778855987807.91125</v>
      </c>
      <c r="E49" s="8">
        <v>434000000000</v>
      </c>
      <c r="F49" s="8">
        <v>9445785</v>
      </c>
      <c r="G49" s="8">
        <v>1.271291205</v>
      </c>
      <c r="H49" s="8">
        <v>163.822149</v>
      </c>
      <c r="I49" s="8">
        <v>82455.399999999994</v>
      </c>
      <c r="J49" s="8">
        <v>45946.42</v>
      </c>
      <c r="K49" s="8">
        <v>179.46</v>
      </c>
      <c r="L49" s="8">
        <v>14</v>
      </c>
      <c r="M49" s="8">
        <v>775928544123.76611</v>
      </c>
      <c r="N49" s="8">
        <v>0.38</v>
      </c>
      <c r="O49" s="8" t="str">
        <f>vw_scenario_analysis_dataset[[#This Row],[reporter_name]] &amp; "-" &amp; vw_scenario_analysis_dataset[[#This Row],[reference_year]]</f>
        <v>United Arab Emirates-2019</v>
      </c>
    </row>
    <row r="50" spans="1:15" x14ac:dyDescent="0.3">
      <c r="A50" s="8" t="s">
        <v>24</v>
      </c>
      <c r="B50" s="8" t="s">
        <v>25</v>
      </c>
      <c r="C50" s="8">
        <v>2020</v>
      </c>
      <c r="D50" s="8">
        <v>670593815739.45508</v>
      </c>
      <c r="E50" s="8">
        <v>357000000000</v>
      </c>
      <c r="F50" s="8">
        <v>9401038</v>
      </c>
      <c r="G50" s="8">
        <v>-8.6934336380000001</v>
      </c>
      <c r="H50" s="8">
        <v>181.2919402</v>
      </c>
      <c r="I50" s="8">
        <v>71331.89</v>
      </c>
      <c r="J50" s="8">
        <v>37974.53</v>
      </c>
      <c r="K50" s="8">
        <v>187.84</v>
      </c>
      <c r="L50" s="8">
        <v>14</v>
      </c>
      <c r="M50" s="8">
        <v>778855987807.91125</v>
      </c>
      <c r="N50" s="8">
        <v>-13.9</v>
      </c>
      <c r="O50" s="8" t="str">
        <f>vw_scenario_analysis_dataset[[#This Row],[reporter_name]] &amp; "-" &amp; vw_scenario_analysis_dataset[[#This Row],[reference_year]]</f>
        <v>United Arab Emirates-2020</v>
      </c>
    </row>
    <row r="51" spans="1:15" x14ac:dyDescent="0.3">
      <c r="A51" s="8" t="s">
        <v>24</v>
      </c>
      <c r="B51" s="8" t="s">
        <v>25</v>
      </c>
      <c r="C51" s="8">
        <v>2021</v>
      </c>
      <c r="D51" s="8">
        <v>850319593007.12451</v>
      </c>
      <c r="E51" s="8">
        <v>422000000000</v>
      </c>
      <c r="F51" s="8">
        <v>9575152</v>
      </c>
      <c r="G51" s="8">
        <v>4.552801401</v>
      </c>
      <c r="H51" s="8">
        <v>182.9094011</v>
      </c>
      <c r="I51" s="8">
        <v>88804.81</v>
      </c>
      <c r="J51" s="8">
        <v>44072.41</v>
      </c>
      <c r="K51" s="8">
        <v>201.5</v>
      </c>
      <c r="L51" s="8">
        <v>14</v>
      </c>
      <c r="M51" s="8">
        <v>670593815739.45508</v>
      </c>
      <c r="N51" s="8">
        <v>26.8</v>
      </c>
      <c r="O51" s="8" t="str">
        <f>vw_scenario_analysis_dataset[[#This Row],[reporter_name]] &amp; "-" &amp; vw_scenario_analysis_dataset[[#This Row],[reference_year]]</f>
        <v>United Arab Emirates-2021</v>
      </c>
    </row>
    <row r="52" spans="1:15" x14ac:dyDescent="0.3">
      <c r="A52" s="8" t="s">
        <v>24</v>
      </c>
      <c r="B52" s="8" t="s">
        <v>25</v>
      </c>
      <c r="C52" s="8">
        <v>2022</v>
      </c>
      <c r="D52" s="8">
        <v>1031242378098.2057</v>
      </c>
      <c r="E52" s="8">
        <v>511000000000</v>
      </c>
      <c r="F52" s="8">
        <v>10074977</v>
      </c>
      <c r="G52" s="8">
        <v>7.514524143</v>
      </c>
      <c r="H52" s="8">
        <v>185.74166059999999</v>
      </c>
      <c r="I52" s="8">
        <v>102356.8</v>
      </c>
      <c r="J52" s="8">
        <v>50719.72</v>
      </c>
      <c r="K52" s="8">
        <v>201.81</v>
      </c>
      <c r="L52" s="8">
        <v>12</v>
      </c>
      <c r="M52" s="8">
        <v>850319593007.12451</v>
      </c>
      <c r="N52" s="8">
        <v>21.28</v>
      </c>
      <c r="O52" s="8" t="str">
        <f>vw_scenario_analysis_dataset[[#This Row],[reporter_name]] &amp; "-" &amp; vw_scenario_analysis_dataset[[#This Row],[reference_year]]</f>
        <v>United Arab Emirates-2022</v>
      </c>
    </row>
    <row r="53" spans="1:15" x14ac:dyDescent="0.3">
      <c r="A53" s="8" t="s">
        <v>24</v>
      </c>
      <c r="B53" s="8" t="s">
        <v>25</v>
      </c>
      <c r="C53" s="8">
        <v>2023</v>
      </c>
      <c r="D53" s="8">
        <v>1140490767169.064</v>
      </c>
      <c r="E53" s="8">
        <v>523000000000</v>
      </c>
      <c r="F53" s="8">
        <v>10483751</v>
      </c>
      <c r="G53" s="8">
        <v>4.3011364849999998</v>
      </c>
      <c r="H53" s="8">
        <v>199.04495009999999</v>
      </c>
      <c r="I53" s="8">
        <v>108786.52</v>
      </c>
      <c r="J53" s="8">
        <v>49886.720000000001</v>
      </c>
      <c r="K53" s="8">
        <v>218.07</v>
      </c>
      <c r="L53" s="8">
        <v>10</v>
      </c>
      <c r="M53" s="8">
        <v>1031242378098.2057</v>
      </c>
      <c r="N53" s="8">
        <v>10.59</v>
      </c>
      <c r="O53" s="8" t="str">
        <f>vw_scenario_analysis_dataset[[#This Row],[reporter_name]] &amp; "-" &amp; vw_scenario_analysis_dataset[[#This Row],[reference_year]]</f>
        <v>United Arab Emirates-2023</v>
      </c>
    </row>
    <row r="54" spans="1:15" x14ac:dyDescent="0.3">
      <c r="A54" s="8" t="s">
        <v>26</v>
      </c>
      <c r="B54" s="8" t="s">
        <v>27</v>
      </c>
      <c r="C54" s="8">
        <v>2015</v>
      </c>
      <c r="D54" s="8">
        <v>113567905007.36002</v>
      </c>
      <c r="E54" s="8">
        <v>595000000000</v>
      </c>
      <c r="F54" s="8">
        <v>43477012</v>
      </c>
      <c r="G54" s="8">
        <v>2.731159828</v>
      </c>
      <c r="H54" s="8">
        <v>22.486226089999999</v>
      </c>
      <c r="I54" s="8">
        <v>2612.14</v>
      </c>
      <c r="J54" s="8">
        <v>13685.39</v>
      </c>
      <c r="K54" s="8">
        <v>19.09</v>
      </c>
      <c r="L54" s="8">
        <v>42</v>
      </c>
      <c r="M54" s="8"/>
      <c r="N54" s="8"/>
      <c r="O54" s="8" t="str">
        <f>vw_scenario_analysis_dataset[[#This Row],[reporter_name]] &amp; "-" &amp; vw_scenario_analysis_dataset[[#This Row],[reference_year]]</f>
        <v>Argentina-2015</v>
      </c>
    </row>
    <row r="55" spans="1:15" x14ac:dyDescent="0.3">
      <c r="A55" s="8" t="s">
        <v>26</v>
      </c>
      <c r="B55" s="8" t="s">
        <v>27</v>
      </c>
      <c r="C55" s="8">
        <v>2016</v>
      </c>
      <c r="D55" s="8">
        <v>115758692478.53995</v>
      </c>
      <c r="E55" s="8">
        <v>558000000000</v>
      </c>
      <c r="F55" s="8">
        <v>43900313</v>
      </c>
      <c r="G55" s="8">
        <v>-2.0803278440000001</v>
      </c>
      <c r="H55" s="8">
        <v>26.093887850000002</v>
      </c>
      <c r="I55" s="8">
        <v>2636.85</v>
      </c>
      <c r="J55" s="8">
        <v>12710.62</v>
      </c>
      <c r="K55" s="8">
        <v>20.75</v>
      </c>
      <c r="L55" s="8">
        <v>39</v>
      </c>
      <c r="M55" s="8">
        <v>113567905007.36002</v>
      </c>
      <c r="N55" s="8">
        <v>1.93</v>
      </c>
      <c r="O55" s="8" t="str">
        <f>vw_scenario_analysis_dataset[[#This Row],[reporter_name]] &amp; "-" &amp; vw_scenario_analysis_dataset[[#This Row],[reference_year]]</f>
        <v>Argentina-2016</v>
      </c>
    </row>
    <row r="56" spans="1:15" x14ac:dyDescent="0.3">
      <c r="A56" s="8" t="s">
        <v>26</v>
      </c>
      <c r="B56" s="8" t="s">
        <v>27</v>
      </c>
      <c r="C56" s="8">
        <v>2017</v>
      </c>
      <c r="D56" s="8">
        <v>116768389938.5601</v>
      </c>
      <c r="E56" s="8">
        <v>644000000000</v>
      </c>
      <c r="F56" s="8">
        <v>44288894</v>
      </c>
      <c r="G56" s="8">
        <v>2.8185029780000002</v>
      </c>
      <c r="H56" s="8">
        <v>25.289601139999998</v>
      </c>
      <c r="I56" s="8">
        <v>2636.52</v>
      </c>
      <c r="J56" s="8">
        <v>14540.89</v>
      </c>
      <c r="K56" s="8">
        <v>18.13</v>
      </c>
      <c r="L56" s="8">
        <v>43</v>
      </c>
      <c r="M56" s="8">
        <v>115758692478.53995</v>
      </c>
      <c r="N56" s="8">
        <v>0.87</v>
      </c>
      <c r="O56" s="8" t="str">
        <f>vw_scenario_analysis_dataset[[#This Row],[reporter_name]] &amp; "-" &amp; vw_scenario_analysis_dataset[[#This Row],[reference_year]]</f>
        <v>Argentina-2017</v>
      </c>
    </row>
    <row r="57" spans="1:15" x14ac:dyDescent="0.3">
      <c r="A57" s="8" t="s">
        <v>26</v>
      </c>
      <c r="B57" s="8" t="s">
        <v>27</v>
      </c>
      <c r="C57" s="8">
        <v>2018</v>
      </c>
      <c r="D57" s="8">
        <v>123118814723.07994</v>
      </c>
      <c r="E57" s="8">
        <v>525000000000</v>
      </c>
      <c r="F57" s="8">
        <v>44654882</v>
      </c>
      <c r="G57" s="8">
        <v>-2.617396463</v>
      </c>
      <c r="H57" s="8">
        <v>30.76253595</v>
      </c>
      <c r="I57" s="8">
        <v>2757.12</v>
      </c>
      <c r="J57" s="8">
        <v>11756.83</v>
      </c>
      <c r="K57" s="8">
        <v>23.45</v>
      </c>
      <c r="L57" s="8">
        <v>45</v>
      </c>
      <c r="M57" s="8">
        <v>116768389938.5601</v>
      </c>
      <c r="N57" s="8">
        <v>5.44</v>
      </c>
      <c r="O57" s="8" t="str">
        <f>vw_scenario_analysis_dataset[[#This Row],[reporter_name]] &amp; "-" &amp; vw_scenario_analysis_dataset[[#This Row],[reference_year]]</f>
        <v>Argentina-2018</v>
      </c>
    </row>
    <row r="58" spans="1:15" x14ac:dyDescent="0.3">
      <c r="A58" s="8" t="s">
        <v>26</v>
      </c>
      <c r="B58" s="8" t="s">
        <v>27</v>
      </c>
      <c r="C58" s="8">
        <v>2019</v>
      </c>
      <c r="D58" s="8">
        <v>130230653247.31996</v>
      </c>
      <c r="E58" s="8">
        <v>448000000000</v>
      </c>
      <c r="F58" s="8">
        <v>44973465</v>
      </c>
      <c r="G58" s="8">
        <v>-2.0008610029999998</v>
      </c>
      <c r="H58" s="8">
        <v>32.630615050000003</v>
      </c>
      <c r="I58" s="8">
        <v>2895.72</v>
      </c>
      <c r="J58" s="8">
        <v>9961.43</v>
      </c>
      <c r="K58" s="8">
        <v>29.07</v>
      </c>
      <c r="L58" s="8">
        <v>41</v>
      </c>
      <c r="M58" s="8">
        <v>123118814723.07994</v>
      </c>
      <c r="N58" s="8">
        <v>5.78</v>
      </c>
      <c r="O58" s="8" t="str">
        <f>vw_scenario_analysis_dataset[[#This Row],[reporter_name]] &amp; "-" &amp; vw_scenario_analysis_dataset[[#This Row],[reference_year]]</f>
        <v>Argentina-2019</v>
      </c>
    </row>
    <row r="59" spans="1:15" x14ac:dyDescent="0.3">
      <c r="A59" s="8" t="s">
        <v>26</v>
      </c>
      <c r="B59" s="8" t="s">
        <v>27</v>
      </c>
      <c r="C59" s="8">
        <v>2020</v>
      </c>
      <c r="D59" s="8">
        <v>109767644891.40004</v>
      </c>
      <c r="E59" s="8">
        <v>386000000000</v>
      </c>
      <c r="F59" s="8">
        <v>45191965</v>
      </c>
      <c r="G59" s="8">
        <v>-9.9004848140000004</v>
      </c>
      <c r="H59" s="8">
        <v>30.203698809999999</v>
      </c>
      <c r="I59" s="8">
        <v>2428.92</v>
      </c>
      <c r="J59" s="8">
        <v>8541.34</v>
      </c>
      <c r="K59" s="8">
        <v>28.44</v>
      </c>
      <c r="L59" s="8">
        <v>40</v>
      </c>
      <c r="M59" s="8">
        <v>130230653247.31996</v>
      </c>
      <c r="N59" s="8">
        <v>-15.71</v>
      </c>
      <c r="O59" s="8" t="str">
        <f>vw_scenario_analysis_dataset[[#This Row],[reporter_name]] &amp; "-" &amp; vw_scenario_analysis_dataset[[#This Row],[reference_year]]</f>
        <v>Argentina-2020</v>
      </c>
    </row>
    <row r="60" spans="1:15" x14ac:dyDescent="0.3">
      <c r="A60" s="8" t="s">
        <v>26</v>
      </c>
      <c r="B60" s="8" t="s">
        <v>27</v>
      </c>
      <c r="C60" s="8">
        <v>2021</v>
      </c>
      <c r="D60" s="8">
        <v>155868629973.15994</v>
      </c>
      <c r="E60" s="8">
        <v>487000000000</v>
      </c>
      <c r="F60" s="8">
        <v>45312281</v>
      </c>
      <c r="G60" s="8">
        <v>10.44181199</v>
      </c>
      <c r="H60" s="8">
        <v>33.078689570000002</v>
      </c>
      <c r="I60" s="8">
        <v>3439.88</v>
      </c>
      <c r="J60" s="8">
        <v>10747.64</v>
      </c>
      <c r="K60" s="8">
        <v>32.01</v>
      </c>
      <c r="L60" s="8">
        <v>39</v>
      </c>
      <c r="M60" s="8">
        <v>109767644891.40004</v>
      </c>
      <c r="N60" s="8">
        <v>42</v>
      </c>
      <c r="O60" s="8" t="str">
        <f>vw_scenario_analysis_dataset[[#This Row],[reporter_name]] &amp; "-" &amp; vw_scenario_analysis_dataset[[#This Row],[reference_year]]</f>
        <v>Argentina-2021</v>
      </c>
    </row>
    <row r="61" spans="1:15" x14ac:dyDescent="0.3">
      <c r="A61" s="8" t="s">
        <v>26</v>
      </c>
      <c r="B61" s="8" t="s">
        <v>27</v>
      </c>
      <c r="C61" s="8">
        <v>2022</v>
      </c>
      <c r="D61" s="8">
        <v>176891437676.63995</v>
      </c>
      <c r="E61" s="8">
        <v>634000000000</v>
      </c>
      <c r="F61" s="8">
        <v>45407904</v>
      </c>
      <c r="G61" s="8">
        <v>6.0207453749999997</v>
      </c>
      <c r="H61" s="8">
        <v>31.580179260000001</v>
      </c>
      <c r="I61" s="8">
        <v>3895.61</v>
      </c>
      <c r="J61" s="8">
        <v>13962.33</v>
      </c>
      <c r="K61" s="8">
        <v>27.9</v>
      </c>
      <c r="L61" s="8">
        <v>38</v>
      </c>
      <c r="M61" s="8">
        <v>155868629973.15994</v>
      </c>
      <c r="N61" s="8">
        <v>13.49</v>
      </c>
      <c r="O61" s="8" t="str">
        <f>vw_scenario_analysis_dataset[[#This Row],[reporter_name]] &amp; "-" &amp; vw_scenario_analysis_dataset[[#This Row],[reference_year]]</f>
        <v>Argentina-2022</v>
      </c>
    </row>
    <row r="62" spans="1:15" x14ac:dyDescent="0.3">
      <c r="A62" s="8" t="s">
        <v>26</v>
      </c>
      <c r="B62" s="8" t="s">
        <v>27</v>
      </c>
      <c r="C62" s="8">
        <v>2023</v>
      </c>
      <c r="D62" s="8">
        <v>133577031972.70006</v>
      </c>
      <c r="E62" s="8">
        <v>649000000000</v>
      </c>
      <c r="F62" s="8">
        <v>45538401</v>
      </c>
      <c r="G62" s="8">
        <v>-1.85578803</v>
      </c>
      <c r="H62" s="8">
        <v>26.676951249999998</v>
      </c>
      <c r="I62" s="8">
        <v>2933.28</v>
      </c>
      <c r="J62" s="8">
        <v>14251.71</v>
      </c>
      <c r="K62" s="8">
        <v>20.58</v>
      </c>
      <c r="L62" s="8">
        <v>42</v>
      </c>
      <c r="M62" s="8">
        <v>176891437676.63995</v>
      </c>
      <c r="N62" s="8">
        <v>-24.49</v>
      </c>
      <c r="O62" s="8" t="str">
        <f>vw_scenario_analysis_dataset[[#This Row],[reporter_name]] &amp; "-" &amp; vw_scenario_analysis_dataset[[#This Row],[reference_year]]</f>
        <v>Argentina-2023</v>
      </c>
    </row>
    <row r="63" spans="1:15" x14ac:dyDescent="0.3">
      <c r="A63" s="8" t="s">
        <v>26</v>
      </c>
      <c r="B63" s="8" t="s">
        <v>27</v>
      </c>
      <c r="C63" s="8">
        <v>2024</v>
      </c>
      <c r="D63" s="8">
        <v>159406413444.49988</v>
      </c>
      <c r="E63" s="8">
        <v>638000000000</v>
      </c>
      <c r="F63" s="8">
        <v>45696159</v>
      </c>
      <c r="G63" s="8">
        <v>-1.342930722</v>
      </c>
      <c r="H63" s="8">
        <v>27.929760850000001</v>
      </c>
      <c r="I63" s="8">
        <v>3488.4</v>
      </c>
      <c r="J63" s="8">
        <v>13961.79</v>
      </c>
      <c r="K63" s="8">
        <v>24.99</v>
      </c>
      <c r="L63" s="8">
        <v>38</v>
      </c>
      <c r="M63" s="8">
        <v>133577031972.70006</v>
      </c>
      <c r="N63" s="8">
        <v>19.34</v>
      </c>
      <c r="O63" s="8" t="str">
        <f>vw_scenario_analysis_dataset[[#This Row],[reporter_name]] &amp; "-" &amp; vw_scenario_analysis_dataset[[#This Row],[reference_year]]</f>
        <v>Argentina-2024</v>
      </c>
    </row>
    <row r="64" spans="1:15" x14ac:dyDescent="0.3">
      <c r="A64" s="8" t="s">
        <v>28</v>
      </c>
      <c r="B64" s="8" t="s">
        <v>29</v>
      </c>
      <c r="C64" s="8">
        <v>2015</v>
      </c>
      <c r="D64" s="8">
        <v>2965334702</v>
      </c>
      <c r="E64" s="8">
        <v>10553337518</v>
      </c>
      <c r="F64" s="8">
        <v>3004600</v>
      </c>
      <c r="G64" s="8">
        <v>3.1999999990000001</v>
      </c>
      <c r="H64" s="8">
        <v>71.68207434</v>
      </c>
      <c r="I64" s="8">
        <v>986.93</v>
      </c>
      <c r="J64" s="8">
        <v>3512.39</v>
      </c>
      <c r="K64" s="8">
        <v>28.1</v>
      </c>
      <c r="L64" s="8">
        <v>123</v>
      </c>
      <c r="M64" s="8"/>
      <c r="N64" s="8"/>
      <c r="O64" s="8" t="str">
        <f>vw_scenario_analysis_dataset[[#This Row],[reporter_name]] &amp; "-" &amp; vw_scenario_analysis_dataset[[#This Row],[reference_year]]</f>
        <v>Armenia-2015</v>
      </c>
    </row>
    <row r="65" spans="1:15" x14ac:dyDescent="0.3">
      <c r="A65" s="8" t="s">
        <v>28</v>
      </c>
      <c r="B65" s="8" t="s">
        <v>29</v>
      </c>
      <c r="C65" s="8">
        <v>2016</v>
      </c>
      <c r="D65" s="8">
        <v>3615579027</v>
      </c>
      <c r="E65" s="8">
        <v>10546136236</v>
      </c>
      <c r="F65" s="8">
        <v>2992300</v>
      </c>
      <c r="G65" s="8">
        <v>0.2</v>
      </c>
      <c r="H65" s="8">
        <v>76.077967459999996</v>
      </c>
      <c r="I65" s="8">
        <v>1208.29</v>
      </c>
      <c r="J65" s="8">
        <v>3524.42</v>
      </c>
      <c r="K65" s="8">
        <v>34.28</v>
      </c>
      <c r="L65" s="8">
        <v>123</v>
      </c>
      <c r="M65" s="8">
        <v>2965334702</v>
      </c>
      <c r="N65" s="8">
        <v>21.93</v>
      </c>
      <c r="O65" s="8" t="str">
        <f>vw_scenario_analysis_dataset[[#This Row],[reporter_name]] &amp; "-" &amp; vw_scenario_analysis_dataset[[#This Row],[reference_year]]</f>
        <v>Armenia-2016</v>
      </c>
    </row>
    <row r="66" spans="1:15" x14ac:dyDescent="0.3">
      <c r="A66" s="8" t="s">
        <v>28</v>
      </c>
      <c r="B66" s="8" t="s">
        <v>29</v>
      </c>
      <c r="C66" s="8">
        <v>2017</v>
      </c>
      <c r="D66" s="8">
        <v>4289925939.1599998</v>
      </c>
      <c r="E66" s="8">
        <v>11527458709</v>
      </c>
      <c r="F66" s="8">
        <v>2979400</v>
      </c>
      <c r="G66" s="8">
        <v>7.5000000020000002</v>
      </c>
      <c r="H66" s="8">
        <v>87.202376540000003</v>
      </c>
      <c r="I66" s="8">
        <v>1439.86</v>
      </c>
      <c r="J66" s="8">
        <v>3869.05</v>
      </c>
      <c r="K66" s="8">
        <v>37.21</v>
      </c>
      <c r="L66" s="8">
        <v>121</v>
      </c>
      <c r="M66" s="8">
        <v>3615579027</v>
      </c>
      <c r="N66" s="8">
        <v>18.649999999999999</v>
      </c>
      <c r="O66" s="8" t="str">
        <f>vw_scenario_analysis_dataset[[#This Row],[reporter_name]] &amp; "-" &amp; vw_scenario_analysis_dataset[[#This Row],[reference_year]]</f>
        <v>Armenia-2017</v>
      </c>
    </row>
    <row r="67" spans="1:15" x14ac:dyDescent="0.3">
      <c r="A67" s="8" t="s">
        <v>28</v>
      </c>
      <c r="B67" s="8" t="s">
        <v>29</v>
      </c>
      <c r="C67" s="8">
        <v>2018</v>
      </c>
      <c r="D67" s="8">
        <v>4766827599.4759998</v>
      </c>
      <c r="E67" s="8">
        <v>12457940695</v>
      </c>
      <c r="F67" s="8">
        <v>2969000</v>
      </c>
      <c r="G67" s="8">
        <v>5.2</v>
      </c>
      <c r="H67" s="8">
        <v>92.47310702</v>
      </c>
      <c r="I67" s="8">
        <v>1605.53</v>
      </c>
      <c r="J67" s="8">
        <v>4196.01</v>
      </c>
      <c r="K67" s="8">
        <v>38.26</v>
      </c>
      <c r="L67" s="8">
        <v>117</v>
      </c>
      <c r="M67" s="8">
        <v>4289925939.1599998</v>
      </c>
      <c r="N67" s="8">
        <v>11.12</v>
      </c>
      <c r="O67" s="8" t="str">
        <f>vw_scenario_analysis_dataset[[#This Row],[reporter_name]] &amp; "-" &amp; vw_scenario_analysis_dataset[[#This Row],[reference_year]]</f>
        <v>Armenia-2018</v>
      </c>
    </row>
    <row r="68" spans="1:15" x14ac:dyDescent="0.3">
      <c r="A68" s="8" t="s">
        <v>28</v>
      </c>
      <c r="B68" s="8" t="s">
        <v>29</v>
      </c>
      <c r="C68" s="8">
        <v>2019</v>
      </c>
      <c r="D68" s="8">
        <v>5237274891.0599995</v>
      </c>
      <c r="E68" s="8">
        <v>13619290539</v>
      </c>
      <c r="F68" s="8">
        <v>2962500</v>
      </c>
      <c r="G68" s="8">
        <v>7.5999999989999996</v>
      </c>
      <c r="H68" s="8">
        <v>97.847004870000006</v>
      </c>
      <c r="I68" s="8">
        <v>1767.86</v>
      </c>
      <c r="J68" s="8">
        <v>4597.2299999999996</v>
      </c>
      <c r="K68" s="8">
        <v>38.450000000000003</v>
      </c>
      <c r="L68" s="8">
        <v>118</v>
      </c>
      <c r="M68" s="8">
        <v>4766827599.4759998</v>
      </c>
      <c r="N68" s="8">
        <v>9.8699999999999992</v>
      </c>
      <c r="O68" s="8" t="str">
        <f>vw_scenario_analysis_dataset[[#This Row],[reporter_name]] &amp; "-" &amp; vw_scenario_analysis_dataset[[#This Row],[reference_year]]</f>
        <v>Armenia-2019</v>
      </c>
    </row>
    <row r="69" spans="1:15" x14ac:dyDescent="0.3">
      <c r="A69" s="8" t="s">
        <v>28</v>
      </c>
      <c r="B69" s="8" t="s">
        <v>29</v>
      </c>
      <c r="C69" s="8">
        <v>2020</v>
      </c>
      <c r="D69" s="8">
        <v>4664164306.2099972</v>
      </c>
      <c r="E69" s="8">
        <v>12641698583</v>
      </c>
      <c r="F69" s="8">
        <v>2961500</v>
      </c>
      <c r="G69" s="8">
        <v>-7.1999999990000001</v>
      </c>
      <c r="H69" s="8">
        <v>70.121357140000001</v>
      </c>
      <c r="I69" s="8">
        <v>1574.93</v>
      </c>
      <c r="J69" s="8">
        <v>4268.68</v>
      </c>
      <c r="K69" s="8">
        <v>36.9</v>
      </c>
      <c r="L69" s="8">
        <v>117</v>
      </c>
      <c r="M69" s="8">
        <v>5237274891.0599995</v>
      </c>
      <c r="N69" s="8">
        <v>-10.94</v>
      </c>
      <c r="O69" s="8" t="str">
        <f>vw_scenario_analysis_dataset[[#This Row],[reporter_name]] &amp; "-" &amp; vw_scenario_analysis_dataset[[#This Row],[reference_year]]</f>
        <v>Armenia-2020</v>
      </c>
    </row>
    <row r="70" spans="1:15" x14ac:dyDescent="0.3">
      <c r="A70" s="8" t="s">
        <v>28</v>
      </c>
      <c r="B70" s="8" t="s">
        <v>29</v>
      </c>
      <c r="C70" s="8">
        <v>2021</v>
      </c>
      <c r="D70" s="8">
        <v>5929600404.1600027</v>
      </c>
      <c r="E70" s="8">
        <v>13878908629</v>
      </c>
      <c r="F70" s="8">
        <v>2962300</v>
      </c>
      <c r="G70" s="8">
        <v>5.8000000009999999</v>
      </c>
      <c r="H70" s="8">
        <v>79.24890576</v>
      </c>
      <c r="I70" s="8">
        <v>2001.69</v>
      </c>
      <c r="J70" s="8">
        <v>4685.18</v>
      </c>
      <c r="K70" s="8">
        <v>42.72</v>
      </c>
      <c r="L70" s="8">
        <v>118</v>
      </c>
      <c r="M70" s="8">
        <v>4664164306.2099972</v>
      </c>
      <c r="N70" s="8">
        <v>27.13</v>
      </c>
      <c r="O70" s="8" t="str">
        <f>vw_scenario_analysis_dataset[[#This Row],[reporter_name]] &amp; "-" &amp; vw_scenario_analysis_dataset[[#This Row],[reference_year]]</f>
        <v>Armenia-2021</v>
      </c>
    </row>
    <row r="71" spans="1:15" x14ac:dyDescent="0.3">
      <c r="A71" s="8" t="s">
        <v>28</v>
      </c>
      <c r="B71" s="8" t="s">
        <v>29</v>
      </c>
      <c r="C71" s="8">
        <v>2022</v>
      </c>
      <c r="D71" s="8">
        <v>10731958521.420004</v>
      </c>
      <c r="E71" s="8">
        <v>19513506553</v>
      </c>
      <c r="F71" s="8">
        <v>2969200</v>
      </c>
      <c r="G71" s="8">
        <v>12.6</v>
      </c>
      <c r="H71" s="8">
        <v>103.87862920000001</v>
      </c>
      <c r="I71" s="8">
        <v>3614.43</v>
      </c>
      <c r="J71" s="8">
        <v>6571.97</v>
      </c>
      <c r="K71" s="8">
        <v>55</v>
      </c>
      <c r="L71" s="8">
        <v>104</v>
      </c>
      <c r="M71" s="8">
        <v>5929600404.1600027</v>
      </c>
      <c r="N71" s="8">
        <v>80.989999999999995</v>
      </c>
      <c r="O71" s="8" t="str">
        <f>vw_scenario_analysis_dataset[[#This Row],[reporter_name]] &amp; "-" &amp; vw_scenario_analysis_dataset[[#This Row],[reference_year]]</f>
        <v>Armenia-2022</v>
      </c>
    </row>
    <row r="72" spans="1:15" x14ac:dyDescent="0.3">
      <c r="A72" s="8" t="s">
        <v>28</v>
      </c>
      <c r="B72" s="8" t="s">
        <v>29</v>
      </c>
      <c r="C72" s="8">
        <v>2023</v>
      </c>
      <c r="D72" s="8">
        <v>17016082751.859995</v>
      </c>
      <c r="E72" s="8">
        <v>24185982216</v>
      </c>
      <c r="F72" s="8">
        <v>2964300</v>
      </c>
      <c r="G72" s="8">
        <v>8.3000000000000007</v>
      </c>
      <c r="H72" s="8">
        <v>123.4187501</v>
      </c>
      <c r="I72" s="8">
        <v>5740.34</v>
      </c>
      <c r="J72" s="8">
        <v>8159.09</v>
      </c>
      <c r="K72" s="8">
        <v>70.36</v>
      </c>
      <c r="L72" s="8">
        <v>89</v>
      </c>
      <c r="M72" s="8">
        <v>10731958521.420004</v>
      </c>
      <c r="N72" s="8">
        <v>58.56</v>
      </c>
      <c r="O72" s="8" t="str">
        <f>vw_scenario_analysis_dataset[[#This Row],[reporter_name]] &amp; "-" &amp; vw_scenario_analysis_dataset[[#This Row],[reference_year]]</f>
        <v>Armenia-2023</v>
      </c>
    </row>
    <row r="73" spans="1:15" x14ac:dyDescent="0.3">
      <c r="A73" s="8" t="s">
        <v>28</v>
      </c>
      <c r="B73" s="8" t="s">
        <v>29</v>
      </c>
      <c r="C73" s="8">
        <v>2024</v>
      </c>
      <c r="D73" s="8">
        <v>26145304789.907997</v>
      </c>
      <c r="E73" s="8">
        <v>25955275380</v>
      </c>
      <c r="F73" s="8">
        <v>3033500</v>
      </c>
      <c r="G73" s="8">
        <v>5.9</v>
      </c>
      <c r="H73" s="8">
        <v>150.0647266</v>
      </c>
      <c r="I73" s="8">
        <v>8618.86</v>
      </c>
      <c r="J73" s="8">
        <v>8556.2099999999991</v>
      </c>
      <c r="K73" s="8">
        <v>100.73</v>
      </c>
      <c r="L73" s="8">
        <v>72</v>
      </c>
      <c r="M73" s="8">
        <v>17016082751.859995</v>
      </c>
      <c r="N73" s="8">
        <v>53.65</v>
      </c>
      <c r="O73" s="8" t="str">
        <f>vw_scenario_analysis_dataset[[#This Row],[reporter_name]] &amp; "-" &amp; vw_scenario_analysis_dataset[[#This Row],[reference_year]]</f>
        <v>Armenia-2024</v>
      </c>
    </row>
    <row r="74" spans="1:15" x14ac:dyDescent="0.3">
      <c r="A74" s="8" t="s">
        <v>30</v>
      </c>
      <c r="B74" s="8" t="s">
        <v>31</v>
      </c>
      <c r="C74" s="8">
        <v>2015</v>
      </c>
      <c r="D74" s="8">
        <v>52091083</v>
      </c>
      <c r="E74" s="8">
        <v>1437485185</v>
      </c>
      <c r="F74" s="8">
        <v>89409</v>
      </c>
      <c r="G74" s="8">
        <v>1.4216199759999999</v>
      </c>
      <c r="H74" s="8">
        <v>130.07154990000001</v>
      </c>
      <c r="I74" s="8">
        <v>582.62</v>
      </c>
      <c r="J74" s="8">
        <v>16077.63</v>
      </c>
      <c r="K74" s="8">
        <v>3.62</v>
      </c>
      <c r="L74" s="8">
        <v>163</v>
      </c>
      <c r="M74" s="8"/>
      <c r="N74" s="8"/>
      <c r="O74" s="8" t="str">
        <f>vw_scenario_analysis_dataset[[#This Row],[reporter_name]] &amp; "-" &amp; vw_scenario_analysis_dataset[[#This Row],[reference_year]]</f>
        <v>Antigua and Barbuda-2015</v>
      </c>
    </row>
    <row r="75" spans="1:15" x14ac:dyDescent="0.3">
      <c r="A75" s="8" t="s">
        <v>30</v>
      </c>
      <c r="B75" s="8" t="s">
        <v>31</v>
      </c>
      <c r="C75" s="8">
        <v>2016</v>
      </c>
      <c r="D75" s="8">
        <v>122086508</v>
      </c>
      <c r="E75" s="8">
        <v>1489603704</v>
      </c>
      <c r="F75" s="8">
        <v>89969</v>
      </c>
      <c r="G75" s="8">
        <v>4.1203675439999996</v>
      </c>
      <c r="H75" s="8">
        <v>132.0259179</v>
      </c>
      <c r="I75" s="8">
        <v>1356.98</v>
      </c>
      <c r="J75" s="8">
        <v>16556.86</v>
      </c>
      <c r="K75" s="8">
        <v>8.1999999999999993</v>
      </c>
      <c r="L75" s="8">
        <v>159</v>
      </c>
      <c r="M75" s="8">
        <v>52091083</v>
      </c>
      <c r="N75" s="8">
        <v>134.37</v>
      </c>
      <c r="O75" s="8" t="str">
        <f>vw_scenario_analysis_dataset[[#This Row],[reporter_name]] &amp; "-" &amp; vw_scenario_analysis_dataset[[#This Row],[reference_year]]</f>
        <v>Antigua and Barbuda-2016</v>
      </c>
    </row>
    <row r="76" spans="1:15" x14ac:dyDescent="0.3">
      <c r="A76" s="8" t="s">
        <v>30</v>
      </c>
      <c r="B76" s="8" t="s">
        <v>31</v>
      </c>
      <c r="C76" s="8">
        <v>2017</v>
      </c>
      <c r="D76" s="8">
        <v>124781205.426</v>
      </c>
      <c r="E76" s="8">
        <v>1534855556</v>
      </c>
      <c r="F76" s="8">
        <v>90468</v>
      </c>
      <c r="G76" s="8">
        <v>2.71272658</v>
      </c>
      <c r="H76" s="8">
        <v>127.6643236</v>
      </c>
      <c r="I76" s="8">
        <v>1379.29</v>
      </c>
      <c r="J76" s="8">
        <v>16965.73</v>
      </c>
      <c r="K76" s="8">
        <v>8.1300000000000008</v>
      </c>
      <c r="L76" s="8">
        <v>160</v>
      </c>
      <c r="M76" s="8">
        <v>122086508</v>
      </c>
      <c r="N76" s="8">
        <v>2.21</v>
      </c>
      <c r="O76" s="8" t="str">
        <f>vw_scenario_analysis_dataset[[#This Row],[reporter_name]] &amp; "-" &amp; vw_scenario_analysis_dataset[[#This Row],[reference_year]]</f>
        <v>Antigua and Barbuda-2017</v>
      </c>
    </row>
    <row r="77" spans="1:15" x14ac:dyDescent="0.3">
      <c r="A77" s="8" t="s">
        <v>30</v>
      </c>
      <c r="B77" s="8" t="s">
        <v>31</v>
      </c>
      <c r="C77" s="8">
        <v>2018</v>
      </c>
      <c r="D77" s="8">
        <v>51682163.117000028</v>
      </c>
      <c r="E77" s="8">
        <v>1661529630</v>
      </c>
      <c r="F77" s="8">
        <v>90926</v>
      </c>
      <c r="G77" s="8">
        <v>6.7120048719999996</v>
      </c>
      <c r="H77" s="8">
        <v>130.6551527</v>
      </c>
      <c r="I77" s="8">
        <v>568.4</v>
      </c>
      <c r="J77" s="8">
        <v>18273.43</v>
      </c>
      <c r="K77" s="8">
        <v>3.11</v>
      </c>
      <c r="L77" s="8">
        <v>162</v>
      </c>
      <c r="M77" s="8">
        <v>124781205.426</v>
      </c>
      <c r="N77" s="8">
        <v>-58.58</v>
      </c>
      <c r="O77" s="8" t="str">
        <f>vw_scenario_analysis_dataset[[#This Row],[reporter_name]] &amp; "-" &amp; vw_scenario_analysis_dataset[[#This Row],[reference_year]]</f>
        <v>Antigua and Barbuda-2018</v>
      </c>
    </row>
    <row r="78" spans="1:15" x14ac:dyDescent="0.3">
      <c r="A78" s="8" t="s">
        <v>30</v>
      </c>
      <c r="B78" s="8" t="s">
        <v>31</v>
      </c>
      <c r="C78" s="8">
        <v>2019</v>
      </c>
      <c r="D78" s="8">
        <v>74800236.808000013</v>
      </c>
      <c r="E78" s="8">
        <v>1726448148</v>
      </c>
      <c r="F78" s="8">
        <v>91364</v>
      </c>
      <c r="G78" s="8">
        <v>3.1722219370000002</v>
      </c>
      <c r="H78" s="8">
        <v>137.53778360000001</v>
      </c>
      <c r="I78" s="8">
        <v>818.71</v>
      </c>
      <c r="J78" s="8">
        <v>18896.37</v>
      </c>
      <c r="K78" s="8">
        <v>4.33</v>
      </c>
      <c r="L78" s="8">
        <v>159</v>
      </c>
      <c r="M78" s="8">
        <v>51682163.117000028</v>
      </c>
      <c r="N78" s="8">
        <v>44.73</v>
      </c>
      <c r="O78" s="8" t="str">
        <f>vw_scenario_analysis_dataset[[#This Row],[reporter_name]] &amp; "-" &amp; vw_scenario_analysis_dataset[[#This Row],[reference_year]]</f>
        <v>Antigua and Barbuda-2019</v>
      </c>
    </row>
    <row r="79" spans="1:15" x14ac:dyDescent="0.3">
      <c r="A79" s="8" t="s">
        <v>30</v>
      </c>
      <c r="B79" s="8" t="s">
        <v>31</v>
      </c>
      <c r="C79" s="8">
        <v>2020</v>
      </c>
      <c r="D79" s="8">
        <v>44398849.264999993</v>
      </c>
      <c r="E79" s="8">
        <v>1411637037</v>
      </c>
      <c r="F79" s="8">
        <v>91846</v>
      </c>
      <c r="G79" s="8">
        <v>-18.868776520000001</v>
      </c>
      <c r="H79" s="8">
        <v>94.289529889999997</v>
      </c>
      <c r="I79" s="8">
        <v>483.41</v>
      </c>
      <c r="J79" s="8">
        <v>15369.61</v>
      </c>
      <c r="K79" s="8">
        <v>3.15</v>
      </c>
      <c r="L79" s="8">
        <v>155</v>
      </c>
      <c r="M79" s="8">
        <v>74800236.808000013</v>
      </c>
      <c r="N79" s="8">
        <v>-40.64</v>
      </c>
      <c r="O79" s="8" t="str">
        <f>vw_scenario_analysis_dataset[[#This Row],[reporter_name]] &amp; "-" &amp; vw_scenario_analysis_dataset[[#This Row],[reference_year]]</f>
        <v>Antigua and Barbuda-2020</v>
      </c>
    </row>
    <row r="80" spans="1:15" x14ac:dyDescent="0.3">
      <c r="A80" s="8" t="s">
        <v>30</v>
      </c>
      <c r="B80" s="8" t="s">
        <v>31</v>
      </c>
      <c r="C80" s="8">
        <v>2021</v>
      </c>
      <c r="D80" s="8">
        <v>38294574.265000001</v>
      </c>
      <c r="E80" s="8">
        <v>1602125926</v>
      </c>
      <c r="F80" s="8">
        <v>92349</v>
      </c>
      <c r="G80" s="8">
        <v>8.1728631119999999</v>
      </c>
      <c r="H80" s="8">
        <v>101.0749606</v>
      </c>
      <c r="I80" s="8">
        <v>414.67</v>
      </c>
      <c r="J80" s="8">
        <v>17348.599999999999</v>
      </c>
      <c r="K80" s="8">
        <v>2.39</v>
      </c>
      <c r="L80" s="8">
        <v>158</v>
      </c>
      <c r="M80" s="8">
        <v>44398849.264999993</v>
      </c>
      <c r="N80" s="8">
        <v>-13.75</v>
      </c>
      <c r="O80" s="8" t="str">
        <f>vw_scenario_analysis_dataset[[#This Row],[reporter_name]] &amp; "-" &amp; vw_scenario_analysis_dataset[[#This Row],[reference_year]]</f>
        <v>Antigua and Barbuda-2021</v>
      </c>
    </row>
    <row r="81" spans="1:15" x14ac:dyDescent="0.3">
      <c r="A81" s="8" t="s">
        <v>30</v>
      </c>
      <c r="B81" s="8" t="s">
        <v>31</v>
      </c>
      <c r="C81" s="8">
        <v>2022</v>
      </c>
      <c r="D81" s="8">
        <v>43752792.081</v>
      </c>
      <c r="E81" s="8">
        <v>1857114815</v>
      </c>
      <c r="F81" s="8">
        <v>92840</v>
      </c>
      <c r="G81" s="8">
        <v>8.4977634230000003</v>
      </c>
      <c r="H81" s="8">
        <v>118.3025841</v>
      </c>
      <c r="I81" s="8">
        <v>471.27</v>
      </c>
      <c r="J81" s="8">
        <v>20003.39</v>
      </c>
      <c r="K81" s="8">
        <v>2.36</v>
      </c>
      <c r="L81" s="8">
        <v>159</v>
      </c>
      <c r="M81" s="8">
        <v>38294574.265000001</v>
      </c>
      <c r="N81" s="8">
        <v>14.25</v>
      </c>
      <c r="O81" s="8" t="str">
        <f>vw_scenario_analysis_dataset[[#This Row],[reporter_name]] &amp; "-" &amp; vw_scenario_analysis_dataset[[#This Row],[reference_year]]</f>
        <v>Antigua and Barbuda-2022</v>
      </c>
    </row>
    <row r="82" spans="1:15" x14ac:dyDescent="0.3">
      <c r="A82" s="8" t="s">
        <v>30</v>
      </c>
      <c r="B82" s="8" t="s">
        <v>31</v>
      </c>
      <c r="C82" s="8">
        <v>2023</v>
      </c>
      <c r="D82" s="8">
        <v>60993748.46100001</v>
      </c>
      <c r="E82" s="8">
        <v>2054096296</v>
      </c>
      <c r="F82" s="8">
        <v>93316</v>
      </c>
      <c r="G82" s="8">
        <v>3.8655016010000001</v>
      </c>
      <c r="H82" s="8"/>
      <c r="I82" s="8">
        <v>653.63</v>
      </c>
      <c r="J82" s="8">
        <v>22012.26</v>
      </c>
      <c r="K82" s="8">
        <v>2.97</v>
      </c>
      <c r="L82" s="8">
        <v>152</v>
      </c>
      <c r="M82" s="8">
        <v>43752792.081</v>
      </c>
      <c r="N82" s="8">
        <v>39.409999999999997</v>
      </c>
      <c r="O82" s="8" t="str">
        <f>vw_scenario_analysis_dataset[[#This Row],[reporter_name]] &amp; "-" &amp; vw_scenario_analysis_dataset[[#This Row],[reference_year]]</f>
        <v>Antigua and Barbuda-2023</v>
      </c>
    </row>
    <row r="83" spans="1:15" x14ac:dyDescent="0.3">
      <c r="A83" s="8" t="s">
        <v>30</v>
      </c>
      <c r="B83" s="8" t="s">
        <v>31</v>
      </c>
      <c r="C83" s="8">
        <v>2024</v>
      </c>
      <c r="D83" s="8">
        <v>66723742.784999996</v>
      </c>
      <c r="E83" s="8">
        <v>2162366667</v>
      </c>
      <c r="F83" s="8">
        <v>93772</v>
      </c>
      <c r="G83" s="8">
        <v>2.5404419389999999</v>
      </c>
      <c r="H83" s="8"/>
      <c r="I83" s="8">
        <v>711.55</v>
      </c>
      <c r="J83" s="8">
        <v>23059.83</v>
      </c>
      <c r="K83" s="8">
        <v>3.09</v>
      </c>
      <c r="L83" s="8">
        <v>130</v>
      </c>
      <c r="M83" s="8">
        <v>60993748.46100001</v>
      </c>
      <c r="N83" s="8">
        <v>9.39</v>
      </c>
      <c r="O83" s="8" t="str">
        <f>vw_scenario_analysis_dataset[[#This Row],[reporter_name]] &amp; "-" &amp; vw_scenario_analysis_dataset[[#This Row],[reference_year]]</f>
        <v>Antigua and Barbuda-2024</v>
      </c>
    </row>
    <row r="84" spans="1:15" x14ac:dyDescent="0.3">
      <c r="A84" s="8" t="s">
        <v>32</v>
      </c>
      <c r="B84" s="8" t="s">
        <v>33</v>
      </c>
      <c r="C84" s="8">
        <v>2015</v>
      </c>
      <c r="D84" s="8">
        <v>375584302945</v>
      </c>
      <c r="E84" s="8">
        <v>1360000000000</v>
      </c>
      <c r="F84" s="8">
        <v>23815995</v>
      </c>
      <c r="G84" s="8">
        <v>2.1643478059999999</v>
      </c>
      <c r="H84" s="8">
        <v>41.494750689999996</v>
      </c>
      <c r="I84" s="8">
        <v>15770.25</v>
      </c>
      <c r="J84" s="8">
        <v>57104.480000000003</v>
      </c>
      <c r="K84" s="8">
        <v>27.62</v>
      </c>
      <c r="L84" s="8">
        <v>22</v>
      </c>
      <c r="M84" s="8"/>
      <c r="N84" s="8"/>
      <c r="O84" s="8" t="str">
        <f>vw_scenario_analysis_dataset[[#This Row],[reporter_name]] &amp; "-" &amp; vw_scenario_analysis_dataset[[#This Row],[reference_year]]</f>
        <v>Australia-2015</v>
      </c>
    </row>
    <row r="85" spans="1:15" x14ac:dyDescent="0.3">
      <c r="A85" s="8" t="s">
        <v>32</v>
      </c>
      <c r="B85" s="8" t="s">
        <v>33</v>
      </c>
      <c r="C85" s="8">
        <v>2016</v>
      </c>
      <c r="D85" s="8">
        <v>379259949125</v>
      </c>
      <c r="E85" s="8">
        <v>1210000000000</v>
      </c>
      <c r="F85" s="8">
        <v>24190907</v>
      </c>
      <c r="G85" s="8">
        <v>2.7556406550000001</v>
      </c>
      <c r="H85" s="8">
        <v>40.81340222</v>
      </c>
      <c r="I85" s="8">
        <v>15677.79</v>
      </c>
      <c r="J85" s="8">
        <v>50018.79</v>
      </c>
      <c r="K85" s="8">
        <v>31.34</v>
      </c>
      <c r="L85" s="8">
        <v>20</v>
      </c>
      <c r="M85" s="8">
        <v>375584302945</v>
      </c>
      <c r="N85" s="8">
        <v>0.98</v>
      </c>
      <c r="O85" s="8" t="str">
        <f>vw_scenario_analysis_dataset[[#This Row],[reporter_name]] &amp; "-" &amp; vw_scenario_analysis_dataset[[#This Row],[reference_year]]</f>
        <v>Australia-2016</v>
      </c>
    </row>
    <row r="86" spans="1:15" x14ac:dyDescent="0.3">
      <c r="A86" s="8" t="s">
        <v>32</v>
      </c>
      <c r="B86" s="8" t="s">
        <v>33</v>
      </c>
      <c r="C86" s="8">
        <v>2017</v>
      </c>
      <c r="D86" s="8">
        <v>461073473187.71313</v>
      </c>
      <c r="E86" s="8">
        <v>1330000000000</v>
      </c>
      <c r="F86" s="8">
        <v>24592588</v>
      </c>
      <c r="G86" s="8">
        <v>2.2933103020000001</v>
      </c>
      <c r="H86" s="8">
        <v>42.03541353</v>
      </c>
      <c r="I86" s="8">
        <v>18748.47</v>
      </c>
      <c r="J86" s="8">
        <v>54081.34</v>
      </c>
      <c r="K86" s="8">
        <v>34.67</v>
      </c>
      <c r="L86" s="8">
        <v>19</v>
      </c>
      <c r="M86" s="8">
        <v>379259949125</v>
      </c>
      <c r="N86" s="8">
        <v>21.57</v>
      </c>
      <c r="O86" s="8" t="str">
        <f>vw_scenario_analysis_dataset[[#This Row],[reporter_name]] &amp; "-" &amp; vw_scenario_analysis_dataset[[#This Row],[reference_year]]</f>
        <v>Australia-2017</v>
      </c>
    </row>
    <row r="87" spans="1:15" x14ac:dyDescent="0.3">
      <c r="A87" s="8" t="s">
        <v>32</v>
      </c>
      <c r="B87" s="8" t="s">
        <v>33</v>
      </c>
      <c r="C87" s="8">
        <v>2018</v>
      </c>
      <c r="D87" s="8">
        <v>513130524751.18402</v>
      </c>
      <c r="E87" s="8">
        <v>1430000000000</v>
      </c>
      <c r="F87" s="8">
        <v>24963258</v>
      </c>
      <c r="G87" s="8">
        <v>2.8741703950000002</v>
      </c>
      <c r="H87" s="8">
        <v>43.573225360000002</v>
      </c>
      <c r="I87" s="8">
        <v>20555.43</v>
      </c>
      <c r="J87" s="8">
        <v>57284.19</v>
      </c>
      <c r="K87" s="8">
        <v>35.880000000000003</v>
      </c>
      <c r="L87" s="8">
        <v>20</v>
      </c>
      <c r="M87" s="8">
        <v>461073473187.71313</v>
      </c>
      <c r="N87" s="8">
        <v>11.29</v>
      </c>
      <c r="O87" s="8" t="str">
        <f>vw_scenario_analysis_dataset[[#This Row],[reporter_name]] &amp; "-" &amp; vw_scenario_analysis_dataset[[#This Row],[reference_year]]</f>
        <v>Australia-2018</v>
      </c>
    </row>
    <row r="88" spans="1:15" x14ac:dyDescent="0.3">
      <c r="A88" s="8" t="s">
        <v>32</v>
      </c>
      <c r="B88" s="8" t="s">
        <v>33</v>
      </c>
      <c r="C88" s="8">
        <v>2019</v>
      </c>
      <c r="D88" s="8">
        <v>540521671739.53729</v>
      </c>
      <c r="E88" s="8">
        <v>1400000000000</v>
      </c>
      <c r="F88" s="8">
        <v>25334826</v>
      </c>
      <c r="G88" s="8">
        <v>2.194017036</v>
      </c>
      <c r="H88" s="8">
        <v>46.001682709999997</v>
      </c>
      <c r="I88" s="8">
        <v>21335.119999999999</v>
      </c>
      <c r="J88" s="8">
        <v>55259.9</v>
      </c>
      <c r="K88" s="8">
        <v>38.61</v>
      </c>
      <c r="L88" s="8">
        <v>18</v>
      </c>
      <c r="M88" s="8">
        <v>513130524751.18402</v>
      </c>
      <c r="N88" s="8">
        <v>5.34</v>
      </c>
      <c r="O88" s="8" t="str">
        <f>vw_scenario_analysis_dataset[[#This Row],[reporter_name]] &amp; "-" &amp; vw_scenario_analysis_dataset[[#This Row],[reference_year]]</f>
        <v>Australia-2019</v>
      </c>
    </row>
    <row r="89" spans="1:15" x14ac:dyDescent="0.3">
      <c r="A89" s="8" t="s">
        <v>32</v>
      </c>
      <c r="B89" s="8" t="s">
        <v>33</v>
      </c>
      <c r="C89" s="8">
        <v>2020</v>
      </c>
      <c r="D89" s="8">
        <v>494318691883.13483</v>
      </c>
      <c r="E89" s="8">
        <v>1330000000000</v>
      </c>
      <c r="F89" s="8">
        <v>25649248</v>
      </c>
      <c r="G89" s="8">
        <v>-0.13353190400000001</v>
      </c>
      <c r="H89" s="8">
        <v>44.499564100000001</v>
      </c>
      <c r="I89" s="8">
        <v>19272.25</v>
      </c>
      <c r="J89" s="8">
        <v>51853.37</v>
      </c>
      <c r="K89" s="8">
        <v>37.17</v>
      </c>
      <c r="L89" s="8">
        <v>20</v>
      </c>
      <c r="M89" s="8">
        <v>540521671739.53729</v>
      </c>
      <c r="N89" s="8">
        <v>-8.5500000000000007</v>
      </c>
      <c r="O89" s="8" t="str">
        <f>vw_scenario_analysis_dataset[[#This Row],[reporter_name]] &amp; "-" &amp; vw_scenario_analysis_dataset[[#This Row],[reference_year]]</f>
        <v>Australia-2020</v>
      </c>
    </row>
    <row r="90" spans="1:15" x14ac:dyDescent="0.3">
      <c r="A90" s="8" t="s">
        <v>32</v>
      </c>
      <c r="B90" s="8" t="s">
        <v>33</v>
      </c>
      <c r="C90" s="8">
        <v>2021</v>
      </c>
      <c r="D90" s="8">
        <v>684072206539.68127</v>
      </c>
      <c r="E90" s="8">
        <v>1560000000000</v>
      </c>
      <c r="F90" s="8">
        <v>25685412</v>
      </c>
      <c r="G90" s="8">
        <v>2.0069484430000002</v>
      </c>
      <c r="H90" s="8">
        <v>40.202235940000001</v>
      </c>
      <c r="I90" s="8">
        <v>26632.71</v>
      </c>
      <c r="J90" s="8">
        <v>60734.86</v>
      </c>
      <c r="K90" s="8">
        <v>43.85</v>
      </c>
      <c r="L90" s="8">
        <v>18</v>
      </c>
      <c r="M90" s="8">
        <v>494318691883.13483</v>
      </c>
      <c r="N90" s="8">
        <v>38.39</v>
      </c>
      <c r="O90" s="8" t="str">
        <f>vw_scenario_analysis_dataset[[#This Row],[reporter_name]] &amp; "-" &amp; vw_scenario_analysis_dataset[[#This Row],[reference_year]]</f>
        <v>Australia-2021</v>
      </c>
    </row>
    <row r="91" spans="1:15" x14ac:dyDescent="0.3">
      <c r="A91" s="8" t="s">
        <v>32</v>
      </c>
      <c r="B91" s="8" t="s">
        <v>33</v>
      </c>
      <c r="C91" s="8">
        <v>2022</v>
      </c>
      <c r="D91" s="8">
        <v>820505668958.08533</v>
      </c>
      <c r="E91" s="8">
        <v>1700000000000</v>
      </c>
      <c r="F91" s="8">
        <v>26018721</v>
      </c>
      <c r="G91" s="8">
        <v>4.2530455920000003</v>
      </c>
      <c r="H91" s="8">
        <v>45.694641879999999</v>
      </c>
      <c r="I91" s="8">
        <v>31535.200000000001</v>
      </c>
      <c r="J91" s="8">
        <v>65337.57</v>
      </c>
      <c r="K91" s="8">
        <v>48.27</v>
      </c>
      <c r="L91" s="8">
        <v>18</v>
      </c>
      <c r="M91" s="8">
        <v>684072206539.68127</v>
      </c>
      <c r="N91" s="8">
        <v>19.940000000000001</v>
      </c>
      <c r="O91" s="8" t="str">
        <f>vw_scenario_analysis_dataset[[#This Row],[reporter_name]] &amp; "-" &amp; vw_scenario_analysis_dataset[[#This Row],[reference_year]]</f>
        <v>Australia-2022</v>
      </c>
    </row>
    <row r="92" spans="1:15" x14ac:dyDescent="0.3">
      <c r="A92" s="8" t="s">
        <v>32</v>
      </c>
      <c r="B92" s="8" t="s">
        <v>33</v>
      </c>
      <c r="C92" s="8">
        <v>2023</v>
      </c>
      <c r="D92" s="8">
        <v>738470248318.10388</v>
      </c>
      <c r="E92" s="8">
        <v>1730000000000</v>
      </c>
      <c r="F92" s="8">
        <v>26659922</v>
      </c>
      <c r="G92" s="8">
        <v>3.5838210080000001</v>
      </c>
      <c r="H92" s="8">
        <v>49.044339319999999</v>
      </c>
      <c r="I92" s="8">
        <v>27699.64</v>
      </c>
      <c r="J92" s="8">
        <v>64891.41</v>
      </c>
      <c r="K92" s="8">
        <v>42.69</v>
      </c>
      <c r="L92" s="8">
        <v>18</v>
      </c>
      <c r="M92" s="8">
        <v>820505668958.08533</v>
      </c>
      <c r="N92" s="8">
        <v>-10</v>
      </c>
      <c r="O92" s="8" t="str">
        <f>vw_scenario_analysis_dataset[[#This Row],[reporter_name]] &amp; "-" &amp; vw_scenario_analysis_dataset[[#This Row],[reference_year]]</f>
        <v>Australia-2023</v>
      </c>
    </row>
    <row r="93" spans="1:15" x14ac:dyDescent="0.3">
      <c r="A93" s="8" t="s">
        <v>32</v>
      </c>
      <c r="B93" s="8" t="s">
        <v>33</v>
      </c>
      <c r="C93" s="8">
        <v>2024</v>
      </c>
      <c r="D93" s="8">
        <v>681709703481.33838</v>
      </c>
      <c r="E93" s="8">
        <v>1760000000000</v>
      </c>
      <c r="F93" s="8">
        <v>27194286</v>
      </c>
      <c r="G93" s="8">
        <v>1.3734077339999999</v>
      </c>
      <c r="H93" s="8">
        <v>47.145381110000002</v>
      </c>
      <c r="I93" s="8">
        <v>25068.12</v>
      </c>
      <c r="J93" s="8">
        <v>64719.48</v>
      </c>
      <c r="K93" s="8">
        <v>38.729999999999997</v>
      </c>
      <c r="L93" s="8">
        <v>17</v>
      </c>
      <c r="M93" s="8">
        <v>738470248318.10388</v>
      </c>
      <c r="N93" s="8">
        <v>-7.69</v>
      </c>
      <c r="O93" s="8" t="str">
        <f>vw_scenario_analysis_dataset[[#This Row],[reporter_name]] &amp; "-" &amp; vw_scenario_analysis_dataset[[#This Row],[reference_year]]</f>
        <v>Australia-2024</v>
      </c>
    </row>
    <row r="94" spans="1:15" x14ac:dyDescent="0.3">
      <c r="A94" s="8" t="s">
        <v>34</v>
      </c>
      <c r="B94" s="8" t="s">
        <v>35</v>
      </c>
      <c r="C94" s="8">
        <v>2015</v>
      </c>
      <c r="D94" s="8">
        <v>290551060630.03107</v>
      </c>
      <c r="E94" s="8">
        <v>380000000000</v>
      </c>
      <c r="F94" s="8">
        <v>8642699</v>
      </c>
      <c r="G94" s="8">
        <v>1.3035233180000001</v>
      </c>
      <c r="H94" s="8">
        <v>103.1175817</v>
      </c>
      <c r="I94" s="8">
        <v>33618.089999999997</v>
      </c>
      <c r="J94" s="8">
        <v>43967.75</v>
      </c>
      <c r="K94" s="8">
        <v>76.459999999999994</v>
      </c>
      <c r="L94" s="8">
        <v>28</v>
      </c>
      <c r="M94" s="8"/>
      <c r="N94" s="8"/>
      <c r="O94" s="8" t="str">
        <f>vw_scenario_analysis_dataset[[#This Row],[reporter_name]] &amp; "-" &amp; vw_scenario_analysis_dataset[[#This Row],[reference_year]]</f>
        <v>Austria-2015</v>
      </c>
    </row>
    <row r="95" spans="1:15" x14ac:dyDescent="0.3">
      <c r="A95" s="8" t="s">
        <v>34</v>
      </c>
      <c r="B95" s="8" t="s">
        <v>35</v>
      </c>
      <c r="C95" s="8">
        <v>2016</v>
      </c>
      <c r="D95" s="8">
        <v>289401380431.47498</v>
      </c>
      <c r="E95" s="8">
        <v>394000000000</v>
      </c>
      <c r="F95" s="8">
        <v>8736668</v>
      </c>
      <c r="G95" s="8">
        <v>2.117219645</v>
      </c>
      <c r="H95" s="8">
        <v>101.5734946</v>
      </c>
      <c r="I95" s="8">
        <v>33124.910000000003</v>
      </c>
      <c r="J95" s="8">
        <v>45097.279999999999</v>
      </c>
      <c r="K95" s="8">
        <v>73.45</v>
      </c>
      <c r="L95" s="8">
        <v>27</v>
      </c>
      <c r="M95" s="8">
        <v>290551060630.03107</v>
      </c>
      <c r="N95" s="8">
        <v>-0.4</v>
      </c>
      <c r="O95" s="8" t="str">
        <f>vw_scenario_analysis_dataset[[#This Row],[reporter_name]] &amp; "-" &amp; vw_scenario_analysis_dataset[[#This Row],[reference_year]]</f>
        <v>Austria-2016</v>
      </c>
    </row>
    <row r="96" spans="1:15" x14ac:dyDescent="0.3">
      <c r="A96" s="8" t="s">
        <v>34</v>
      </c>
      <c r="B96" s="8" t="s">
        <v>35</v>
      </c>
      <c r="C96" s="8">
        <v>2017</v>
      </c>
      <c r="D96" s="8">
        <v>319941061605.8703</v>
      </c>
      <c r="E96" s="8">
        <v>415000000000</v>
      </c>
      <c r="F96" s="8">
        <v>8797566</v>
      </c>
      <c r="G96" s="8">
        <v>2.2722499200000001</v>
      </c>
      <c r="H96" s="8">
        <v>105.5560668</v>
      </c>
      <c r="I96" s="8">
        <v>36367</v>
      </c>
      <c r="J96" s="8">
        <v>47172.14</v>
      </c>
      <c r="K96" s="8">
        <v>77.09</v>
      </c>
      <c r="L96" s="8">
        <v>28</v>
      </c>
      <c r="M96" s="8">
        <v>289401380431.47498</v>
      </c>
      <c r="N96" s="8">
        <v>10.55</v>
      </c>
      <c r="O96" s="8" t="str">
        <f>vw_scenario_analysis_dataset[[#This Row],[reporter_name]] &amp; "-" &amp; vw_scenario_analysis_dataset[[#This Row],[reference_year]]</f>
        <v>Austria-2017</v>
      </c>
    </row>
    <row r="97" spans="1:15" x14ac:dyDescent="0.3">
      <c r="A97" s="8" t="s">
        <v>34</v>
      </c>
      <c r="B97" s="8" t="s">
        <v>35</v>
      </c>
      <c r="C97" s="8">
        <v>2018</v>
      </c>
      <c r="D97" s="8">
        <v>353983941240.39197</v>
      </c>
      <c r="E97" s="8">
        <v>453000000000</v>
      </c>
      <c r="F97" s="8">
        <v>8840521</v>
      </c>
      <c r="G97" s="8">
        <v>2.4842211409999999</v>
      </c>
      <c r="H97" s="8">
        <v>108.37797</v>
      </c>
      <c r="I97" s="8">
        <v>40041.07</v>
      </c>
      <c r="J97" s="8">
        <v>51241.32</v>
      </c>
      <c r="K97" s="8">
        <v>78.14</v>
      </c>
      <c r="L97" s="8">
        <v>28</v>
      </c>
      <c r="M97" s="8">
        <v>319941061605.8703</v>
      </c>
      <c r="N97" s="8">
        <v>10.64</v>
      </c>
      <c r="O97" s="8" t="str">
        <f>vw_scenario_analysis_dataset[[#This Row],[reporter_name]] &amp; "-" &amp; vw_scenario_analysis_dataset[[#This Row],[reference_year]]</f>
        <v>Austria-2018</v>
      </c>
    </row>
    <row r="98" spans="1:15" x14ac:dyDescent="0.3">
      <c r="A98" s="8" t="s">
        <v>34</v>
      </c>
      <c r="B98" s="8" t="s">
        <v>35</v>
      </c>
      <c r="C98" s="8">
        <v>2019</v>
      </c>
      <c r="D98" s="8">
        <v>343064109924.63361</v>
      </c>
      <c r="E98" s="8">
        <v>443000000000</v>
      </c>
      <c r="F98" s="8">
        <v>8879920</v>
      </c>
      <c r="G98" s="8">
        <v>1.7549761960000001</v>
      </c>
      <c r="H98" s="8">
        <v>108.2072849</v>
      </c>
      <c r="I98" s="8">
        <v>38633.69</v>
      </c>
      <c r="J98" s="8">
        <v>49887.839999999997</v>
      </c>
      <c r="K98" s="8">
        <v>77.44</v>
      </c>
      <c r="L98" s="8">
        <v>27</v>
      </c>
      <c r="M98" s="8">
        <v>353983941240.39197</v>
      </c>
      <c r="N98" s="8">
        <v>-3.08</v>
      </c>
      <c r="O98" s="8" t="str">
        <f>vw_scenario_analysis_dataset[[#This Row],[reporter_name]] &amp; "-" &amp; vw_scenario_analysis_dataset[[#This Row],[reference_year]]</f>
        <v>Austria-2019</v>
      </c>
    </row>
    <row r="99" spans="1:15" x14ac:dyDescent="0.3">
      <c r="A99" s="8" t="s">
        <v>34</v>
      </c>
      <c r="B99" s="8" t="s">
        <v>35</v>
      </c>
      <c r="C99" s="8">
        <v>2020</v>
      </c>
      <c r="D99" s="8">
        <v>324290258034.66895</v>
      </c>
      <c r="E99" s="8">
        <v>434000000000</v>
      </c>
      <c r="F99" s="8">
        <v>8916864</v>
      </c>
      <c r="G99" s="8">
        <v>-6.3182550920000002</v>
      </c>
      <c r="H99" s="8">
        <v>99.948214109999995</v>
      </c>
      <c r="I99" s="8">
        <v>36368.199999999997</v>
      </c>
      <c r="J99" s="8">
        <v>48671.82</v>
      </c>
      <c r="K99" s="8">
        <v>74.72</v>
      </c>
      <c r="L99" s="8">
        <v>29</v>
      </c>
      <c r="M99" s="8">
        <v>343064109924.63361</v>
      </c>
      <c r="N99" s="8">
        <v>-5.47</v>
      </c>
      <c r="O99" s="8" t="str">
        <f>vw_scenario_analysis_dataset[[#This Row],[reporter_name]] &amp; "-" &amp; vw_scenario_analysis_dataset[[#This Row],[reference_year]]</f>
        <v>Austria-2020</v>
      </c>
    </row>
    <row r="100" spans="1:15" x14ac:dyDescent="0.3">
      <c r="A100" s="8" t="s">
        <v>34</v>
      </c>
      <c r="B100" s="8" t="s">
        <v>35</v>
      </c>
      <c r="C100" s="8">
        <v>2021</v>
      </c>
      <c r="D100" s="8">
        <v>389406491898.9176</v>
      </c>
      <c r="E100" s="8">
        <v>480000000000</v>
      </c>
      <c r="F100" s="8">
        <v>8955797</v>
      </c>
      <c r="G100" s="8">
        <v>4.9230917170000001</v>
      </c>
      <c r="H100" s="8">
        <v>111.0329321</v>
      </c>
      <c r="I100" s="8">
        <v>43480.94</v>
      </c>
      <c r="J100" s="8">
        <v>53596.57</v>
      </c>
      <c r="K100" s="8">
        <v>81.13</v>
      </c>
      <c r="L100" s="8">
        <v>29</v>
      </c>
      <c r="M100" s="8">
        <v>324290258034.66895</v>
      </c>
      <c r="N100" s="8">
        <v>20.079999999999998</v>
      </c>
      <c r="O100" s="8" t="str">
        <f>vw_scenario_analysis_dataset[[#This Row],[reporter_name]] &amp; "-" &amp; vw_scenario_analysis_dataset[[#This Row],[reference_year]]</f>
        <v>Austria-2021</v>
      </c>
    </row>
    <row r="101" spans="1:15" x14ac:dyDescent="0.3">
      <c r="A101" s="8" t="s">
        <v>34</v>
      </c>
      <c r="B101" s="8" t="s">
        <v>35</v>
      </c>
      <c r="C101" s="8">
        <v>2022</v>
      </c>
      <c r="D101" s="8">
        <v>407506494692.28363</v>
      </c>
      <c r="E101" s="8">
        <v>473000000000</v>
      </c>
      <c r="F101" s="8">
        <v>9041851</v>
      </c>
      <c r="G101" s="8">
        <v>5.3309637939999996</v>
      </c>
      <c r="H101" s="8">
        <v>123.5795787</v>
      </c>
      <c r="I101" s="8">
        <v>45068.92</v>
      </c>
      <c r="J101" s="8">
        <v>52312.3</v>
      </c>
      <c r="K101" s="8">
        <v>86.15</v>
      </c>
      <c r="L101" s="8">
        <v>28</v>
      </c>
      <c r="M101" s="8">
        <v>389406491898.9176</v>
      </c>
      <c r="N101" s="8">
        <v>4.6500000000000004</v>
      </c>
      <c r="O101" s="8" t="str">
        <f>vw_scenario_analysis_dataset[[#This Row],[reporter_name]] &amp; "-" &amp; vw_scenario_analysis_dataset[[#This Row],[reference_year]]</f>
        <v>Austria-2022</v>
      </c>
    </row>
    <row r="102" spans="1:15" x14ac:dyDescent="0.3">
      <c r="A102" s="8" t="s">
        <v>34</v>
      </c>
      <c r="B102" s="8" t="s">
        <v>35</v>
      </c>
      <c r="C102" s="8">
        <v>2023</v>
      </c>
      <c r="D102" s="8">
        <v>432353178940.35016</v>
      </c>
      <c r="E102" s="8">
        <v>517000000000</v>
      </c>
      <c r="F102" s="8">
        <v>9131761</v>
      </c>
      <c r="G102" s="8">
        <v>-0.78624428899999999</v>
      </c>
      <c r="H102" s="8">
        <v>115.1529148</v>
      </c>
      <c r="I102" s="8">
        <v>47346.09</v>
      </c>
      <c r="J102" s="8">
        <v>56615.59</v>
      </c>
      <c r="K102" s="8">
        <v>83.63</v>
      </c>
      <c r="L102" s="8">
        <v>27</v>
      </c>
      <c r="M102" s="8">
        <v>407506494692.28363</v>
      </c>
      <c r="N102" s="8">
        <v>6.1</v>
      </c>
      <c r="O102" s="8" t="str">
        <f>vw_scenario_analysis_dataset[[#This Row],[reporter_name]] &amp; "-" &amp; vw_scenario_analysis_dataset[[#This Row],[reference_year]]</f>
        <v>Austria-2023</v>
      </c>
    </row>
    <row r="103" spans="1:15" x14ac:dyDescent="0.3">
      <c r="A103" s="8" t="s">
        <v>34</v>
      </c>
      <c r="B103" s="8" t="s">
        <v>35</v>
      </c>
      <c r="C103" s="8">
        <v>2024</v>
      </c>
      <c r="D103" s="8">
        <v>412845541096.75604</v>
      </c>
      <c r="E103" s="8">
        <v>535000000000</v>
      </c>
      <c r="F103" s="8">
        <v>9177982</v>
      </c>
      <c r="G103" s="8">
        <v>-0.65908957300000004</v>
      </c>
      <c r="H103" s="8">
        <v>108.8257778</v>
      </c>
      <c r="I103" s="8">
        <v>44982.17</v>
      </c>
      <c r="J103" s="8">
        <v>58291.68</v>
      </c>
      <c r="K103" s="8">
        <v>77.17</v>
      </c>
      <c r="L103" s="8">
        <v>26</v>
      </c>
      <c r="M103" s="8">
        <v>432353178940.35016</v>
      </c>
      <c r="N103" s="8">
        <v>-4.51</v>
      </c>
      <c r="O103" s="8" t="str">
        <f>vw_scenario_analysis_dataset[[#This Row],[reporter_name]] &amp; "-" &amp; vw_scenario_analysis_dataset[[#This Row],[reference_year]]</f>
        <v>Austria-2024</v>
      </c>
    </row>
    <row r="104" spans="1:15" x14ac:dyDescent="0.3">
      <c r="A104" s="8" t="s">
        <v>36</v>
      </c>
      <c r="B104" s="8" t="s">
        <v>37</v>
      </c>
      <c r="C104" s="8">
        <v>2015</v>
      </c>
      <c r="D104" s="8">
        <v>25292587353.580006</v>
      </c>
      <c r="E104" s="8">
        <v>53076235355</v>
      </c>
      <c r="F104" s="8">
        <v>9649341</v>
      </c>
      <c r="G104" s="8">
        <v>1.049546412</v>
      </c>
      <c r="H104" s="8">
        <v>72.601507909999995</v>
      </c>
      <c r="I104" s="8">
        <v>2621.17</v>
      </c>
      <c r="J104" s="8">
        <v>5500.5</v>
      </c>
      <c r="K104" s="8">
        <v>47.65</v>
      </c>
      <c r="L104" s="8">
        <v>71</v>
      </c>
      <c r="M104" s="8"/>
      <c r="N104" s="8"/>
      <c r="O104" s="8" t="str">
        <f>vw_scenario_analysis_dataset[[#This Row],[reporter_name]] &amp; "-" &amp; vw_scenario_analysis_dataset[[#This Row],[reference_year]]</f>
        <v>Azerbaijan-2015</v>
      </c>
    </row>
    <row r="105" spans="1:15" x14ac:dyDescent="0.3">
      <c r="A105" s="8" t="s">
        <v>36</v>
      </c>
      <c r="B105" s="8" t="s">
        <v>37</v>
      </c>
      <c r="C105" s="8">
        <v>2016</v>
      </c>
      <c r="D105" s="8">
        <v>26761637133.420002</v>
      </c>
      <c r="E105" s="8">
        <v>37866996883</v>
      </c>
      <c r="F105" s="8">
        <v>9757812</v>
      </c>
      <c r="G105" s="8">
        <v>-3.0635984230000002</v>
      </c>
      <c r="H105" s="8">
        <v>90.077318730000002</v>
      </c>
      <c r="I105" s="8">
        <v>2742.59</v>
      </c>
      <c r="J105" s="8">
        <v>3880.69</v>
      </c>
      <c r="K105" s="8">
        <v>70.67</v>
      </c>
      <c r="L105" s="8">
        <v>70</v>
      </c>
      <c r="M105" s="8">
        <v>25292587353.580006</v>
      </c>
      <c r="N105" s="8">
        <v>5.81</v>
      </c>
      <c r="O105" s="8" t="str">
        <f>vw_scenario_analysis_dataset[[#This Row],[reporter_name]] &amp; "-" &amp; vw_scenario_analysis_dataset[[#This Row],[reference_year]]</f>
        <v>Azerbaijan-2016</v>
      </c>
    </row>
    <row r="106" spans="1:15" x14ac:dyDescent="0.3">
      <c r="A106" s="8" t="s">
        <v>36</v>
      </c>
      <c r="B106" s="8" t="s">
        <v>37</v>
      </c>
      <c r="C106" s="8">
        <v>2017</v>
      </c>
      <c r="D106" s="8">
        <v>30612036608.880001</v>
      </c>
      <c r="E106" s="8">
        <v>40866627352</v>
      </c>
      <c r="F106" s="8">
        <v>9854033</v>
      </c>
      <c r="G106" s="8">
        <v>0.15361466200000001</v>
      </c>
      <c r="H106" s="8">
        <v>90.402315680000001</v>
      </c>
      <c r="I106" s="8">
        <v>3106.55</v>
      </c>
      <c r="J106" s="8">
        <v>4147.2</v>
      </c>
      <c r="K106" s="8">
        <v>74.91</v>
      </c>
      <c r="L106" s="8">
        <v>68</v>
      </c>
      <c r="M106" s="8">
        <v>26761637133.420002</v>
      </c>
      <c r="N106" s="8">
        <v>14.39</v>
      </c>
      <c r="O106" s="8" t="str">
        <f>vw_scenario_analysis_dataset[[#This Row],[reporter_name]] &amp; "-" &amp; vw_scenario_analysis_dataset[[#This Row],[reference_year]]</f>
        <v>Azerbaijan-2017</v>
      </c>
    </row>
    <row r="107" spans="1:15" x14ac:dyDescent="0.3">
      <c r="A107" s="8" t="s">
        <v>36</v>
      </c>
      <c r="B107" s="8" t="s">
        <v>37</v>
      </c>
      <c r="C107" s="8">
        <v>2018</v>
      </c>
      <c r="D107" s="8">
        <v>38978136407.639984</v>
      </c>
      <c r="E107" s="8">
        <v>47112470052</v>
      </c>
      <c r="F107" s="8">
        <v>9939771</v>
      </c>
      <c r="G107" s="8">
        <v>1.500401672</v>
      </c>
      <c r="H107" s="8">
        <v>91.672576539999994</v>
      </c>
      <c r="I107" s="8">
        <v>3921.43</v>
      </c>
      <c r="J107" s="8">
        <v>4739.79</v>
      </c>
      <c r="K107" s="8">
        <v>82.73</v>
      </c>
      <c r="L107" s="8">
        <v>65</v>
      </c>
      <c r="M107" s="8">
        <v>30612036608.880001</v>
      </c>
      <c r="N107" s="8">
        <v>27.33</v>
      </c>
      <c r="O107" s="8" t="str">
        <f>vw_scenario_analysis_dataset[[#This Row],[reporter_name]] &amp; "-" &amp; vw_scenario_analysis_dataset[[#This Row],[reference_year]]</f>
        <v>Azerbaijan-2018</v>
      </c>
    </row>
    <row r="108" spans="1:15" x14ac:dyDescent="0.3">
      <c r="A108" s="8" t="s">
        <v>36</v>
      </c>
      <c r="B108" s="8" t="s">
        <v>37</v>
      </c>
      <c r="C108" s="8">
        <v>2019</v>
      </c>
      <c r="D108" s="8">
        <v>39270405201.459976</v>
      </c>
      <c r="E108" s="8">
        <v>48174235294</v>
      </c>
      <c r="F108" s="8">
        <v>10024283</v>
      </c>
      <c r="G108" s="8">
        <v>2.479808792</v>
      </c>
      <c r="H108" s="8">
        <v>85.81814541</v>
      </c>
      <c r="I108" s="8">
        <v>3917.53</v>
      </c>
      <c r="J108" s="8">
        <v>4805.75</v>
      </c>
      <c r="K108" s="8">
        <v>81.52</v>
      </c>
      <c r="L108" s="8">
        <v>63</v>
      </c>
      <c r="M108" s="8">
        <v>38978136407.639984</v>
      </c>
      <c r="N108" s="8">
        <v>0.75</v>
      </c>
      <c r="O108" s="8" t="str">
        <f>vw_scenario_analysis_dataset[[#This Row],[reporter_name]] &amp; "-" &amp; vw_scenario_analysis_dataset[[#This Row],[reference_year]]</f>
        <v>Azerbaijan-2019</v>
      </c>
    </row>
    <row r="109" spans="1:15" x14ac:dyDescent="0.3">
      <c r="A109" s="8" t="s">
        <v>36</v>
      </c>
      <c r="B109" s="8" t="s">
        <v>37</v>
      </c>
      <c r="C109" s="8">
        <v>2020</v>
      </c>
      <c r="D109" s="8">
        <v>27465274526.460007</v>
      </c>
      <c r="E109" s="8">
        <v>42693000000</v>
      </c>
      <c r="F109" s="8">
        <v>10093121</v>
      </c>
      <c r="G109" s="8">
        <v>-4.1989606530000003</v>
      </c>
      <c r="H109" s="8">
        <v>72.017867649999999</v>
      </c>
      <c r="I109" s="8">
        <v>2721.19</v>
      </c>
      <c r="J109" s="8">
        <v>4229.91</v>
      </c>
      <c r="K109" s="8">
        <v>64.33</v>
      </c>
      <c r="L109" s="8">
        <v>70</v>
      </c>
      <c r="M109" s="8">
        <v>39270405201.459976</v>
      </c>
      <c r="N109" s="8">
        <v>-30.06</v>
      </c>
      <c r="O109" s="8" t="str">
        <f>vw_scenario_analysis_dataset[[#This Row],[reporter_name]] &amp; "-" &amp; vw_scenario_analysis_dataset[[#This Row],[reference_year]]</f>
        <v>Azerbaijan-2020</v>
      </c>
    </row>
    <row r="110" spans="1:15" x14ac:dyDescent="0.3">
      <c r="A110" s="8" t="s">
        <v>36</v>
      </c>
      <c r="B110" s="8" t="s">
        <v>37</v>
      </c>
      <c r="C110" s="8">
        <v>2021</v>
      </c>
      <c r="D110" s="8">
        <v>44415949569.88002</v>
      </c>
      <c r="E110" s="8">
        <v>54825411765</v>
      </c>
      <c r="F110" s="8">
        <v>10137750</v>
      </c>
      <c r="G110" s="8">
        <v>5.6164402720000002</v>
      </c>
      <c r="H110" s="8">
        <v>76.286865689999999</v>
      </c>
      <c r="I110" s="8">
        <v>4381.24</v>
      </c>
      <c r="J110" s="8">
        <v>5408.05</v>
      </c>
      <c r="K110" s="8">
        <v>81.010000000000005</v>
      </c>
      <c r="L110" s="8">
        <v>64</v>
      </c>
      <c r="M110" s="8">
        <v>27465274526.460007</v>
      </c>
      <c r="N110" s="8">
        <v>61.72</v>
      </c>
      <c r="O110" s="8" t="str">
        <f>vw_scenario_analysis_dataset[[#This Row],[reporter_name]] &amp; "-" &amp; vw_scenario_analysis_dataset[[#This Row],[reference_year]]</f>
        <v>Azerbaijan-2021</v>
      </c>
    </row>
    <row r="111" spans="1:15" x14ac:dyDescent="0.3">
      <c r="A111" s="8" t="s">
        <v>36</v>
      </c>
      <c r="B111" s="8" t="s">
        <v>37</v>
      </c>
      <c r="C111" s="8">
        <v>2022</v>
      </c>
      <c r="D111" s="8">
        <v>76292861462.160019</v>
      </c>
      <c r="E111" s="8">
        <v>78807470588</v>
      </c>
      <c r="F111" s="8">
        <v>10141756</v>
      </c>
      <c r="G111" s="8">
        <v>4.7146803320000004</v>
      </c>
      <c r="H111" s="8">
        <v>86.982273250000006</v>
      </c>
      <c r="I111" s="8">
        <v>7522.65</v>
      </c>
      <c r="J111" s="8">
        <v>7770.59</v>
      </c>
      <c r="K111" s="8">
        <v>96.81</v>
      </c>
      <c r="L111" s="8">
        <v>58</v>
      </c>
      <c r="M111" s="8">
        <v>44415949569.88002</v>
      </c>
      <c r="N111" s="8">
        <v>71.77</v>
      </c>
      <c r="O111" s="8" t="str">
        <f>vw_scenario_analysis_dataset[[#This Row],[reporter_name]] &amp; "-" &amp; vw_scenario_analysis_dataset[[#This Row],[reference_year]]</f>
        <v>Azerbaijan-2022</v>
      </c>
    </row>
    <row r="112" spans="1:15" x14ac:dyDescent="0.3">
      <c r="A112" s="8" t="s">
        <v>36</v>
      </c>
      <c r="B112" s="8" t="s">
        <v>37</v>
      </c>
      <c r="C112" s="8">
        <v>2023</v>
      </c>
      <c r="D112" s="8">
        <v>67797109710.560036</v>
      </c>
      <c r="E112" s="8">
        <v>72428470588</v>
      </c>
      <c r="F112" s="8">
        <v>10153958</v>
      </c>
      <c r="G112" s="8">
        <v>1.3544774909999999</v>
      </c>
      <c r="H112" s="8">
        <v>83.535886120000001</v>
      </c>
      <c r="I112" s="8">
        <v>6676.91</v>
      </c>
      <c r="J112" s="8">
        <v>7133.03</v>
      </c>
      <c r="K112" s="8">
        <v>93.61</v>
      </c>
      <c r="L112" s="8">
        <v>57</v>
      </c>
      <c r="M112" s="8">
        <v>76292861462.160019</v>
      </c>
      <c r="N112" s="8">
        <v>-11.14</v>
      </c>
      <c r="O112" s="8" t="str">
        <f>vw_scenario_analysis_dataset[[#This Row],[reporter_name]] &amp; "-" &amp; vw_scenario_analysis_dataset[[#This Row],[reference_year]]</f>
        <v>Azerbaijan-2023</v>
      </c>
    </row>
    <row r="113" spans="1:15" x14ac:dyDescent="0.3">
      <c r="A113" s="8" t="s">
        <v>36</v>
      </c>
      <c r="B113" s="8" t="s">
        <v>37</v>
      </c>
      <c r="C113" s="8">
        <v>2024</v>
      </c>
      <c r="D113" s="8">
        <v>53108113529.560036</v>
      </c>
      <c r="E113" s="8">
        <v>74426000000</v>
      </c>
      <c r="F113" s="8">
        <v>10202830</v>
      </c>
      <c r="G113" s="8">
        <v>4.1580680040000004</v>
      </c>
      <c r="H113" s="8">
        <v>82.567524629999994</v>
      </c>
      <c r="I113" s="8">
        <v>5205.2299999999996</v>
      </c>
      <c r="J113" s="8">
        <v>7294.64</v>
      </c>
      <c r="K113" s="8">
        <v>71.36</v>
      </c>
      <c r="L113" s="8">
        <v>60</v>
      </c>
      <c r="M113" s="8">
        <v>67797109710.560036</v>
      </c>
      <c r="N113" s="8">
        <v>-21.67</v>
      </c>
      <c r="O113" s="8" t="str">
        <f>vw_scenario_analysis_dataset[[#This Row],[reporter_name]] &amp; "-" &amp; vw_scenario_analysis_dataset[[#This Row],[reference_year]]</f>
        <v>Azerbaijan-2024</v>
      </c>
    </row>
    <row r="114" spans="1:15" x14ac:dyDescent="0.3">
      <c r="A114" s="8" t="s">
        <v>38</v>
      </c>
      <c r="B114" s="8" t="s">
        <v>39</v>
      </c>
      <c r="C114" s="8">
        <v>2015</v>
      </c>
      <c r="D114" s="8">
        <v>227581406</v>
      </c>
      <c r="E114" s="8">
        <v>2810532912</v>
      </c>
      <c r="F114" s="8">
        <v>11047580</v>
      </c>
      <c r="G114" s="8">
        <v>-0.40452559500000002</v>
      </c>
      <c r="H114" s="8"/>
      <c r="I114" s="8">
        <v>20.6</v>
      </c>
      <c r="J114" s="8">
        <v>254.4</v>
      </c>
      <c r="K114" s="8">
        <v>8.1</v>
      </c>
      <c r="L114" s="8">
        <v>152</v>
      </c>
      <c r="M114" s="8"/>
      <c r="N114" s="8"/>
      <c r="O114" s="8" t="str">
        <f>vw_scenario_analysis_dataset[[#This Row],[reporter_name]] &amp; "-" &amp; vw_scenario_analysis_dataset[[#This Row],[reference_year]]</f>
        <v>Burundi-2015</v>
      </c>
    </row>
    <row r="115" spans="1:15" x14ac:dyDescent="0.3">
      <c r="A115" s="8" t="s">
        <v>38</v>
      </c>
      <c r="B115" s="8" t="s">
        <v>39</v>
      </c>
      <c r="C115" s="8">
        <v>2016</v>
      </c>
      <c r="D115" s="8">
        <v>246111639</v>
      </c>
      <c r="E115" s="8">
        <v>2618093125</v>
      </c>
      <c r="F115" s="8">
        <v>11239451</v>
      </c>
      <c r="G115" s="8">
        <v>3.2001747040000001</v>
      </c>
      <c r="H115" s="8"/>
      <c r="I115" s="8">
        <v>21.9</v>
      </c>
      <c r="J115" s="8">
        <v>232.94</v>
      </c>
      <c r="K115" s="8">
        <v>9.4</v>
      </c>
      <c r="L115" s="8">
        <v>154</v>
      </c>
      <c r="M115" s="8">
        <v>227581406</v>
      </c>
      <c r="N115" s="8">
        <v>8.14</v>
      </c>
      <c r="O115" s="8" t="str">
        <f>vw_scenario_analysis_dataset[[#This Row],[reporter_name]] &amp; "-" &amp; vw_scenario_analysis_dataset[[#This Row],[reference_year]]</f>
        <v>Burundi-2016</v>
      </c>
    </row>
    <row r="116" spans="1:15" x14ac:dyDescent="0.3">
      <c r="A116" s="8" t="s">
        <v>38</v>
      </c>
      <c r="B116" s="8" t="s">
        <v>39</v>
      </c>
      <c r="C116" s="8">
        <v>2017</v>
      </c>
      <c r="D116" s="8">
        <v>298812875.00199997</v>
      </c>
      <c r="E116" s="8">
        <v>2831362208</v>
      </c>
      <c r="F116" s="8">
        <v>11506762</v>
      </c>
      <c r="G116" s="8">
        <v>3.831857571</v>
      </c>
      <c r="H116" s="8"/>
      <c r="I116" s="8">
        <v>25.97</v>
      </c>
      <c r="J116" s="8">
        <v>246.06</v>
      </c>
      <c r="K116" s="8">
        <v>10.55</v>
      </c>
      <c r="L116" s="8">
        <v>154</v>
      </c>
      <c r="M116" s="8">
        <v>246111639</v>
      </c>
      <c r="N116" s="8">
        <v>21.41</v>
      </c>
      <c r="O116" s="8" t="str">
        <f>vw_scenario_analysis_dataset[[#This Row],[reporter_name]] &amp; "-" &amp; vw_scenario_analysis_dataset[[#This Row],[reference_year]]</f>
        <v>Burundi-2017</v>
      </c>
    </row>
    <row r="117" spans="1:15" x14ac:dyDescent="0.3">
      <c r="A117" s="8" t="s">
        <v>38</v>
      </c>
      <c r="B117" s="8" t="s">
        <v>39</v>
      </c>
      <c r="C117" s="8">
        <v>2018</v>
      </c>
      <c r="D117" s="8">
        <v>360408746.60600001</v>
      </c>
      <c r="E117" s="8">
        <v>2913411408</v>
      </c>
      <c r="F117" s="8">
        <v>11859446</v>
      </c>
      <c r="G117" s="8">
        <v>5.3422447320000002</v>
      </c>
      <c r="H117" s="8"/>
      <c r="I117" s="8">
        <v>30.39</v>
      </c>
      <c r="J117" s="8">
        <v>245.66</v>
      </c>
      <c r="K117" s="8">
        <v>12.37</v>
      </c>
      <c r="L117" s="8">
        <v>150</v>
      </c>
      <c r="M117" s="8">
        <v>298812875.00199997</v>
      </c>
      <c r="N117" s="8">
        <v>20.61</v>
      </c>
      <c r="O117" s="8" t="str">
        <f>vw_scenario_analysis_dataset[[#This Row],[reporter_name]] &amp; "-" &amp; vw_scenario_analysis_dataset[[#This Row],[reference_year]]</f>
        <v>Burundi-2018</v>
      </c>
    </row>
    <row r="118" spans="1:15" x14ac:dyDescent="0.3">
      <c r="A118" s="8" t="s">
        <v>38</v>
      </c>
      <c r="B118" s="8" t="s">
        <v>39</v>
      </c>
      <c r="C118" s="8">
        <v>2019</v>
      </c>
      <c r="D118" s="8">
        <v>361701387.80500001</v>
      </c>
      <c r="E118" s="8">
        <v>2871555326</v>
      </c>
      <c r="F118" s="8">
        <v>12255336</v>
      </c>
      <c r="G118" s="8">
        <v>4.4593420239999997</v>
      </c>
      <c r="H118" s="8"/>
      <c r="I118" s="8">
        <v>29.51</v>
      </c>
      <c r="J118" s="8">
        <v>234.31</v>
      </c>
      <c r="K118" s="8">
        <v>12.6</v>
      </c>
      <c r="L118" s="8">
        <v>147</v>
      </c>
      <c r="M118" s="8">
        <v>360408746.60600001</v>
      </c>
      <c r="N118" s="8">
        <v>0.36</v>
      </c>
      <c r="O118" s="8" t="str">
        <f>vw_scenario_analysis_dataset[[#This Row],[reporter_name]] &amp; "-" &amp; vw_scenario_analysis_dataset[[#This Row],[reference_year]]</f>
        <v>Burundi-2019</v>
      </c>
    </row>
    <row r="119" spans="1:15" x14ac:dyDescent="0.3">
      <c r="A119" s="8" t="s">
        <v>38</v>
      </c>
      <c r="B119" s="8" t="s">
        <v>39</v>
      </c>
      <c r="C119" s="8">
        <v>2020</v>
      </c>
      <c r="D119" s="8">
        <v>322871655.66999996</v>
      </c>
      <c r="E119" s="8">
        <v>3188355944</v>
      </c>
      <c r="F119" s="8">
        <v>12617036</v>
      </c>
      <c r="G119" s="8">
        <v>0.30644381199999998</v>
      </c>
      <c r="H119" s="8"/>
      <c r="I119" s="8">
        <v>25.59</v>
      </c>
      <c r="J119" s="8">
        <v>252.7</v>
      </c>
      <c r="K119" s="8">
        <v>10.130000000000001</v>
      </c>
      <c r="L119" s="8">
        <v>146</v>
      </c>
      <c r="M119" s="8">
        <v>361701387.80500001</v>
      </c>
      <c r="N119" s="8">
        <v>-10.74</v>
      </c>
      <c r="O119" s="8" t="str">
        <f>vw_scenario_analysis_dataset[[#This Row],[reporter_name]] &amp; "-" &amp; vw_scenario_analysis_dataset[[#This Row],[reference_year]]</f>
        <v>Burundi-2020</v>
      </c>
    </row>
    <row r="120" spans="1:15" x14ac:dyDescent="0.3">
      <c r="A120" s="8" t="s">
        <v>38</v>
      </c>
      <c r="B120" s="8" t="s">
        <v>39</v>
      </c>
      <c r="C120" s="8">
        <v>2021</v>
      </c>
      <c r="D120" s="8">
        <v>327312953.35099989</v>
      </c>
      <c r="E120" s="8">
        <v>3425127991</v>
      </c>
      <c r="F120" s="8">
        <v>12965481</v>
      </c>
      <c r="G120" s="8">
        <v>3.2370747940000002</v>
      </c>
      <c r="H120" s="8"/>
      <c r="I120" s="8">
        <v>25.24</v>
      </c>
      <c r="J120" s="8">
        <v>264.17</v>
      </c>
      <c r="K120" s="8">
        <v>9.56</v>
      </c>
      <c r="L120" s="8">
        <v>147</v>
      </c>
      <c r="M120" s="8">
        <v>322871655.66999996</v>
      </c>
      <c r="N120" s="8">
        <v>1.38</v>
      </c>
      <c r="O120" s="8" t="str">
        <f>vw_scenario_analysis_dataset[[#This Row],[reporter_name]] &amp; "-" &amp; vw_scenario_analysis_dataset[[#This Row],[reference_year]]</f>
        <v>Burundi-2021</v>
      </c>
    </row>
    <row r="121" spans="1:15" x14ac:dyDescent="0.3">
      <c r="A121" s="8" t="s">
        <v>38</v>
      </c>
      <c r="B121" s="8" t="s">
        <v>39</v>
      </c>
      <c r="C121" s="8">
        <v>2022</v>
      </c>
      <c r="D121" s="8">
        <v>415737337.06999987</v>
      </c>
      <c r="E121" s="8">
        <v>4020736757</v>
      </c>
      <c r="F121" s="8">
        <v>13321097</v>
      </c>
      <c r="G121" s="8">
        <v>2.3177012239999999</v>
      </c>
      <c r="H121" s="8"/>
      <c r="I121" s="8">
        <v>31.21</v>
      </c>
      <c r="J121" s="8">
        <v>301.83</v>
      </c>
      <c r="K121" s="8">
        <v>10.34</v>
      </c>
      <c r="L121" s="8">
        <v>144</v>
      </c>
      <c r="M121" s="8">
        <v>327312953.35099989</v>
      </c>
      <c r="N121" s="8">
        <v>27.02</v>
      </c>
      <c r="O121" s="8" t="str">
        <f>vw_scenario_analysis_dataset[[#This Row],[reporter_name]] &amp; "-" &amp; vw_scenario_analysis_dataset[[#This Row],[reference_year]]</f>
        <v>Burundi-2022</v>
      </c>
    </row>
    <row r="122" spans="1:15" x14ac:dyDescent="0.3">
      <c r="A122" s="8" t="s">
        <v>38</v>
      </c>
      <c r="B122" s="8" t="s">
        <v>39</v>
      </c>
      <c r="C122" s="8">
        <v>2023</v>
      </c>
      <c r="D122" s="8">
        <v>434948522.32000011</v>
      </c>
      <c r="E122" s="8">
        <v>3419558408</v>
      </c>
      <c r="F122" s="8">
        <v>13689450</v>
      </c>
      <c r="G122" s="8">
        <v>3.254768973</v>
      </c>
      <c r="H122" s="8"/>
      <c r="I122" s="8">
        <v>31.77</v>
      </c>
      <c r="J122" s="8">
        <v>249.8</v>
      </c>
      <c r="K122" s="8">
        <v>12.72</v>
      </c>
      <c r="L122" s="8">
        <v>141</v>
      </c>
      <c r="M122" s="8">
        <v>415737337.06999987</v>
      </c>
      <c r="N122" s="8">
        <v>4.62</v>
      </c>
      <c r="O122" s="8" t="str">
        <f>vw_scenario_analysis_dataset[[#This Row],[reporter_name]] &amp; "-" &amp; vw_scenario_analysis_dataset[[#This Row],[reference_year]]</f>
        <v>Burundi-2023</v>
      </c>
    </row>
    <row r="123" spans="1:15" x14ac:dyDescent="0.3">
      <c r="A123" s="8" t="s">
        <v>40</v>
      </c>
      <c r="B123" s="8" t="s">
        <v>41</v>
      </c>
      <c r="C123" s="8">
        <v>2015</v>
      </c>
      <c r="D123" s="8">
        <v>506821411985.3111</v>
      </c>
      <c r="E123" s="8">
        <v>461000000000</v>
      </c>
      <c r="F123" s="8">
        <v>11274196</v>
      </c>
      <c r="G123" s="8">
        <v>1.4741643369999999</v>
      </c>
      <c r="H123" s="8">
        <v>155.068682</v>
      </c>
      <c r="I123" s="8">
        <v>44954.11</v>
      </c>
      <c r="J123" s="8">
        <v>40889.83</v>
      </c>
      <c r="K123" s="8">
        <v>109.94</v>
      </c>
      <c r="L123" s="8">
        <v>17</v>
      </c>
      <c r="M123" s="8"/>
      <c r="N123" s="8"/>
      <c r="O123" s="8" t="str">
        <f>vw_scenario_analysis_dataset[[#This Row],[reporter_name]] &amp; "-" &amp; vw_scenario_analysis_dataset[[#This Row],[reference_year]]</f>
        <v>Belgium-2015</v>
      </c>
    </row>
    <row r="124" spans="1:15" x14ac:dyDescent="0.3">
      <c r="A124" s="8" t="s">
        <v>40</v>
      </c>
      <c r="B124" s="8" t="s">
        <v>41</v>
      </c>
      <c r="C124" s="8">
        <v>2016</v>
      </c>
      <c r="D124" s="8">
        <v>542463833143.37567</v>
      </c>
      <c r="E124" s="8">
        <v>474000000000</v>
      </c>
      <c r="F124" s="8">
        <v>11331422</v>
      </c>
      <c r="G124" s="8">
        <v>1.1935027300000001</v>
      </c>
      <c r="H124" s="8">
        <v>159.05769660000001</v>
      </c>
      <c r="I124" s="8">
        <v>47872.53</v>
      </c>
      <c r="J124" s="8">
        <v>41830.58</v>
      </c>
      <c r="K124" s="8">
        <v>114.44</v>
      </c>
      <c r="L124" s="8">
        <v>16</v>
      </c>
      <c r="M124" s="8">
        <v>506821411985.3111</v>
      </c>
      <c r="N124" s="8">
        <v>7.03</v>
      </c>
      <c r="O124" s="8" t="str">
        <f>vw_scenario_analysis_dataset[[#This Row],[reporter_name]] &amp; "-" &amp; vw_scenario_analysis_dataset[[#This Row],[reference_year]]</f>
        <v>Belgium-2016</v>
      </c>
    </row>
    <row r="125" spans="1:15" x14ac:dyDescent="0.3">
      <c r="A125" s="8" t="s">
        <v>40</v>
      </c>
      <c r="B125" s="8" t="s">
        <v>41</v>
      </c>
      <c r="C125" s="8">
        <v>2017</v>
      </c>
      <c r="D125" s="8">
        <v>593113044060.73792</v>
      </c>
      <c r="E125" s="8">
        <v>501000000000</v>
      </c>
      <c r="F125" s="8">
        <v>11375158</v>
      </c>
      <c r="G125" s="8">
        <v>1.4744676160000001</v>
      </c>
      <c r="H125" s="8">
        <v>166.90407819999999</v>
      </c>
      <c r="I125" s="8">
        <v>52141.08</v>
      </c>
      <c r="J125" s="8">
        <v>44043.34</v>
      </c>
      <c r="K125" s="8">
        <v>118.39</v>
      </c>
      <c r="L125" s="8">
        <v>16</v>
      </c>
      <c r="M125" s="8">
        <v>542463833143.37567</v>
      </c>
      <c r="N125" s="8">
        <v>9.34</v>
      </c>
      <c r="O125" s="8" t="str">
        <f>vw_scenario_analysis_dataset[[#This Row],[reporter_name]] &amp; "-" &amp; vw_scenario_analysis_dataset[[#This Row],[reference_year]]</f>
        <v>Belgium-2017</v>
      </c>
    </row>
    <row r="126" spans="1:15" x14ac:dyDescent="0.3">
      <c r="A126" s="8" t="s">
        <v>40</v>
      </c>
      <c r="B126" s="8" t="s">
        <v>41</v>
      </c>
      <c r="C126" s="8">
        <v>2018</v>
      </c>
      <c r="D126" s="8">
        <v>646756877520.07776</v>
      </c>
      <c r="E126" s="8">
        <v>543000000000</v>
      </c>
      <c r="F126" s="8">
        <v>11427054</v>
      </c>
      <c r="G126" s="8">
        <v>1.877968474</v>
      </c>
      <c r="H126" s="8">
        <v>168.27769290000001</v>
      </c>
      <c r="I126" s="8">
        <v>56598.74</v>
      </c>
      <c r="J126" s="8">
        <v>47518.81</v>
      </c>
      <c r="K126" s="8">
        <v>119.11</v>
      </c>
      <c r="L126" s="8">
        <v>16</v>
      </c>
      <c r="M126" s="8">
        <v>593113044060.73792</v>
      </c>
      <c r="N126" s="8">
        <v>9.0399999999999991</v>
      </c>
      <c r="O126" s="8" t="str">
        <f>vw_scenario_analysis_dataset[[#This Row],[reporter_name]] &amp; "-" &amp; vw_scenario_analysis_dataset[[#This Row],[reference_year]]</f>
        <v>Belgium-2018</v>
      </c>
    </row>
    <row r="127" spans="1:15" x14ac:dyDescent="0.3">
      <c r="A127" s="8" t="s">
        <v>40</v>
      </c>
      <c r="B127" s="8" t="s">
        <v>41</v>
      </c>
      <c r="C127" s="8">
        <v>2019</v>
      </c>
      <c r="D127" s="8">
        <v>623593623895.896</v>
      </c>
      <c r="E127" s="8">
        <v>537000000000</v>
      </c>
      <c r="F127" s="8">
        <v>11488980</v>
      </c>
      <c r="G127" s="8">
        <v>2.442890045</v>
      </c>
      <c r="H127" s="8">
        <v>165.46547889999999</v>
      </c>
      <c r="I127" s="8">
        <v>54277.54</v>
      </c>
      <c r="J127" s="8">
        <v>46740.44</v>
      </c>
      <c r="K127" s="8">
        <v>116.13</v>
      </c>
      <c r="L127" s="8">
        <v>17</v>
      </c>
      <c r="M127" s="8">
        <v>646756877520.07776</v>
      </c>
      <c r="N127" s="8">
        <v>-3.58</v>
      </c>
      <c r="O127" s="8" t="str">
        <f>vw_scenario_analysis_dataset[[#This Row],[reporter_name]] &amp; "-" &amp; vw_scenario_analysis_dataset[[#This Row],[reference_year]]</f>
        <v>Belgium-2019</v>
      </c>
    </row>
    <row r="128" spans="1:15" x14ac:dyDescent="0.3">
      <c r="A128" s="8" t="s">
        <v>40</v>
      </c>
      <c r="B128" s="8" t="s">
        <v>41</v>
      </c>
      <c r="C128" s="8">
        <v>2020</v>
      </c>
      <c r="D128" s="8">
        <v>590287523687.02795</v>
      </c>
      <c r="E128" s="8">
        <v>530000000000</v>
      </c>
      <c r="F128" s="8">
        <v>11538604</v>
      </c>
      <c r="G128" s="8">
        <v>-4.7929839080000001</v>
      </c>
      <c r="H128" s="8">
        <v>156.95012130000001</v>
      </c>
      <c r="I128" s="8">
        <v>51157.62</v>
      </c>
      <c r="J128" s="8">
        <v>45932.77</v>
      </c>
      <c r="K128" s="8">
        <v>111.38</v>
      </c>
      <c r="L128" s="8">
        <v>16</v>
      </c>
      <c r="M128" s="8">
        <v>623593623895.896</v>
      </c>
      <c r="N128" s="8">
        <v>-5.34</v>
      </c>
      <c r="O128" s="8" t="str">
        <f>vw_scenario_analysis_dataset[[#This Row],[reporter_name]] &amp; "-" &amp; vw_scenario_analysis_dataset[[#This Row],[reference_year]]</f>
        <v>Belgium-2020</v>
      </c>
    </row>
    <row r="129" spans="1:15" x14ac:dyDescent="0.3">
      <c r="A129" s="8" t="s">
        <v>40</v>
      </c>
      <c r="B129" s="8" t="s">
        <v>41</v>
      </c>
      <c r="C129" s="8">
        <v>2021</v>
      </c>
      <c r="D129" s="8">
        <v>771960809334.0603</v>
      </c>
      <c r="E129" s="8">
        <v>599000000000</v>
      </c>
      <c r="F129" s="8">
        <v>11586195</v>
      </c>
      <c r="G129" s="8">
        <v>6.2544568649999999</v>
      </c>
      <c r="H129" s="8">
        <v>177.38191219999999</v>
      </c>
      <c r="I129" s="8">
        <v>66627.64</v>
      </c>
      <c r="J129" s="8">
        <v>51699.46</v>
      </c>
      <c r="K129" s="8">
        <v>128.87</v>
      </c>
      <c r="L129" s="8">
        <v>17</v>
      </c>
      <c r="M129" s="8">
        <v>590287523687.02795</v>
      </c>
      <c r="N129" s="8">
        <v>30.78</v>
      </c>
      <c r="O129" s="8" t="str">
        <f>vw_scenario_analysis_dataset[[#This Row],[reporter_name]] &amp; "-" &amp; vw_scenario_analysis_dataset[[#This Row],[reference_year]]</f>
        <v>Belgium-2021</v>
      </c>
    </row>
    <row r="130" spans="1:15" x14ac:dyDescent="0.3">
      <c r="A130" s="8" t="s">
        <v>40</v>
      </c>
      <c r="B130" s="8" t="s">
        <v>41</v>
      </c>
      <c r="C130" s="8">
        <v>2022</v>
      </c>
      <c r="D130" s="8">
        <v>910805415982.07434</v>
      </c>
      <c r="E130" s="8">
        <v>591000000000</v>
      </c>
      <c r="F130" s="8">
        <v>11680210</v>
      </c>
      <c r="G130" s="8">
        <v>4.0246085279999999</v>
      </c>
      <c r="H130" s="8">
        <v>191.05341809999999</v>
      </c>
      <c r="I130" s="8">
        <v>77978.509999999995</v>
      </c>
      <c r="J130" s="8">
        <v>50598.41</v>
      </c>
      <c r="K130" s="8">
        <v>154.11000000000001</v>
      </c>
      <c r="L130" s="8">
        <v>14</v>
      </c>
      <c r="M130" s="8">
        <v>771960809334.0603</v>
      </c>
      <c r="N130" s="8">
        <v>17.989999999999998</v>
      </c>
      <c r="O130" s="8" t="str">
        <f>vw_scenario_analysis_dataset[[#This Row],[reporter_name]] &amp; "-" &amp; vw_scenario_analysis_dataset[[#This Row],[reference_year]]</f>
        <v>Belgium-2022</v>
      </c>
    </row>
    <row r="131" spans="1:15" x14ac:dyDescent="0.3">
      <c r="A131" s="8" t="s">
        <v>40</v>
      </c>
      <c r="B131" s="8" t="s">
        <v>41</v>
      </c>
      <c r="C131" s="8">
        <v>2023</v>
      </c>
      <c r="D131" s="8">
        <v>794615916124.75244</v>
      </c>
      <c r="E131" s="8">
        <v>651000000000</v>
      </c>
      <c r="F131" s="8">
        <v>11779946</v>
      </c>
      <c r="G131" s="8">
        <v>1.5612553950000001</v>
      </c>
      <c r="H131" s="8">
        <v>165.98744070000001</v>
      </c>
      <c r="I131" s="8">
        <v>67454.97</v>
      </c>
      <c r="J131" s="8">
        <v>55263.41</v>
      </c>
      <c r="K131" s="8">
        <v>122.06</v>
      </c>
      <c r="L131" s="8">
        <v>16</v>
      </c>
      <c r="M131" s="8">
        <v>910805415982.07434</v>
      </c>
      <c r="N131" s="8">
        <v>-12.76</v>
      </c>
      <c r="O131" s="8" t="str">
        <f>vw_scenario_analysis_dataset[[#This Row],[reporter_name]] &amp; "-" &amp; vw_scenario_analysis_dataset[[#This Row],[reference_year]]</f>
        <v>Belgium-2023</v>
      </c>
    </row>
    <row r="132" spans="1:15" x14ac:dyDescent="0.3">
      <c r="A132" s="8" t="s">
        <v>40</v>
      </c>
      <c r="B132" s="8" t="s">
        <v>41</v>
      </c>
      <c r="C132" s="8">
        <v>2024</v>
      </c>
      <c r="D132" s="8">
        <v>728263937691.57922</v>
      </c>
      <c r="E132" s="8">
        <v>671000000000</v>
      </c>
      <c r="F132" s="8">
        <v>11858610</v>
      </c>
      <c r="G132" s="8">
        <v>1.097753838</v>
      </c>
      <c r="H132" s="8">
        <v>159.0234811</v>
      </c>
      <c r="I132" s="8">
        <v>61412.25</v>
      </c>
      <c r="J132" s="8">
        <v>56583.360000000001</v>
      </c>
      <c r="K132" s="8">
        <v>108.53</v>
      </c>
      <c r="L132" s="8">
        <v>16</v>
      </c>
      <c r="M132" s="8">
        <v>794615916124.75244</v>
      </c>
      <c r="N132" s="8">
        <v>-8.35</v>
      </c>
      <c r="O132" s="8" t="str">
        <f>vw_scenario_analysis_dataset[[#This Row],[reporter_name]] &amp; "-" &amp; vw_scenario_analysis_dataset[[#This Row],[reference_year]]</f>
        <v>Belgium-2024</v>
      </c>
    </row>
    <row r="133" spans="1:15" x14ac:dyDescent="0.3">
      <c r="A133" s="8" t="s">
        <v>42</v>
      </c>
      <c r="B133" s="8" t="s">
        <v>43</v>
      </c>
      <c r="C133" s="8">
        <v>2015</v>
      </c>
      <c r="D133" s="8">
        <v>1250004768.9319999</v>
      </c>
      <c r="E133" s="8">
        <v>11388160997</v>
      </c>
      <c r="F133" s="8">
        <v>11360681</v>
      </c>
      <c r="G133" s="8">
        <v>1.7781510599999999</v>
      </c>
      <c r="H133" s="8">
        <v>56.756313179999999</v>
      </c>
      <c r="I133" s="8">
        <v>110.03</v>
      </c>
      <c r="J133" s="8">
        <v>1002.42</v>
      </c>
      <c r="K133" s="8">
        <v>10.98</v>
      </c>
      <c r="L133" s="8">
        <v>136</v>
      </c>
      <c r="M133" s="8"/>
      <c r="N133" s="8"/>
      <c r="O133" s="8" t="str">
        <f>vw_scenario_analysis_dataset[[#This Row],[reporter_name]] &amp; "-" &amp; vw_scenario_analysis_dataset[[#This Row],[reference_year]]</f>
        <v>Benin-2015</v>
      </c>
    </row>
    <row r="134" spans="1:15" x14ac:dyDescent="0.3">
      <c r="A134" s="8" t="s">
        <v>42</v>
      </c>
      <c r="B134" s="8" t="s">
        <v>43</v>
      </c>
      <c r="C134" s="8">
        <v>2016</v>
      </c>
      <c r="D134" s="8">
        <v>817485305.60000002</v>
      </c>
      <c r="E134" s="8">
        <v>11821065853</v>
      </c>
      <c r="F134" s="8">
        <v>11697842</v>
      </c>
      <c r="G134" s="8">
        <v>3.3396734260000001</v>
      </c>
      <c r="H134" s="8">
        <v>58.986928339999999</v>
      </c>
      <c r="I134" s="8">
        <v>69.88</v>
      </c>
      <c r="J134" s="8">
        <v>1010.53</v>
      </c>
      <c r="K134" s="8">
        <v>6.92</v>
      </c>
      <c r="L134" s="8">
        <v>146</v>
      </c>
      <c r="M134" s="8">
        <v>1250004768.9319999</v>
      </c>
      <c r="N134" s="8">
        <v>-34.6</v>
      </c>
      <c r="O134" s="8" t="str">
        <f>vw_scenario_analysis_dataset[[#This Row],[reporter_name]] &amp; "-" &amp; vw_scenario_analysis_dataset[[#This Row],[reference_year]]</f>
        <v>Benin-2016</v>
      </c>
    </row>
    <row r="135" spans="1:15" x14ac:dyDescent="0.3">
      <c r="A135" s="8" t="s">
        <v>42</v>
      </c>
      <c r="B135" s="8" t="s">
        <v>43</v>
      </c>
      <c r="C135" s="8">
        <v>2017</v>
      </c>
      <c r="D135" s="8">
        <v>1483978188.1450009</v>
      </c>
      <c r="E135" s="8">
        <v>12701655837</v>
      </c>
      <c r="F135" s="8">
        <v>12039780</v>
      </c>
      <c r="G135" s="8">
        <v>5.6715619520000002</v>
      </c>
      <c r="H135" s="8">
        <v>61.476596960000002</v>
      </c>
      <c r="I135" s="8">
        <v>123.26</v>
      </c>
      <c r="J135" s="8">
        <v>1054.97</v>
      </c>
      <c r="K135" s="8">
        <v>11.68</v>
      </c>
      <c r="L135" s="8">
        <v>139</v>
      </c>
      <c r="M135" s="8">
        <v>817485305.60000002</v>
      </c>
      <c r="N135" s="8">
        <v>81.53</v>
      </c>
      <c r="O135" s="8" t="str">
        <f>vw_scenario_analysis_dataset[[#This Row],[reporter_name]] &amp; "-" &amp; vw_scenario_analysis_dataset[[#This Row],[reference_year]]</f>
        <v>Benin-2017</v>
      </c>
    </row>
    <row r="136" spans="1:15" x14ac:dyDescent="0.3">
      <c r="A136" s="8" t="s">
        <v>42</v>
      </c>
      <c r="B136" s="8" t="s">
        <v>43</v>
      </c>
      <c r="C136" s="8">
        <v>2018</v>
      </c>
      <c r="D136" s="8">
        <v>1901911395.4860005</v>
      </c>
      <c r="E136" s="8">
        <v>14262408090</v>
      </c>
      <c r="F136" s="8">
        <v>12383347</v>
      </c>
      <c r="G136" s="8">
        <v>6.6972536219999999</v>
      </c>
      <c r="H136" s="8">
        <v>61.79519449</v>
      </c>
      <c r="I136" s="8">
        <v>153.59</v>
      </c>
      <c r="J136" s="8">
        <v>1151.74</v>
      </c>
      <c r="K136" s="8">
        <v>13.34</v>
      </c>
      <c r="L136" s="8">
        <v>133</v>
      </c>
      <c r="M136" s="8">
        <v>1483978188.1450009</v>
      </c>
      <c r="N136" s="8">
        <v>28.16</v>
      </c>
      <c r="O136" s="8" t="str">
        <f>vw_scenario_analysis_dataset[[#This Row],[reporter_name]] &amp; "-" &amp; vw_scenario_analysis_dataset[[#This Row],[reference_year]]</f>
        <v>Benin-2018</v>
      </c>
    </row>
    <row r="137" spans="1:15" x14ac:dyDescent="0.3">
      <c r="A137" s="8" t="s">
        <v>42</v>
      </c>
      <c r="B137" s="8" t="s">
        <v>43</v>
      </c>
      <c r="C137" s="8">
        <v>2019</v>
      </c>
      <c r="D137" s="8">
        <v>1701326515.7870004</v>
      </c>
      <c r="E137" s="8">
        <v>14391686313</v>
      </c>
      <c r="F137" s="8">
        <v>12726755</v>
      </c>
      <c r="G137" s="8">
        <v>6.8656866279999997</v>
      </c>
      <c r="H137" s="8">
        <v>63.681332310000002</v>
      </c>
      <c r="I137" s="8">
        <v>133.68</v>
      </c>
      <c r="J137" s="8">
        <v>1130.82</v>
      </c>
      <c r="K137" s="8">
        <v>11.82</v>
      </c>
      <c r="L137" s="8">
        <v>137</v>
      </c>
      <c r="M137" s="8">
        <v>1901911395.4860005</v>
      </c>
      <c r="N137" s="8">
        <v>-10.55</v>
      </c>
      <c r="O137" s="8" t="str">
        <f>vw_scenario_analysis_dataset[[#This Row],[reporter_name]] &amp; "-" &amp; vw_scenario_analysis_dataset[[#This Row],[reference_year]]</f>
        <v>Benin-2019</v>
      </c>
    </row>
    <row r="138" spans="1:15" x14ac:dyDescent="0.3">
      <c r="A138" s="8" t="s">
        <v>42</v>
      </c>
      <c r="B138" s="8" t="s">
        <v>43</v>
      </c>
      <c r="C138" s="8">
        <v>2020</v>
      </c>
      <c r="D138" s="8">
        <v>1692119845.0689995</v>
      </c>
      <c r="E138" s="8">
        <v>15686741884</v>
      </c>
      <c r="F138" s="8">
        <v>13070169</v>
      </c>
      <c r="G138" s="8">
        <v>3.8487923999999998</v>
      </c>
      <c r="H138" s="8">
        <v>44.833233380000003</v>
      </c>
      <c r="I138" s="8">
        <v>129.46</v>
      </c>
      <c r="J138" s="8">
        <v>1200.19</v>
      </c>
      <c r="K138" s="8">
        <v>10.79</v>
      </c>
      <c r="L138" s="8">
        <v>131</v>
      </c>
      <c r="M138" s="8">
        <v>1701326515.7870004</v>
      </c>
      <c r="N138" s="8">
        <v>-0.54</v>
      </c>
      <c r="O138" s="8" t="str">
        <f>vw_scenario_analysis_dataset[[#This Row],[reporter_name]] &amp; "-" &amp; vw_scenario_analysis_dataset[[#This Row],[reference_year]]</f>
        <v>Benin-2020</v>
      </c>
    </row>
    <row r="139" spans="1:15" x14ac:dyDescent="0.3">
      <c r="A139" s="8" t="s">
        <v>42</v>
      </c>
      <c r="B139" s="8" t="s">
        <v>43</v>
      </c>
      <c r="C139" s="8">
        <v>2021</v>
      </c>
      <c r="D139" s="8">
        <v>2051088508.5159996</v>
      </c>
      <c r="E139" s="8">
        <v>17687623530</v>
      </c>
      <c r="F139" s="8">
        <v>13413417</v>
      </c>
      <c r="G139" s="8">
        <v>7.1554516460000004</v>
      </c>
      <c r="H139" s="8">
        <v>48.054860830000003</v>
      </c>
      <c r="I139" s="8">
        <v>152.91</v>
      </c>
      <c r="J139" s="8">
        <v>1318.65</v>
      </c>
      <c r="K139" s="8">
        <v>11.6</v>
      </c>
      <c r="L139" s="8">
        <v>133</v>
      </c>
      <c r="M139" s="8">
        <v>1692119845.0689995</v>
      </c>
      <c r="N139" s="8">
        <v>21.21</v>
      </c>
      <c r="O139" s="8" t="str">
        <f>vw_scenario_analysis_dataset[[#This Row],[reporter_name]] &amp; "-" &amp; vw_scenario_analysis_dataset[[#This Row],[reference_year]]</f>
        <v>Benin-2021</v>
      </c>
    </row>
    <row r="140" spans="1:15" x14ac:dyDescent="0.3">
      <c r="A140" s="8" t="s">
        <v>42</v>
      </c>
      <c r="B140" s="8" t="s">
        <v>43</v>
      </c>
      <c r="C140" s="8">
        <v>2022</v>
      </c>
      <c r="D140" s="8">
        <v>1798369112.21</v>
      </c>
      <c r="E140" s="8">
        <v>17425405091</v>
      </c>
      <c r="F140" s="8">
        <v>13759501</v>
      </c>
      <c r="G140" s="8">
        <v>6.2529470539999998</v>
      </c>
      <c r="H140" s="8">
        <v>44.38159289</v>
      </c>
      <c r="I140" s="8">
        <v>130.69999999999999</v>
      </c>
      <c r="J140" s="8">
        <v>1266.43</v>
      </c>
      <c r="K140" s="8">
        <v>10.32</v>
      </c>
      <c r="L140" s="8">
        <v>133</v>
      </c>
      <c r="M140" s="8">
        <v>2051088508.5159996</v>
      </c>
      <c r="N140" s="8">
        <v>-12.32</v>
      </c>
      <c r="O140" s="8" t="str">
        <f>vw_scenario_analysis_dataset[[#This Row],[reporter_name]] &amp; "-" &amp; vw_scenario_analysis_dataset[[#This Row],[reference_year]]</f>
        <v>Benin-2022</v>
      </c>
    </row>
    <row r="141" spans="1:15" x14ac:dyDescent="0.3">
      <c r="A141" s="8" t="s">
        <v>42</v>
      </c>
      <c r="B141" s="8" t="s">
        <v>43</v>
      </c>
      <c r="C141" s="8">
        <v>2023</v>
      </c>
      <c r="D141" s="8">
        <v>2104421827.0849991</v>
      </c>
      <c r="E141" s="8">
        <v>19673291004</v>
      </c>
      <c r="F141" s="8">
        <v>14111034</v>
      </c>
      <c r="G141" s="8">
        <v>6.3527773850000004</v>
      </c>
      <c r="H141" s="8">
        <v>44.663130819999999</v>
      </c>
      <c r="I141" s="8">
        <v>149.13</v>
      </c>
      <c r="J141" s="8">
        <v>1394.18</v>
      </c>
      <c r="K141" s="8">
        <v>10.7</v>
      </c>
      <c r="L141" s="8">
        <v>128</v>
      </c>
      <c r="M141" s="8">
        <v>1798369112.21</v>
      </c>
      <c r="N141" s="8">
        <v>17.02</v>
      </c>
      <c r="O141" s="8" t="str">
        <f>vw_scenario_analysis_dataset[[#This Row],[reporter_name]] &amp; "-" &amp; vw_scenario_analysis_dataset[[#This Row],[reference_year]]</f>
        <v>Benin-2023</v>
      </c>
    </row>
    <row r="142" spans="1:15" x14ac:dyDescent="0.3">
      <c r="A142" s="8" t="s">
        <v>42</v>
      </c>
      <c r="B142" s="8" t="s">
        <v>43</v>
      </c>
      <c r="C142" s="8">
        <v>2024</v>
      </c>
      <c r="D142" s="8">
        <v>2225668533.9739995</v>
      </c>
      <c r="E142" s="8">
        <v>21482643706</v>
      </c>
      <c r="F142" s="8">
        <v>14462724</v>
      </c>
      <c r="G142" s="8">
        <v>7.4531156620000001</v>
      </c>
      <c r="H142" s="8">
        <v>40.639802240000002</v>
      </c>
      <c r="I142" s="8">
        <v>153.88999999999999</v>
      </c>
      <c r="J142" s="8">
        <v>1485.38</v>
      </c>
      <c r="K142" s="8">
        <v>10.36</v>
      </c>
      <c r="L142" s="8">
        <v>111</v>
      </c>
      <c r="M142" s="8">
        <v>2104421827.0849991</v>
      </c>
      <c r="N142" s="8">
        <v>5.76</v>
      </c>
      <c r="O142" s="8" t="str">
        <f>vw_scenario_analysis_dataset[[#This Row],[reporter_name]] &amp; "-" &amp; vw_scenario_analysis_dataset[[#This Row],[reference_year]]</f>
        <v>Benin-2024</v>
      </c>
    </row>
    <row r="143" spans="1:15" x14ac:dyDescent="0.3">
      <c r="A143" s="8" t="s">
        <v>44</v>
      </c>
      <c r="B143" s="8" t="s">
        <v>45</v>
      </c>
      <c r="C143" s="8">
        <v>2015</v>
      </c>
      <c r="D143" s="8">
        <v>4433966728.7990007</v>
      </c>
      <c r="E143" s="8">
        <v>11832159316</v>
      </c>
      <c r="F143" s="8">
        <v>18777487</v>
      </c>
      <c r="G143" s="8">
        <v>3.9212287940000001</v>
      </c>
      <c r="H143" s="8">
        <v>59.089181310000001</v>
      </c>
      <c r="I143" s="8">
        <v>236.13</v>
      </c>
      <c r="J143" s="8">
        <v>630.12</v>
      </c>
      <c r="K143" s="8">
        <v>37.47</v>
      </c>
      <c r="L143" s="8">
        <v>113</v>
      </c>
      <c r="M143" s="8"/>
      <c r="N143" s="8"/>
      <c r="O143" s="8" t="str">
        <f>vw_scenario_analysis_dataset[[#This Row],[reporter_name]] &amp; "-" &amp; vw_scenario_analysis_dataset[[#This Row],[reference_year]]</f>
        <v>Burkina Faso-2015</v>
      </c>
    </row>
    <row r="144" spans="1:15" x14ac:dyDescent="0.3">
      <c r="A144" s="8" t="s">
        <v>44</v>
      </c>
      <c r="B144" s="8" t="s">
        <v>45</v>
      </c>
      <c r="C144" s="8">
        <v>2016</v>
      </c>
      <c r="D144" s="8">
        <v>5040024676</v>
      </c>
      <c r="E144" s="8">
        <v>12833363045</v>
      </c>
      <c r="F144" s="8">
        <v>19334856</v>
      </c>
      <c r="G144" s="8">
        <v>5.9579767080000003</v>
      </c>
      <c r="H144" s="8">
        <v>57.893172800000002</v>
      </c>
      <c r="I144" s="8">
        <v>260.67</v>
      </c>
      <c r="J144" s="8">
        <v>663.74</v>
      </c>
      <c r="K144" s="8">
        <v>39.270000000000003</v>
      </c>
      <c r="L144" s="8">
        <v>112</v>
      </c>
      <c r="M144" s="8">
        <v>4433966728.7990007</v>
      </c>
      <c r="N144" s="8">
        <v>13.67</v>
      </c>
      <c r="O144" s="8" t="str">
        <f>vw_scenario_analysis_dataset[[#This Row],[reporter_name]] &amp; "-" &amp; vw_scenario_analysis_dataset[[#This Row],[reference_year]]</f>
        <v>Burkina Faso-2016</v>
      </c>
    </row>
    <row r="145" spans="1:15" x14ac:dyDescent="0.3">
      <c r="A145" s="8" t="s">
        <v>44</v>
      </c>
      <c r="B145" s="8" t="s">
        <v>45</v>
      </c>
      <c r="C145" s="8">
        <v>2017</v>
      </c>
      <c r="D145" s="8">
        <v>5818740236.4820004</v>
      </c>
      <c r="E145" s="8">
        <v>14106955615</v>
      </c>
      <c r="F145" s="8">
        <v>19894407</v>
      </c>
      <c r="G145" s="8">
        <v>6.2034894109999996</v>
      </c>
      <c r="H145" s="8">
        <v>59.268780200000002</v>
      </c>
      <c r="I145" s="8">
        <v>292.48</v>
      </c>
      <c r="J145" s="8">
        <v>709.09</v>
      </c>
      <c r="K145" s="8">
        <v>41.25</v>
      </c>
      <c r="L145" s="8">
        <v>114</v>
      </c>
      <c r="M145" s="8">
        <v>5040024676</v>
      </c>
      <c r="N145" s="8">
        <v>15.45</v>
      </c>
      <c r="O145" s="8" t="str">
        <f>vw_scenario_analysis_dataset[[#This Row],[reporter_name]] &amp; "-" &amp; vw_scenario_analysis_dataset[[#This Row],[reference_year]]</f>
        <v>Burkina Faso-2017</v>
      </c>
    </row>
    <row r="146" spans="1:15" x14ac:dyDescent="0.3">
      <c r="A146" s="8" t="s">
        <v>44</v>
      </c>
      <c r="B146" s="8" t="s">
        <v>45</v>
      </c>
      <c r="C146" s="8">
        <v>2018</v>
      </c>
      <c r="D146" s="8">
        <v>6535149089.099</v>
      </c>
      <c r="E146" s="8">
        <v>15890066221</v>
      </c>
      <c r="F146" s="8">
        <v>20438288</v>
      </c>
      <c r="G146" s="8">
        <v>6.604569068</v>
      </c>
      <c r="H146" s="8">
        <v>60.59562562</v>
      </c>
      <c r="I146" s="8">
        <v>319.75</v>
      </c>
      <c r="J146" s="8">
        <v>777.47</v>
      </c>
      <c r="K146" s="8">
        <v>41.13</v>
      </c>
      <c r="L146" s="8">
        <v>112</v>
      </c>
      <c r="M146" s="8">
        <v>5818740236.4820004</v>
      </c>
      <c r="N146" s="8">
        <v>12.31</v>
      </c>
      <c r="O146" s="8" t="str">
        <f>vw_scenario_analysis_dataset[[#This Row],[reporter_name]] &amp; "-" &amp; vw_scenario_analysis_dataset[[#This Row],[reference_year]]</f>
        <v>Burkina Faso-2018</v>
      </c>
    </row>
    <row r="147" spans="1:15" x14ac:dyDescent="0.3">
      <c r="A147" s="8" t="s">
        <v>44</v>
      </c>
      <c r="B147" s="8" t="s">
        <v>45</v>
      </c>
      <c r="C147" s="8">
        <v>2019</v>
      </c>
      <c r="D147" s="8">
        <v>6522209653.6329985</v>
      </c>
      <c r="E147" s="8">
        <v>16032813503</v>
      </c>
      <c r="F147" s="8">
        <v>20961952</v>
      </c>
      <c r="G147" s="8">
        <v>5.8892049709999998</v>
      </c>
      <c r="H147" s="8">
        <v>60.408692879999997</v>
      </c>
      <c r="I147" s="8">
        <v>311.14999999999998</v>
      </c>
      <c r="J147" s="8">
        <v>764.85</v>
      </c>
      <c r="K147" s="8">
        <v>40.68</v>
      </c>
      <c r="L147" s="8">
        <v>112</v>
      </c>
      <c r="M147" s="8">
        <v>6535149089.099</v>
      </c>
      <c r="N147" s="8">
        <v>-0.2</v>
      </c>
      <c r="O147" s="8" t="str">
        <f>vw_scenario_analysis_dataset[[#This Row],[reporter_name]] &amp; "-" &amp; vw_scenario_analysis_dataset[[#This Row],[reference_year]]</f>
        <v>Burkina Faso-2019</v>
      </c>
    </row>
    <row r="148" spans="1:15" x14ac:dyDescent="0.3">
      <c r="A148" s="8" t="s">
        <v>44</v>
      </c>
      <c r="B148" s="8" t="s">
        <v>45</v>
      </c>
      <c r="C148" s="8">
        <v>2020</v>
      </c>
      <c r="D148" s="8">
        <v>8749263689.4949989</v>
      </c>
      <c r="E148" s="8">
        <v>17725010533</v>
      </c>
      <c r="F148" s="8">
        <v>21478690</v>
      </c>
      <c r="G148" s="8">
        <v>2.0107726239999999</v>
      </c>
      <c r="H148" s="8">
        <v>60.739778639999997</v>
      </c>
      <c r="I148" s="8">
        <v>407.35</v>
      </c>
      <c r="J148" s="8">
        <v>825.24</v>
      </c>
      <c r="K148" s="8">
        <v>49.36</v>
      </c>
      <c r="L148" s="8">
        <v>102</v>
      </c>
      <c r="M148" s="8">
        <v>6522209653.6329985</v>
      </c>
      <c r="N148" s="8">
        <v>34.15</v>
      </c>
      <c r="O148" s="8" t="str">
        <f>vw_scenario_analysis_dataset[[#This Row],[reporter_name]] &amp; "-" &amp; vw_scenario_analysis_dataset[[#This Row],[reference_year]]</f>
        <v>Burkina Faso-2020</v>
      </c>
    </row>
    <row r="149" spans="1:15" x14ac:dyDescent="0.3">
      <c r="A149" s="8" t="s">
        <v>44</v>
      </c>
      <c r="B149" s="8" t="s">
        <v>45</v>
      </c>
      <c r="C149" s="8">
        <v>2021</v>
      </c>
      <c r="D149" s="8">
        <v>10120055917.900993</v>
      </c>
      <c r="E149" s="8">
        <v>19697516284</v>
      </c>
      <c r="F149" s="8">
        <v>21995243</v>
      </c>
      <c r="G149" s="8">
        <v>6.9425249259999999</v>
      </c>
      <c r="H149" s="8">
        <v>62.420358659999998</v>
      </c>
      <c r="I149" s="8">
        <v>460.1</v>
      </c>
      <c r="J149" s="8">
        <v>895.54</v>
      </c>
      <c r="K149" s="8">
        <v>51.38</v>
      </c>
      <c r="L149" s="8">
        <v>102</v>
      </c>
      <c r="M149" s="8">
        <v>8749263689.4949989</v>
      </c>
      <c r="N149" s="8">
        <v>15.67</v>
      </c>
      <c r="O149" s="8" t="str">
        <f>vw_scenario_analysis_dataset[[#This Row],[reporter_name]] &amp; "-" &amp; vw_scenario_analysis_dataset[[#This Row],[reference_year]]</f>
        <v>Burkina Faso-2021</v>
      </c>
    </row>
    <row r="150" spans="1:15" x14ac:dyDescent="0.3">
      <c r="A150" s="8" t="s">
        <v>44</v>
      </c>
      <c r="B150" s="8" t="s">
        <v>45</v>
      </c>
      <c r="C150" s="8">
        <v>2022</v>
      </c>
      <c r="D150" s="8">
        <v>9112052293.8880043</v>
      </c>
      <c r="E150" s="8">
        <v>18622421395</v>
      </c>
      <c r="F150" s="8">
        <v>22509038</v>
      </c>
      <c r="G150" s="8">
        <v>1.626732582</v>
      </c>
      <c r="H150" s="8">
        <v>67.520290130000006</v>
      </c>
      <c r="I150" s="8">
        <v>404.82</v>
      </c>
      <c r="J150" s="8">
        <v>827.33</v>
      </c>
      <c r="K150" s="8">
        <v>48.93</v>
      </c>
      <c r="L150" s="8">
        <v>106</v>
      </c>
      <c r="M150" s="8">
        <v>10120055917.900993</v>
      </c>
      <c r="N150" s="8">
        <v>-9.9600000000000009</v>
      </c>
      <c r="O150" s="8" t="str">
        <f>vw_scenario_analysis_dataset[[#This Row],[reporter_name]] &amp; "-" &amp; vw_scenario_analysis_dataset[[#This Row],[reference_year]]</f>
        <v>Burkina Faso-2022</v>
      </c>
    </row>
    <row r="151" spans="1:15" x14ac:dyDescent="0.3">
      <c r="A151" s="8" t="s">
        <v>44</v>
      </c>
      <c r="B151" s="8" t="s">
        <v>45</v>
      </c>
      <c r="C151" s="8">
        <v>2023</v>
      </c>
      <c r="D151" s="8">
        <v>8917514274.4349957</v>
      </c>
      <c r="E151" s="8">
        <v>20106062972</v>
      </c>
      <c r="F151" s="8">
        <v>23025776</v>
      </c>
      <c r="G151" s="8">
        <v>3.0002741579999999</v>
      </c>
      <c r="H151" s="8">
        <v>63.153043590000003</v>
      </c>
      <c r="I151" s="8">
        <v>387.28</v>
      </c>
      <c r="J151" s="8">
        <v>873.2</v>
      </c>
      <c r="K151" s="8">
        <v>44.35</v>
      </c>
      <c r="L151" s="8">
        <v>109</v>
      </c>
      <c r="M151" s="8">
        <v>9112052293.8880043</v>
      </c>
      <c r="N151" s="8">
        <v>-2.13</v>
      </c>
      <c r="O151" s="8" t="str">
        <f>vw_scenario_analysis_dataset[[#This Row],[reporter_name]] &amp; "-" &amp; vw_scenario_analysis_dataset[[#This Row],[reference_year]]</f>
        <v>Burkina Faso-2023</v>
      </c>
    </row>
    <row r="152" spans="1:15" x14ac:dyDescent="0.3">
      <c r="A152" s="8" t="s">
        <v>44</v>
      </c>
      <c r="B152" s="8" t="s">
        <v>45</v>
      </c>
      <c r="C152" s="8">
        <v>2024</v>
      </c>
      <c r="D152" s="8">
        <v>11284639393.181004</v>
      </c>
      <c r="E152" s="8">
        <v>23136514856</v>
      </c>
      <c r="F152" s="8">
        <v>23548781</v>
      </c>
      <c r="G152" s="8">
        <v>4.8339581020000004</v>
      </c>
      <c r="H152" s="8">
        <v>60.492898850000003</v>
      </c>
      <c r="I152" s="8">
        <v>479.2</v>
      </c>
      <c r="J152" s="8">
        <v>982.49</v>
      </c>
      <c r="K152" s="8">
        <v>48.77</v>
      </c>
      <c r="L152" s="8">
        <v>96</v>
      </c>
      <c r="M152" s="8">
        <v>8917514274.4349957</v>
      </c>
      <c r="N152" s="8">
        <v>26.54</v>
      </c>
      <c r="O152" s="8" t="str">
        <f>vw_scenario_analysis_dataset[[#This Row],[reporter_name]] &amp; "-" &amp; vw_scenario_analysis_dataset[[#This Row],[reference_year]]</f>
        <v>Burkina Faso-2024</v>
      </c>
    </row>
    <row r="153" spans="1:15" x14ac:dyDescent="0.3">
      <c r="A153" s="8" t="s">
        <v>46</v>
      </c>
      <c r="B153" s="8" t="s">
        <v>47</v>
      </c>
      <c r="C153" s="8">
        <v>2015</v>
      </c>
      <c r="D153" s="8">
        <v>63468324834</v>
      </c>
      <c r="E153" s="8">
        <v>195000000000</v>
      </c>
      <c r="F153" s="8">
        <v>159383179</v>
      </c>
      <c r="G153" s="8">
        <v>6.5526398779999999</v>
      </c>
      <c r="H153" s="8">
        <v>42.085996309999999</v>
      </c>
      <c r="I153" s="8">
        <v>398.21</v>
      </c>
      <c r="J153" s="8">
        <v>1223.47</v>
      </c>
      <c r="K153" s="8">
        <v>32.549999999999997</v>
      </c>
      <c r="L153" s="8">
        <v>55</v>
      </c>
      <c r="M153" s="8"/>
      <c r="N153" s="8"/>
      <c r="O153" s="8" t="str">
        <f>vw_scenario_analysis_dataset[[#This Row],[reporter_name]] &amp; "-" &amp; vw_scenario_analysis_dataset[[#This Row],[reference_year]]</f>
        <v>Bangladesh-2015</v>
      </c>
    </row>
    <row r="154" spans="1:15" x14ac:dyDescent="0.3">
      <c r="A154" s="8" t="s">
        <v>46</v>
      </c>
      <c r="B154" s="8" t="s">
        <v>47</v>
      </c>
      <c r="C154" s="8">
        <v>2016</v>
      </c>
      <c r="D154" s="8">
        <v>69505742249.897018</v>
      </c>
      <c r="E154" s="8">
        <v>265000000000</v>
      </c>
      <c r="F154" s="8">
        <v>160811932</v>
      </c>
      <c r="G154" s="8">
        <v>7.1134782129999996</v>
      </c>
      <c r="H154" s="8">
        <v>31.334150130000001</v>
      </c>
      <c r="I154" s="8">
        <v>432.22</v>
      </c>
      <c r="J154" s="8">
        <v>1647.89</v>
      </c>
      <c r="K154" s="8">
        <v>26.23</v>
      </c>
      <c r="L154" s="8">
        <v>49</v>
      </c>
      <c r="M154" s="8">
        <v>63468324834</v>
      </c>
      <c r="N154" s="8">
        <v>9.51</v>
      </c>
      <c r="O154" s="8" t="str">
        <f>vw_scenario_analysis_dataset[[#This Row],[reporter_name]] &amp; "-" &amp; vw_scenario_analysis_dataset[[#This Row],[reference_year]]</f>
        <v>Bangladesh-2016</v>
      </c>
    </row>
    <row r="155" spans="1:15" x14ac:dyDescent="0.3">
      <c r="A155" s="8" t="s">
        <v>46</v>
      </c>
      <c r="B155" s="8" t="s">
        <v>47</v>
      </c>
      <c r="C155" s="8">
        <v>2017</v>
      </c>
      <c r="D155" s="8">
        <v>79348618954.317001</v>
      </c>
      <c r="E155" s="8">
        <v>294000000000</v>
      </c>
      <c r="F155" s="8">
        <v>162186147</v>
      </c>
      <c r="G155" s="8">
        <v>6.590249998</v>
      </c>
      <c r="H155" s="8">
        <v>29.999730670000002</v>
      </c>
      <c r="I155" s="8">
        <v>489.24</v>
      </c>
      <c r="J155" s="8">
        <v>1812.73</v>
      </c>
      <c r="K155" s="8">
        <v>26.99</v>
      </c>
      <c r="L155" s="8">
        <v>50</v>
      </c>
      <c r="M155" s="8">
        <v>69505742249.897018</v>
      </c>
      <c r="N155" s="8">
        <v>14.16</v>
      </c>
      <c r="O155" s="8" t="str">
        <f>vw_scenario_analysis_dataset[[#This Row],[reporter_name]] &amp; "-" &amp; vw_scenario_analysis_dataset[[#This Row],[reference_year]]</f>
        <v>Bangladesh-2017</v>
      </c>
    </row>
    <row r="156" spans="1:15" x14ac:dyDescent="0.3">
      <c r="A156" s="8" t="s">
        <v>46</v>
      </c>
      <c r="B156" s="8" t="s">
        <v>47</v>
      </c>
      <c r="C156" s="8">
        <v>2018</v>
      </c>
      <c r="D156" s="8">
        <v>80131442768.216064</v>
      </c>
      <c r="E156" s="8">
        <v>321000000000</v>
      </c>
      <c r="F156" s="8">
        <v>163523103</v>
      </c>
      <c r="G156" s="8">
        <v>7.3194126300000004</v>
      </c>
      <c r="H156" s="8">
        <v>32.514631719999997</v>
      </c>
      <c r="I156" s="8">
        <v>490.03</v>
      </c>
      <c r="J156" s="8">
        <v>1963.03</v>
      </c>
      <c r="K156" s="8">
        <v>24.96</v>
      </c>
      <c r="L156" s="8">
        <v>52</v>
      </c>
      <c r="M156" s="8">
        <v>79348618954.317001</v>
      </c>
      <c r="N156" s="8">
        <v>0.99</v>
      </c>
      <c r="O156" s="8" t="str">
        <f>vw_scenario_analysis_dataset[[#This Row],[reporter_name]] &amp; "-" &amp; vw_scenario_analysis_dataset[[#This Row],[reference_year]]</f>
        <v>Bangladesh-2018</v>
      </c>
    </row>
    <row r="157" spans="1:15" x14ac:dyDescent="0.3">
      <c r="A157" s="8" t="s">
        <v>48</v>
      </c>
      <c r="B157" s="8" t="s">
        <v>49</v>
      </c>
      <c r="C157" s="8">
        <v>2015</v>
      </c>
      <c r="D157" s="8">
        <v>51557491885</v>
      </c>
      <c r="E157" s="8">
        <v>50768512173</v>
      </c>
      <c r="F157" s="8">
        <v>6984225</v>
      </c>
      <c r="G157" s="8">
        <v>3.3975535200000002</v>
      </c>
      <c r="H157" s="8">
        <v>126.7366523</v>
      </c>
      <c r="I157" s="8">
        <v>7381.99</v>
      </c>
      <c r="J157" s="8">
        <v>7269.03</v>
      </c>
      <c r="K157" s="8">
        <v>101.55</v>
      </c>
      <c r="L157" s="8">
        <v>59</v>
      </c>
      <c r="M157" s="8"/>
      <c r="N157" s="8"/>
      <c r="O157" s="8" t="str">
        <f>vw_scenario_analysis_dataset[[#This Row],[reporter_name]] &amp; "-" &amp; vw_scenario_analysis_dataset[[#This Row],[reference_year]]</f>
        <v>Bulgaria-2015</v>
      </c>
    </row>
    <row r="158" spans="1:15" x14ac:dyDescent="0.3">
      <c r="A158" s="8" t="s">
        <v>48</v>
      </c>
      <c r="B158" s="8" t="s">
        <v>49</v>
      </c>
      <c r="C158" s="8">
        <v>2016</v>
      </c>
      <c r="D158" s="8">
        <v>53376365818.75296</v>
      </c>
      <c r="E158" s="8">
        <v>53932152154</v>
      </c>
      <c r="F158" s="8">
        <v>6894139</v>
      </c>
      <c r="G158" s="8">
        <v>3.0266282009999999</v>
      </c>
      <c r="H158" s="8">
        <v>122.8055191</v>
      </c>
      <c r="I158" s="8">
        <v>7742.28</v>
      </c>
      <c r="J158" s="8">
        <v>7822.9</v>
      </c>
      <c r="K158" s="8">
        <v>98.97</v>
      </c>
      <c r="L158" s="8">
        <v>58</v>
      </c>
      <c r="M158" s="8">
        <v>51557491885</v>
      </c>
      <c r="N158" s="8">
        <v>3.53</v>
      </c>
      <c r="O158" s="8" t="str">
        <f>vw_scenario_analysis_dataset[[#This Row],[reporter_name]] &amp; "-" &amp; vw_scenario_analysis_dataset[[#This Row],[reference_year]]</f>
        <v>Bulgaria-2016</v>
      </c>
    </row>
    <row r="159" spans="1:15" x14ac:dyDescent="0.3">
      <c r="A159" s="8" t="s">
        <v>48</v>
      </c>
      <c r="B159" s="8" t="s">
        <v>49</v>
      </c>
      <c r="C159" s="8">
        <v>2017</v>
      </c>
      <c r="D159" s="8">
        <v>63176836552.317032</v>
      </c>
      <c r="E159" s="8">
        <v>59170671046</v>
      </c>
      <c r="F159" s="8">
        <v>6803468</v>
      </c>
      <c r="G159" s="8">
        <v>2.7459273780000002</v>
      </c>
      <c r="H159" s="8">
        <v>129.63443380000001</v>
      </c>
      <c r="I159" s="8">
        <v>9285.98</v>
      </c>
      <c r="J159" s="8">
        <v>8697.1299999999992</v>
      </c>
      <c r="K159" s="8">
        <v>106.77</v>
      </c>
      <c r="L159" s="8">
        <v>57</v>
      </c>
      <c r="M159" s="8">
        <v>53376365818.75296</v>
      </c>
      <c r="N159" s="8">
        <v>18.36</v>
      </c>
      <c r="O159" s="8" t="str">
        <f>vw_scenario_analysis_dataset[[#This Row],[reporter_name]] &amp; "-" &amp; vw_scenario_analysis_dataset[[#This Row],[reference_year]]</f>
        <v>Bulgaria-2017</v>
      </c>
    </row>
    <row r="160" spans="1:15" x14ac:dyDescent="0.3">
      <c r="A160" s="8" t="s">
        <v>48</v>
      </c>
      <c r="B160" s="8" t="s">
        <v>49</v>
      </c>
      <c r="C160" s="8">
        <v>2018</v>
      </c>
      <c r="D160" s="8">
        <v>67574287979.520027</v>
      </c>
      <c r="E160" s="8">
        <v>66100606677</v>
      </c>
      <c r="F160" s="8">
        <v>6710798</v>
      </c>
      <c r="G160" s="8">
        <v>2.3301505420000002</v>
      </c>
      <c r="H160" s="8">
        <v>129.1665022</v>
      </c>
      <c r="I160" s="8">
        <v>10069.49</v>
      </c>
      <c r="J160" s="8">
        <v>9849.89</v>
      </c>
      <c r="K160" s="8">
        <v>102.23</v>
      </c>
      <c r="L160" s="8">
        <v>56</v>
      </c>
      <c r="M160" s="8">
        <v>63176836552.317032</v>
      </c>
      <c r="N160" s="8">
        <v>6.96</v>
      </c>
      <c r="O160" s="8" t="str">
        <f>vw_scenario_analysis_dataset[[#This Row],[reporter_name]] &amp; "-" &amp; vw_scenario_analysis_dataset[[#This Row],[reference_year]]</f>
        <v>Bulgaria-2018</v>
      </c>
    </row>
    <row r="161" spans="1:15" x14ac:dyDescent="0.3">
      <c r="A161" s="8" t="s">
        <v>48</v>
      </c>
      <c r="B161" s="8" t="s">
        <v>49</v>
      </c>
      <c r="C161" s="8">
        <v>2019</v>
      </c>
      <c r="D161" s="8">
        <v>66908896098.797012</v>
      </c>
      <c r="E161" s="8">
        <v>68511235459</v>
      </c>
      <c r="F161" s="8">
        <v>6616726</v>
      </c>
      <c r="G161" s="8">
        <v>3.793319646</v>
      </c>
      <c r="H161" s="8">
        <v>125.2604151</v>
      </c>
      <c r="I161" s="8">
        <v>10112.09</v>
      </c>
      <c r="J161" s="8">
        <v>10354.25</v>
      </c>
      <c r="K161" s="8">
        <v>97.66</v>
      </c>
      <c r="L161" s="8">
        <v>55</v>
      </c>
      <c r="M161" s="8">
        <v>67574287979.520027</v>
      </c>
      <c r="N161" s="8">
        <v>-0.98</v>
      </c>
      <c r="O161" s="8" t="str">
        <f>vw_scenario_analysis_dataset[[#This Row],[reporter_name]] &amp; "-" &amp; vw_scenario_analysis_dataset[[#This Row],[reference_year]]</f>
        <v>Bulgaria-2019</v>
      </c>
    </row>
    <row r="162" spans="1:15" x14ac:dyDescent="0.3">
      <c r="A162" s="8" t="s">
        <v>48</v>
      </c>
      <c r="B162" s="8" t="s">
        <v>49</v>
      </c>
      <c r="C162" s="8">
        <v>2020</v>
      </c>
      <c r="D162" s="8">
        <v>63829407766.993996</v>
      </c>
      <c r="E162" s="8">
        <v>70490478088</v>
      </c>
      <c r="F162" s="8">
        <v>6550696</v>
      </c>
      <c r="G162" s="8">
        <v>-3.1332354310000001</v>
      </c>
      <c r="H162" s="8">
        <v>110.4239031</v>
      </c>
      <c r="I162" s="8">
        <v>9743.91</v>
      </c>
      <c r="J162" s="8">
        <v>10760.76</v>
      </c>
      <c r="K162" s="8">
        <v>90.55</v>
      </c>
      <c r="L162" s="8">
        <v>54</v>
      </c>
      <c r="M162" s="8">
        <v>66908896098.797012</v>
      </c>
      <c r="N162" s="8">
        <v>-4.5999999999999996</v>
      </c>
      <c r="O162" s="8" t="str">
        <f>vw_scenario_analysis_dataset[[#This Row],[reporter_name]] &amp; "-" &amp; vw_scenario_analysis_dataset[[#This Row],[reference_year]]</f>
        <v>Bulgaria-2020</v>
      </c>
    </row>
    <row r="163" spans="1:15" x14ac:dyDescent="0.3">
      <c r="A163" s="8" t="s">
        <v>48</v>
      </c>
      <c r="B163" s="8" t="s">
        <v>49</v>
      </c>
      <c r="C163" s="8">
        <v>2021</v>
      </c>
      <c r="D163" s="8">
        <v>82741713374.588989</v>
      </c>
      <c r="E163" s="8">
        <v>84378926047</v>
      </c>
      <c r="F163" s="8">
        <v>6507301</v>
      </c>
      <c r="G163" s="8">
        <v>7.8281731069999996</v>
      </c>
      <c r="H163" s="8">
        <v>121.214091</v>
      </c>
      <c r="I163" s="8">
        <v>12715.21</v>
      </c>
      <c r="J163" s="8">
        <v>12966.81</v>
      </c>
      <c r="K163" s="8">
        <v>98.06</v>
      </c>
      <c r="L163" s="8">
        <v>55</v>
      </c>
      <c r="M163" s="8">
        <v>63829407766.993996</v>
      </c>
      <c r="N163" s="8">
        <v>29.63</v>
      </c>
      <c r="O163" s="8" t="str">
        <f>vw_scenario_analysis_dataset[[#This Row],[reporter_name]] &amp; "-" &amp; vw_scenario_analysis_dataset[[#This Row],[reference_year]]</f>
        <v>Bulgaria-2021</v>
      </c>
    </row>
    <row r="164" spans="1:15" x14ac:dyDescent="0.3">
      <c r="A164" s="8" t="s">
        <v>48</v>
      </c>
      <c r="B164" s="8" t="s">
        <v>49</v>
      </c>
      <c r="C164" s="8">
        <v>2022</v>
      </c>
      <c r="D164" s="8">
        <v>100500565715.09807</v>
      </c>
      <c r="E164" s="8">
        <v>90510784778</v>
      </c>
      <c r="F164" s="8">
        <v>6465097</v>
      </c>
      <c r="G164" s="8">
        <v>4.0838639810000004</v>
      </c>
      <c r="H164" s="8">
        <v>138.84487279999999</v>
      </c>
      <c r="I164" s="8">
        <v>15545.1</v>
      </c>
      <c r="J164" s="8">
        <v>13999.91</v>
      </c>
      <c r="K164" s="8">
        <v>111.04</v>
      </c>
      <c r="L164" s="8">
        <v>53</v>
      </c>
      <c r="M164" s="8">
        <v>82741713374.588989</v>
      </c>
      <c r="N164" s="8">
        <v>21.46</v>
      </c>
      <c r="O164" s="8" t="str">
        <f>vw_scenario_analysis_dataset[[#This Row],[reporter_name]] &amp; "-" &amp; vw_scenario_analysis_dataset[[#This Row],[reference_year]]</f>
        <v>Bulgaria-2022</v>
      </c>
    </row>
    <row r="165" spans="1:15" x14ac:dyDescent="0.3">
      <c r="A165" s="8" t="s">
        <v>48</v>
      </c>
      <c r="B165" s="8" t="s">
        <v>49</v>
      </c>
      <c r="C165" s="8">
        <v>2023</v>
      </c>
      <c r="D165" s="8">
        <v>95801113660.749954</v>
      </c>
      <c r="E165" s="8">
        <v>102000000000</v>
      </c>
      <c r="F165" s="8">
        <v>6446596</v>
      </c>
      <c r="G165" s="8">
        <v>1.6815107579999999</v>
      </c>
      <c r="H165" s="8">
        <v>119.89950589999999</v>
      </c>
      <c r="I165" s="8">
        <v>14860.73</v>
      </c>
      <c r="J165" s="8">
        <v>15822.3</v>
      </c>
      <c r="K165" s="8">
        <v>93.92</v>
      </c>
      <c r="L165" s="8">
        <v>50</v>
      </c>
      <c r="M165" s="8">
        <v>100500565715.09807</v>
      </c>
      <c r="N165" s="8">
        <v>-4.68</v>
      </c>
      <c r="O165" s="8" t="str">
        <f>vw_scenario_analysis_dataset[[#This Row],[reporter_name]] &amp; "-" &amp; vw_scenario_analysis_dataset[[#This Row],[reference_year]]</f>
        <v>Bulgaria-2023</v>
      </c>
    </row>
    <row r="166" spans="1:15" x14ac:dyDescent="0.3">
      <c r="A166" s="8" t="s">
        <v>48</v>
      </c>
      <c r="B166" s="8" t="s">
        <v>49</v>
      </c>
      <c r="C166" s="8">
        <v>2024</v>
      </c>
      <c r="D166" s="8">
        <v>93294486588.622025</v>
      </c>
      <c r="E166" s="8">
        <v>113000000000</v>
      </c>
      <c r="F166" s="8">
        <v>6441421</v>
      </c>
      <c r="G166" s="8">
        <v>3.3870896199999998</v>
      </c>
      <c r="H166" s="8">
        <v>110.2263177</v>
      </c>
      <c r="I166" s="8">
        <v>14483.53</v>
      </c>
      <c r="J166" s="8">
        <v>17542.71</v>
      </c>
      <c r="K166" s="8">
        <v>82.56</v>
      </c>
      <c r="L166" s="8">
        <v>50</v>
      </c>
      <c r="M166" s="8">
        <v>95801113660.749954</v>
      </c>
      <c r="N166" s="8">
        <v>-2.62</v>
      </c>
      <c r="O166" s="8" t="str">
        <f>vw_scenario_analysis_dataset[[#This Row],[reporter_name]] &amp; "-" &amp; vw_scenario_analysis_dataset[[#This Row],[reference_year]]</f>
        <v>Bulgaria-2024</v>
      </c>
    </row>
    <row r="167" spans="1:15" x14ac:dyDescent="0.3">
      <c r="A167" s="8" t="s">
        <v>50</v>
      </c>
      <c r="B167" s="8" t="s">
        <v>51</v>
      </c>
      <c r="C167" s="8">
        <v>2015</v>
      </c>
      <c r="D167" s="8">
        <v>27764341337.101009</v>
      </c>
      <c r="E167" s="8">
        <v>32523297872</v>
      </c>
      <c r="F167" s="8">
        <v>1370322</v>
      </c>
      <c r="G167" s="8">
        <v>2.5078720529999998</v>
      </c>
      <c r="H167" s="8">
        <v>147.9160602</v>
      </c>
      <c r="I167" s="8">
        <v>20261.18</v>
      </c>
      <c r="J167" s="8">
        <v>23734.06</v>
      </c>
      <c r="K167" s="8">
        <v>85.37</v>
      </c>
      <c r="L167" s="8">
        <v>67</v>
      </c>
      <c r="M167" s="8"/>
      <c r="N167" s="8"/>
      <c r="O167" s="8" t="str">
        <f>vw_scenario_analysis_dataset[[#This Row],[reporter_name]] &amp; "-" &amp; vw_scenario_analysis_dataset[[#This Row],[reference_year]]</f>
        <v>Bahrain-2015</v>
      </c>
    </row>
    <row r="168" spans="1:15" x14ac:dyDescent="0.3">
      <c r="A168" s="8" t="s">
        <v>50</v>
      </c>
      <c r="B168" s="8" t="s">
        <v>51</v>
      </c>
      <c r="C168" s="8">
        <v>2016</v>
      </c>
      <c r="D168" s="8">
        <v>21091777928.511002</v>
      </c>
      <c r="E168" s="8">
        <v>33884680851</v>
      </c>
      <c r="F168" s="8">
        <v>1423726</v>
      </c>
      <c r="G168" s="8">
        <v>3.8149932739999999</v>
      </c>
      <c r="H168" s="8">
        <v>132.82299789999999</v>
      </c>
      <c r="I168" s="8">
        <v>14814.49</v>
      </c>
      <c r="J168" s="8">
        <v>23800</v>
      </c>
      <c r="K168" s="8">
        <v>62.25</v>
      </c>
      <c r="L168" s="8">
        <v>78</v>
      </c>
      <c r="M168" s="8">
        <v>27764341337.101009</v>
      </c>
      <c r="N168" s="8">
        <v>-24.03</v>
      </c>
      <c r="O168" s="8" t="str">
        <f>vw_scenario_analysis_dataset[[#This Row],[reporter_name]] &amp; "-" &amp; vw_scenario_analysis_dataset[[#This Row],[reference_year]]</f>
        <v>Bahrain-2016</v>
      </c>
    </row>
    <row r="169" spans="1:15" x14ac:dyDescent="0.3">
      <c r="A169" s="8" t="s">
        <v>50</v>
      </c>
      <c r="B169" s="8" t="s">
        <v>51</v>
      </c>
      <c r="C169" s="8">
        <v>2017</v>
      </c>
      <c r="D169" s="8">
        <v>24970718453.988003</v>
      </c>
      <c r="E169" s="8">
        <v>37204813830</v>
      </c>
      <c r="F169" s="8">
        <v>1501116</v>
      </c>
      <c r="G169" s="8">
        <v>4.9538353409999996</v>
      </c>
      <c r="H169" s="8">
        <v>136.4292398</v>
      </c>
      <c r="I169" s="8">
        <v>16634.77</v>
      </c>
      <c r="J169" s="8">
        <v>24784.77</v>
      </c>
      <c r="K169" s="8">
        <v>67.12</v>
      </c>
      <c r="L169" s="8">
        <v>73</v>
      </c>
      <c r="M169" s="8">
        <v>21091777928.511002</v>
      </c>
      <c r="N169" s="8">
        <v>18.39</v>
      </c>
      <c r="O169" s="8" t="str">
        <f>vw_scenario_analysis_dataset[[#This Row],[reporter_name]] &amp; "-" &amp; vw_scenario_analysis_dataset[[#This Row],[reference_year]]</f>
        <v>Bahrain-2017</v>
      </c>
    </row>
    <row r="170" spans="1:15" x14ac:dyDescent="0.3">
      <c r="A170" s="8" t="s">
        <v>50</v>
      </c>
      <c r="B170" s="8" t="s">
        <v>51</v>
      </c>
      <c r="C170" s="8">
        <v>2018</v>
      </c>
      <c r="D170" s="8">
        <v>28695474988.337006</v>
      </c>
      <c r="E170" s="8">
        <v>39567978723</v>
      </c>
      <c r="F170" s="8">
        <v>1503091</v>
      </c>
      <c r="G170" s="8">
        <v>2.0525886500000001</v>
      </c>
      <c r="H170" s="8">
        <v>144.07537260000001</v>
      </c>
      <c r="I170" s="8">
        <v>19090.98</v>
      </c>
      <c r="J170" s="8">
        <v>26324.41</v>
      </c>
      <c r="K170" s="8">
        <v>72.52</v>
      </c>
      <c r="L170" s="8">
        <v>74</v>
      </c>
      <c r="M170" s="8">
        <v>24970718453.988003</v>
      </c>
      <c r="N170" s="8">
        <v>14.92</v>
      </c>
      <c r="O170" s="8" t="str">
        <f>vw_scenario_analysis_dataset[[#This Row],[reporter_name]] &amp; "-" &amp; vw_scenario_analysis_dataset[[#This Row],[reference_year]]</f>
        <v>Bahrain-2018</v>
      </c>
    </row>
    <row r="171" spans="1:15" x14ac:dyDescent="0.3">
      <c r="A171" s="8" t="s">
        <v>50</v>
      </c>
      <c r="B171" s="8" t="s">
        <v>51</v>
      </c>
      <c r="C171" s="8">
        <v>2019</v>
      </c>
      <c r="D171" s="8">
        <v>28334526270.146004</v>
      </c>
      <c r="E171" s="8">
        <v>40446808511</v>
      </c>
      <c r="F171" s="8">
        <v>1483756</v>
      </c>
      <c r="G171" s="8">
        <v>2.0528777439999999</v>
      </c>
      <c r="H171" s="8">
        <v>135.4175434</v>
      </c>
      <c r="I171" s="8">
        <v>19096.490000000002</v>
      </c>
      <c r="J171" s="8">
        <v>27259.74</v>
      </c>
      <c r="K171" s="8">
        <v>70.05</v>
      </c>
      <c r="L171" s="8">
        <v>74</v>
      </c>
      <c r="M171" s="8">
        <v>28695474988.337006</v>
      </c>
      <c r="N171" s="8">
        <v>-1.26</v>
      </c>
      <c r="O171" s="8" t="str">
        <f>vw_scenario_analysis_dataset[[#This Row],[reporter_name]] &amp; "-" &amp; vw_scenario_analysis_dataset[[#This Row],[reference_year]]</f>
        <v>Bahrain-2019</v>
      </c>
    </row>
    <row r="172" spans="1:15" x14ac:dyDescent="0.3">
      <c r="A172" s="8" t="s">
        <v>50</v>
      </c>
      <c r="B172" s="8" t="s">
        <v>51</v>
      </c>
      <c r="C172" s="8">
        <v>2020</v>
      </c>
      <c r="D172" s="8">
        <v>23118464886.099991</v>
      </c>
      <c r="E172" s="8">
        <v>35837632979</v>
      </c>
      <c r="F172" s="8">
        <v>1472204</v>
      </c>
      <c r="G172" s="8">
        <v>-5.9113629520000002</v>
      </c>
      <c r="H172" s="8">
        <v>135.46098499999999</v>
      </c>
      <c r="I172" s="8">
        <v>15703.3</v>
      </c>
      <c r="J172" s="8">
        <v>24342.84</v>
      </c>
      <c r="K172" s="8">
        <v>64.510000000000005</v>
      </c>
      <c r="L172" s="8">
        <v>75</v>
      </c>
      <c r="M172" s="8">
        <v>28334526270.146004</v>
      </c>
      <c r="N172" s="8">
        <v>-18.41</v>
      </c>
      <c r="O172" s="8" t="str">
        <f>vw_scenario_analysis_dataset[[#This Row],[reporter_name]] &amp; "-" &amp; vw_scenario_analysis_dataset[[#This Row],[reference_year]]</f>
        <v>Bahrain-2020</v>
      </c>
    </row>
    <row r="173" spans="1:15" x14ac:dyDescent="0.3">
      <c r="A173" s="8" t="s">
        <v>50</v>
      </c>
      <c r="B173" s="8" t="s">
        <v>51</v>
      </c>
      <c r="C173" s="8">
        <v>2021</v>
      </c>
      <c r="D173" s="8">
        <v>36397947599.988998</v>
      </c>
      <c r="E173" s="8">
        <v>40840212766</v>
      </c>
      <c r="F173" s="8">
        <v>1504365</v>
      </c>
      <c r="G173" s="8">
        <v>4.3500409170000003</v>
      </c>
      <c r="H173" s="8">
        <v>153.7993165</v>
      </c>
      <c r="I173" s="8">
        <v>24194.89</v>
      </c>
      <c r="J173" s="8">
        <v>27147.81</v>
      </c>
      <c r="K173" s="8">
        <v>89.12</v>
      </c>
      <c r="L173" s="8">
        <v>68</v>
      </c>
      <c r="M173" s="8">
        <v>23118464886.099991</v>
      </c>
      <c r="N173" s="8">
        <v>57.44</v>
      </c>
      <c r="O173" s="8" t="str">
        <f>vw_scenario_analysis_dataset[[#This Row],[reporter_name]] &amp; "-" &amp; vw_scenario_analysis_dataset[[#This Row],[reference_year]]</f>
        <v>Bahrain-2021</v>
      </c>
    </row>
    <row r="174" spans="1:15" x14ac:dyDescent="0.3">
      <c r="A174" s="8" t="s">
        <v>50</v>
      </c>
      <c r="B174" s="8" t="s">
        <v>51</v>
      </c>
      <c r="C174" s="8">
        <v>2022</v>
      </c>
      <c r="D174" s="8">
        <v>44504366578.53701</v>
      </c>
      <c r="E174" s="8">
        <v>46458191489</v>
      </c>
      <c r="F174" s="8">
        <v>1524693</v>
      </c>
      <c r="G174" s="8">
        <v>6.1801612549999998</v>
      </c>
      <c r="H174" s="8">
        <v>167.1412412</v>
      </c>
      <c r="I174" s="8">
        <v>29189.07</v>
      </c>
      <c r="J174" s="8">
        <v>30470.52</v>
      </c>
      <c r="K174" s="8">
        <v>95.79</v>
      </c>
      <c r="L174" s="8">
        <v>66</v>
      </c>
      <c r="M174" s="8">
        <v>36397947599.988998</v>
      </c>
      <c r="N174" s="8">
        <v>22.27</v>
      </c>
      <c r="O174" s="8" t="str">
        <f>vw_scenario_analysis_dataset[[#This Row],[reporter_name]] &amp; "-" &amp; vw_scenario_analysis_dataset[[#This Row],[reference_year]]</f>
        <v>Bahrain-2022</v>
      </c>
    </row>
    <row r="175" spans="1:15" x14ac:dyDescent="0.3">
      <c r="A175" s="8" t="s">
        <v>50</v>
      </c>
      <c r="B175" s="8" t="s">
        <v>51</v>
      </c>
      <c r="C175" s="8">
        <v>2023</v>
      </c>
      <c r="D175" s="8">
        <v>24813855518.866005</v>
      </c>
      <c r="E175" s="8">
        <v>46192260638</v>
      </c>
      <c r="F175" s="8">
        <v>1577059</v>
      </c>
      <c r="G175" s="8">
        <v>3.8781161480000002</v>
      </c>
      <c r="H175" s="8">
        <v>157.44785469999999</v>
      </c>
      <c r="I175" s="8">
        <v>15734.26</v>
      </c>
      <c r="J175" s="8">
        <v>29290.13</v>
      </c>
      <c r="K175" s="8">
        <v>53.72</v>
      </c>
      <c r="L175" s="8">
        <v>76</v>
      </c>
      <c r="M175" s="8">
        <v>44504366578.53701</v>
      </c>
      <c r="N175" s="8">
        <v>-44.24</v>
      </c>
      <c r="O175" s="8" t="str">
        <f>vw_scenario_analysis_dataset[[#This Row],[reporter_name]] &amp; "-" &amp; vw_scenario_analysis_dataset[[#This Row],[reference_year]]</f>
        <v>Bahrain-2023</v>
      </c>
    </row>
    <row r="176" spans="1:15" x14ac:dyDescent="0.3">
      <c r="A176" s="8" t="s">
        <v>50</v>
      </c>
      <c r="B176" s="8" t="s">
        <v>51</v>
      </c>
      <c r="C176" s="8">
        <v>2024</v>
      </c>
      <c r="D176" s="8">
        <v>24905450825.860996</v>
      </c>
      <c r="E176" s="8">
        <v>47210732713</v>
      </c>
      <c r="F176" s="8">
        <v>1588670</v>
      </c>
      <c r="G176" s="8">
        <v>2.897105432</v>
      </c>
      <c r="H176" s="8">
        <v>157.48086939999999</v>
      </c>
      <c r="I176" s="8">
        <v>15676.92</v>
      </c>
      <c r="J176" s="8">
        <v>29717.14</v>
      </c>
      <c r="K176" s="8">
        <v>52.75</v>
      </c>
      <c r="L176" s="8">
        <v>74</v>
      </c>
      <c r="M176" s="8">
        <v>24813855518.866005</v>
      </c>
      <c r="N176" s="8">
        <v>0.37</v>
      </c>
      <c r="O176" s="8" t="str">
        <f>vw_scenario_analysis_dataset[[#This Row],[reporter_name]] &amp; "-" &amp; vw_scenario_analysis_dataset[[#This Row],[reference_year]]</f>
        <v>Bahrain-2024</v>
      </c>
    </row>
    <row r="177" spans="1:15" x14ac:dyDescent="0.3">
      <c r="A177" s="8" t="s">
        <v>52</v>
      </c>
      <c r="B177" s="8" t="s">
        <v>53</v>
      </c>
      <c r="C177" s="8">
        <v>2015</v>
      </c>
      <c r="D177" s="8">
        <v>885562750</v>
      </c>
      <c r="E177" s="8">
        <v>11837600000</v>
      </c>
      <c r="F177" s="8">
        <v>385346</v>
      </c>
      <c r="G177" s="8">
        <v>0.99741167500000005</v>
      </c>
      <c r="H177" s="8">
        <v>69.677975270000005</v>
      </c>
      <c r="I177" s="8">
        <v>2298.1</v>
      </c>
      <c r="J177" s="8">
        <v>30719.41</v>
      </c>
      <c r="K177" s="8">
        <v>7.48</v>
      </c>
      <c r="L177" s="8">
        <v>143</v>
      </c>
      <c r="M177" s="8"/>
      <c r="N177" s="8"/>
      <c r="O177" s="8" t="str">
        <f>vw_scenario_analysis_dataset[[#This Row],[reporter_name]] &amp; "-" &amp; vw_scenario_analysis_dataset[[#This Row],[reference_year]]</f>
        <v>Bahamas-2015</v>
      </c>
    </row>
    <row r="178" spans="1:15" x14ac:dyDescent="0.3">
      <c r="A178" s="8" t="s">
        <v>52</v>
      </c>
      <c r="B178" s="8" t="s">
        <v>53</v>
      </c>
      <c r="C178" s="8">
        <v>2016</v>
      </c>
      <c r="D178" s="8">
        <v>805424844</v>
      </c>
      <c r="E178" s="8">
        <v>11880900000</v>
      </c>
      <c r="F178" s="8">
        <v>388055</v>
      </c>
      <c r="G178" s="8">
        <v>-1.1565081129999999</v>
      </c>
      <c r="H178" s="8">
        <v>67.21292158</v>
      </c>
      <c r="I178" s="8">
        <v>2075.54</v>
      </c>
      <c r="J178" s="8">
        <v>30616.54</v>
      </c>
      <c r="K178" s="8">
        <v>6.78</v>
      </c>
      <c r="L178" s="8">
        <v>147</v>
      </c>
      <c r="M178" s="8">
        <v>885562750</v>
      </c>
      <c r="N178" s="8">
        <v>-9.0500000000000007</v>
      </c>
      <c r="O178" s="8" t="str">
        <f>vw_scenario_analysis_dataset[[#This Row],[reporter_name]] &amp; "-" &amp; vw_scenario_analysis_dataset[[#This Row],[reference_year]]</f>
        <v>Bahamas-2016</v>
      </c>
    </row>
    <row r="179" spans="1:15" x14ac:dyDescent="0.3">
      <c r="A179" s="8" t="s">
        <v>52</v>
      </c>
      <c r="B179" s="8" t="s">
        <v>53</v>
      </c>
      <c r="C179" s="8">
        <v>2017</v>
      </c>
      <c r="D179" s="8">
        <v>946644554.26000011</v>
      </c>
      <c r="E179" s="8">
        <v>12446900000</v>
      </c>
      <c r="F179" s="8">
        <v>390485</v>
      </c>
      <c r="G179" s="8">
        <v>3.3713988459999999</v>
      </c>
      <c r="H179" s="8">
        <v>68.33428404</v>
      </c>
      <c r="I179" s="8">
        <v>2424.2800000000002</v>
      </c>
      <c r="J179" s="8">
        <v>31875.49</v>
      </c>
      <c r="K179" s="8">
        <v>7.61</v>
      </c>
      <c r="L179" s="8">
        <v>145</v>
      </c>
      <c r="M179" s="8">
        <v>805424844</v>
      </c>
      <c r="N179" s="8">
        <v>17.53</v>
      </c>
      <c r="O179" s="8" t="str">
        <f>vw_scenario_analysis_dataset[[#This Row],[reporter_name]] &amp; "-" &amp; vw_scenario_analysis_dataset[[#This Row],[reference_year]]</f>
        <v>Bahamas-2017</v>
      </c>
    </row>
    <row r="180" spans="1:15" x14ac:dyDescent="0.3">
      <c r="A180" s="8" t="s">
        <v>52</v>
      </c>
      <c r="B180" s="8" t="s">
        <v>53</v>
      </c>
      <c r="C180" s="8">
        <v>2018</v>
      </c>
      <c r="D180" s="8">
        <v>1048385844.4800003</v>
      </c>
      <c r="E180" s="8">
        <v>12819200000</v>
      </c>
      <c r="F180" s="8">
        <v>392717</v>
      </c>
      <c r="G180" s="8">
        <v>2.3979551080000001</v>
      </c>
      <c r="H180" s="8">
        <v>72.154268599999995</v>
      </c>
      <c r="I180" s="8">
        <v>2669.57</v>
      </c>
      <c r="J180" s="8">
        <v>32642.34</v>
      </c>
      <c r="K180" s="8">
        <v>8.18</v>
      </c>
      <c r="L180" s="8">
        <v>142</v>
      </c>
      <c r="M180" s="8">
        <v>946644554.26000011</v>
      </c>
      <c r="N180" s="8">
        <v>10.75</v>
      </c>
      <c r="O180" s="8" t="str">
        <f>vw_scenario_analysis_dataset[[#This Row],[reporter_name]] &amp; "-" &amp; vw_scenario_analysis_dataset[[#This Row],[reference_year]]</f>
        <v>Bahamas-2018</v>
      </c>
    </row>
    <row r="181" spans="1:15" x14ac:dyDescent="0.3">
      <c r="A181" s="8" t="s">
        <v>52</v>
      </c>
      <c r="B181" s="8" t="s">
        <v>53</v>
      </c>
      <c r="C181" s="8">
        <v>2019</v>
      </c>
      <c r="D181" s="8">
        <v>1074537119.6159997</v>
      </c>
      <c r="E181" s="8">
        <v>13277000000</v>
      </c>
      <c r="F181" s="8">
        <v>394675</v>
      </c>
      <c r="G181" s="8">
        <v>-0.83858587100000004</v>
      </c>
      <c r="H181" s="8">
        <v>68.786623480000003</v>
      </c>
      <c r="I181" s="8">
        <v>2722.59</v>
      </c>
      <c r="J181" s="8">
        <v>33640.339999999997</v>
      </c>
      <c r="K181" s="8">
        <v>8.09</v>
      </c>
      <c r="L181" s="8">
        <v>140</v>
      </c>
      <c r="M181" s="8">
        <v>1048385844.4800003</v>
      </c>
      <c r="N181" s="8">
        <v>2.4900000000000002</v>
      </c>
      <c r="O181" s="8" t="str">
        <f>vw_scenario_analysis_dataset[[#This Row],[reporter_name]] &amp; "-" &amp; vw_scenario_analysis_dataset[[#This Row],[reference_year]]</f>
        <v>Bahamas-2019</v>
      </c>
    </row>
    <row r="182" spans="1:15" x14ac:dyDescent="0.3">
      <c r="A182" s="8" t="s">
        <v>52</v>
      </c>
      <c r="B182" s="8" t="s">
        <v>53</v>
      </c>
      <c r="C182" s="8">
        <v>2020</v>
      </c>
      <c r="D182" s="8">
        <v>678519692</v>
      </c>
      <c r="E182" s="8">
        <v>10363200000</v>
      </c>
      <c r="F182" s="8">
        <v>395863</v>
      </c>
      <c r="G182" s="8">
        <v>-20.08936649</v>
      </c>
      <c r="H182" s="8">
        <v>53.420758069999998</v>
      </c>
      <c r="I182" s="8">
        <v>1714.03</v>
      </c>
      <c r="J182" s="8">
        <v>26178.75</v>
      </c>
      <c r="K182" s="8">
        <v>6.55</v>
      </c>
      <c r="L182" s="8">
        <v>140</v>
      </c>
      <c r="M182" s="8">
        <v>1074537119.6159997</v>
      </c>
      <c r="N182" s="8">
        <v>-36.85</v>
      </c>
      <c r="O182" s="8" t="str">
        <f>vw_scenario_analysis_dataset[[#This Row],[reporter_name]] &amp; "-" &amp; vw_scenario_analysis_dataset[[#This Row],[reference_year]]</f>
        <v>Bahamas-2020</v>
      </c>
    </row>
    <row r="183" spans="1:15" x14ac:dyDescent="0.3">
      <c r="A183" s="8" t="s">
        <v>52</v>
      </c>
      <c r="B183" s="8" t="s">
        <v>53</v>
      </c>
      <c r="C183" s="8">
        <v>2021</v>
      </c>
      <c r="D183" s="8">
        <v>1086847568</v>
      </c>
      <c r="E183" s="8">
        <v>12037000000</v>
      </c>
      <c r="F183" s="8">
        <v>396373</v>
      </c>
      <c r="G183" s="8">
        <v>17.586138999999999</v>
      </c>
      <c r="H183" s="8">
        <v>65.932541330000006</v>
      </c>
      <c r="I183" s="8">
        <v>2741.98</v>
      </c>
      <c r="J183" s="8">
        <v>30367.86</v>
      </c>
      <c r="K183" s="8">
        <v>9.0299999999999994</v>
      </c>
      <c r="L183" s="8">
        <v>139</v>
      </c>
      <c r="M183" s="8">
        <v>678519692</v>
      </c>
      <c r="N183" s="8">
        <v>60.18</v>
      </c>
      <c r="O183" s="8" t="str">
        <f>vw_scenario_analysis_dataset[[#This Row],[reporter_name]] &amp; "-" &amp; vw_scenario_analysis_dataset[[#This Row],[reference_year]]</f>
        <v>Bahamas-2021</v>
      </c>
    </row>
    <row r="184" spans="1:15" x14ac:dyDescent="0.3">
      <c r="A184" s="8" t="s">
        <v>52</v>
      </c>
      <c r="B184" s="8" t="s">
        <v>53</v>
      </c>
      <c r="C184" s="8">
        <v>2022</v>
      </c>
      <c r="D184" s="8">
        <v>1148473024</v>
      </c>
      <c r="E184" s="8">
        <v>13896800000</v>
      </c>
      <c r="F184" s="8">
        <v>397538</v>
      </c>
      <c r="G184" s="8">
        <v>10.87790094</v>
      </c>
      <c r="H184" s="8">
        <v>75.982960109999993</v>
      </c>
      <c r="I184" s="8">
        <v>2888.96</v>
      </c>
      <c r="J184" s="8">
        <v>34957.160000000003</v>
      </c>
      <c r="K184" s="8">
        <v>8.26</v>
      </c>
      <c r="L184" s="8">
        <v>136</v>
      </c>
      <c r="M184" s="8">
        <v>1086847568</v>
      </c>
      <c r="N184" s="8">
        <v>5.67</v>
      </c>
      <c r="O184" s="8" t="str">
        <f>vw_scenario_analysis_dataset[[#This Row],[reporter_name]] &amp; "-" &amp; vw_scenario_analysis_dataset[[#This Row],[reference_year]]</f>
        <v>Bahamas-2022</v>
      </c>
    </row>
    <row r="185" spans="1:15" x14ac:dyDescent="0.3">
      <c r="A185" s="8" t="s">
        <v>52</v>
      </c>
      <c r="B185" s="8" t="s">
        <v>53</v>
      </c>
      <c r="C185" s="8">
        <v>2023</v>
      </c>
      <c r="D185" s="8">
        <v>1401203162</v>
      </c>
      <c r="E185" s="8">
        <v>15271300000</v>
      </c>
      <c r="F185" s="8">
        <v>399440</v>
      </c>
      <c r="G185" s="8">
        <v>3.0482418060000001</v>
      </c>
      <c r="H185" s="8">
        <v>76.54947516</v>
      </c>
      <c r="I185" s="8">
        <v>3507.92</v>
      </c>
      <c r="J185" s="8">
        <v>38231.769999999997</v>
      </c>
      <c r="K185" s="8">
        <v>9.18</v>
      </c>
      <c r="L185" s="8">
        <v>132</v>
      </c>
      <c r="M185" s="8">
        <v>1148473024</v>
      </c>
      <c r="N185" s="8">
        <v>22.01</v>
      </c>
      <c r="O185" s="8" t="str">
        <f>vw_scenario_analysis_dataset[[#This Row],[reporter_name]] &amp; "-" &amp; vw_scenario_analysis_dataset[[#This Row],[reference_year]]</f>
        <v>Bahamas-2023</v>
      </c>
    </row>
    <row r="186" spans="1:15" x14ac:dyDescent="0.3">
      <c r="A186" s="8" t="s">
        <v>52</v>
      </c>
      <c r="B186" s="8" t="s">
        <v>53</v>
      </c>
      <c r="C186" s="8">
        <v>2024</v>
      </c>
      <c r="D186" s="8">
        <v>1888653136</v>
      </c>
      <c r="E186" s="8">
        <v>15832800000</v>
      </c>
      <c r="F186" s="8">
        <v>401283</v>
      </c>
      <c r="G186" s="8">
        <v>3.3786655329999999</v>
      </c>
      <c r="H186" s="8">
        <v>79.242458690000007</v>
      </c>
      <c r="I186" s="8">
        <v>4706.54</v>
      </c>
      <c r="J186" s="8">
        <v>39455.449999999997</v>
      </c>
      <c r="K186" s="8">
        <v>11.93</v>
      </c>
      <c r="L186" s="8">
        <v>116</v>
      </c>
      <c r="M186" s="8">
        <v>1401203162</v>
      </c>
      <c r="N186" s="8">
        <v>34.79</v>
      </c>
      <c r="O186" s="8" t="str">
        <f>vw_scenario_analysis_dataset[[#This Row],[reporter_name]] &amp; "-" &amp; vw_scenario_analysis_dataset[[#This Row],[reference_year]]</f>
        <v>Bahamas-2024</v>
      </c>
    </row>
    <row r="187" spans="1:15" x14ac:dyDescent="0.3">
      <c r="A187" s="8" t="s">
        <v>54</v>
      </c>
      <c r="B187" s="8" t="s">
        <v>55</v>
      </c>
      <c r="C187" s="8">
        <v>2015</v>
      </c>
      <c r="D187" s="8">
        <v>10198371528</v>
      </c>
      <c r="E187" s="8">
        <v>16404348361</v>
      </c>
      <c r="F187" s="8">
        <v>3518541</v>
      </c>
      <c r="G187" s="8">
        <v>4.2841301610000002</v>
      </c>
      <c r="H187" s="8">
        <v>88.291992590000007</v>
      </c>
      <c r="I187" s="8">
        <v>2898.47</v>
      </c>
      <c r="J187" s="8">
        <v>4662.26</v>
      </c>
      <c r="K187" s="8">
        <v>62.17</v>
      </c>
      <c r="L187" s="8">
        <v>96</v>
      </c>
      <c r="M187" s="8"/>
      <c r="N187" s="8"/>
      <c r="O187" s="8" t="str">
        <f>vw_scenario_analysis_dataset[[#This Row],[reporter_name]] &amp; "-" &amp; vw_scenario_analysis_dataset[[#This Row],[reference_year]]</f>
        <v>Bosnia Herzegovina-2015</v>
      </c>
    </row>
    <row r="188" spans="1:15" x14ac:dyDescent="0.3">
      <c r="A188" s="8" t="s">
        <v>54</v>
      </c>
      <c r="B188" s="8" t="s">
        <v>55</v>
      </c>
      <c r="C188" s="8">
        <v>2016</v>
      </c>
      <c r="D188" s="8">
        <v>10655156678</v>
      </c>
      <c r="E188" s="8">
        <v>17116926554</v>
      </c>
      <c r="F188" s="8">
        <v>3473003</v>
      </c>
      <c r="G188" s="8">
        <v>3.2422582219999998</v>
      </c>
      <c r="H188" s="8">
        <v>88.244033999999999</v>
      </c>
      <c r="I188" s="8">
        <v>3068</v>
      </c>
      <c r="J188" s="8">
        <v>4928.57</v>
      </c>
      <c r="K188" s="8">
        <v>62.25</v>
      </c>
      <c r="L188" s="8">
        <v>94</v>
      </c>
      <c r="M188" s="8">
        <v>10198371528</v>
      </c>
      <c r="N188" s="8">
        <v>4.4800000000000004</v>
      </c>
      <c r="O188" s="8" t="str">
        <f>vw_scenario_analysis_dataset[[#This Row],[reporter_name]] &amp; "-" &amp; vw_scenario_analysis_dataset[[#This Row],[reference_year]]</f>
        <v>Bosnia Herzegovina-2016</v>
      </c>
    </row>
    <row r="189" spans="1:15" x14ac:dyDescent="0.3">
      <c r="A189" s="8" t="s">
        <v>54</v>
      </c>
      <c r="B189" s="8" t="s">
        <v>55</v>
      </c>
      <c r="C189" s="8">
        <v>2017</v>
      </c>
      <c r="D189" s="8">
        <v>12735844543.119995</v>
      </c>
      <c r="E189" s="8">
        <v>18326373136</v>
      </c>
      <c r="F189" s="8">
        <v>3428682</v>
      </c>
      <c r="G189" s="8">
        <v>3.244098953</v>
      </c>
      <c r="H189" s="8">
        <v>96.645880360000007</v>
      </c>
      <c r="I189" s="8">
        <v>3714.5</v>
      </c>
      <c r="J189" s="8">
        <v>5345.02</v>
      </c>
      <c r="K189" s="8">
        <v>69.489999999999995</v>
      </c>
      <c r="L189" s="8">
        <v>90</v>
      </c>
      <c r="M189" s="8">
        <v>10655156678</v>
      </c>
      <c r="N189" s="8">
        <v>19.53</v>
      </c>
      <c r="O189" s="8" t="str">
        <f>vw_scenario_analysis_dataset[[#This Row],[reporter_name]] &amp; "-" &amp; vw_scenario_analysis_dataset[[#This Row],[reference_year]]</f>
        <v>Bosnia Herzegovina-2017</v>
      </c>
    </row>
    <row r="190" spans="1:15" x14ac:dyDescent="0.3">
      <c r="A190" s="8" t="s">
        <v>54</v>
      </c>
      <c r="B190" s="8" t="s">
        <v>55</v>
      </c>
      <c r="C190" s="8">
        <v>2018</v>
      </c>
      <c r="D190" s="8">
        <v>14364192635.540005</v>
      </c>
      <c r="E190" s="8">
        <v>20484058033</v>
      </c>
      <c r="F190" s="8">
        <v>3387000</v>
      </c>
      <c r="G190" s="8">
        <v>3.8290039930000002</v>
      </c>
      <c r="H190" s="8">
        <v>98.432069420000005</v>
      </c>
      <c r="I190" s="8">
        <v>4240.9799999999996</v>
      </c>
      <c r="J190" s="8">
        <v>6047.85</v>
      </c>
      <c r="K190" s="8">
        <v>70.12</v>
      </c>
      <c r="L190" s="8">
        <v>90</v>
      </c>
      <c r="M190" s="8">
        <v>12735844543.119995</v>
      </c>
      <c r="N190" s="8">
        <v>12.79</v>
      </c>
      <c r="O190" s="8" t="str">
        <f>vw_scenario_analysis_dataset[[#This Row],[reporter_name]] &amp; "-" &amp; vw_scenario_analysis_dataset[[#This Row],[reference_year]]</f>
        <v>Bosnia Herzegovina-2018</v>
      </c>
    </row>
    <row r="191" spans="1:15" x14ac:dyDescent="0.3">
      <c r="A191" s="8" t="s">
        <v>54</v>
      </c>
      <c r="B191" s="8" t="s">
        <v>55</v>
      </c>
      <c r="C191" s="8">
        <v>2019</v>
      </c>
      <c r="D191" s="8">
        <v>13156487804.470993</v>
      </c>
      <c r="E191" s="8">
        <v>20482608984</v>
      </c>
      <c r="F191" s="8">
        <v>3345533</v>
      </c>
      <c r="G191" s="8">
        <v>2.8858524210000001</v>
      </c>
      <c r="H191" s="8">
        <v>94.516125149999993</v>
      </c>
      <c r="I191" s="8">
        <v>3932.55</v>
      </c>
      <c r="J191" s="8">
        <v>6122.38</v>
      </c>
      <c r="K191" s="8">
        <v>64.23</v>
      </c>
      <c r="L191" s="8">
        <v>92</v>
      </c>
      <c r="M191" s="8">
        <v>14364192635.540005</v>
      </c>
      <c r="N191" s="8">
        <v>-8.41</v>
      </c>
      <c r="O191" s="8" t="str">
        <f>vw_scenario_analysis_dataset[[#This Row],[reporter_name]] &amp; "-" &amp; vw_scenario_analysis_dataset[[#This Row],[reference_year]]</f>
        <v>Bosnia Herzegovina-2019</v>
      </c>
    </row>
    <row r="192" spans="1:15" x14ac:dyDescent="0.3">
      <c r="A192" s="8" t="s">
        <v>54</v>
      </c>
      <c r="B192" s="8" t="s">
        <v>55</v>
      </c>
      <c r="C192" s="8">
        <v>2020</v>
      </c>
      <c r="D192" s="8">
        <v>12305025075.990999</v>
      </c>
      <c r="E192" s="8">
        <v>20226038370</v>
      </c>
      <c r="F192" s="8">
        <v>3299349</v>
      </c>
      <c r="G192" s="8">
        <v>-3.0150933549999999</v>
      </c>
      <c r="H192" s="8">
        <v>82.521646799999999</v>
      </c>
      <c r="I192" s="8">
        <v>3729.53</v>
      </c>
      <c r="J192" s="8">
        <v>6130.31</v>
      </c>
      <c r="K192" s="8">
        <v>60.84</v>
      </c>
      <c r="L192" s="8">
        <v>89</v>
      </c>
      <c r="M192" s="8">
        <v>13156487804.470993</v>
      </c>
      <c r="N192" s="8">
        <v>-6.47</v>
      </c>
      <c r="O192" s="8" t="str">
        <f>vw_scenario_analysis_dataset[[#This Row],[reporter_name]] &amp; "-" &amp; vw_scenario_analysis_dataset[[#This Row],[reference_year]]</f>
        <v>Bosnia Herzegovina-2020</v>
      </c>
    </row>
    <row r="193" spans="1:15" x14ac:dyDescent="0.3">
      <c r="A193" s="8" t="s">
        <v>54</v>
      </c>
      <c r="B193" s="8" t="s">
        <v>55</v>
      </c>
      <c r="C193" s="8">
        <v>2021</v>
      </c>
      <c r="D193" s="8">
        <v>17228220021.731998</v>
      </c>
      <c r="E193" s="8">
        <v>23672712121</v>
      </c>
      <c r="F193" s="8">
        <v>3244907</v>
      </c>
      <c r="G193" s="8">
        <v>7.3916425649999997</v>
      </c>
      <c r="H193" s="8">
        <v>96.739114439999994</v>
      </c>
      <c r="I193" s="8">
        <v>5309.31</v>
      </c>
      <c r="J193" s="8">
        <v>7295.34</v>
      </c>
      <c r="K193" s="8">
        <v>72.78</v>
      </c>
      <c r="L193" s="8">
        <v>89</v>
      </c>
      <c r="M193" s="8">
        <v>12305025075.990999</v>
      </c>
      <c r="N193" s="8">
        <v>40.01</v>
      </c>
      <c r="O193" s="8" t="str">
        <f>vw_scenario_analysis_dataset[[#This Row],[reporter_name]] &amp; "-" &amp; vw_scenario_analysis_dataset[[#This Row],[reference_year]]</f>
        <v>Bosnia Herzegovina-2021</v>
      </c>
    </row>
    <row r="194" spans="1:15" x14ac:dyDescent="0.3">
      <c r="A194" s="8" t="s">
        <v>54</v>
      </c>
      <c r="B194" s="8" t="s">
        <v>55</v>
      </c>
      <c r="C194" s="8">
        <v>2022</v>
      </c>
      <c r="D194" s="8">
        <v>19356304739.541992</v>
      </c>
      <c r="E194" s="8">
        <v>24534663636</v>
      </c>
      <c r="F194" s="8">
        <v>3204802</v>
      </c>
      <c r="G194" s="8">
        <v>4.226813334</v>
      </c>
      <c r="H194" s="8">
        <v>110.2052837</v>
      </c>
      <c r="I194" s="8">
        <v>6039.78</v>
      </c>
      <c r="J194" s="8">
        <v>7655.59</v>
      </c>
      <c r="K194" s="8">
        <v>78.89</v>
      </c>
      <c r="L194" s="8">
        <v>88</v>
      </c>
      <c r="M194" s="8">
        <v>17228220021.731998</v>
      </c>
      <c r="N194" s="8">
        <v>12.35</v>
      </c>
      <c r="O194" s="8" t="str">
        <f>vw_scenario_analysis_dataset[[#This Row],[reporter_name]] &amp; "-" &amp; vw_scenario_analysis_dataset[[#This Row],[reference_year]]</f>
        <v>Bosnia Herzegovina-2022</v>
      </c>
    </row>
    <row r="195" spans="1:15" x14ac:dyDescent="0.3">
      <c r="A195" s="8" t="s">
        <v>54</v>
      </c>
      <c r="B195" s="8" t="s">
        <v>55</v>
      </c>
      <c r="C195" s="8">
        <v>2023</v>
      </c>
      <c r="D195" s="8">
        <v>18456371700.370998</v>
      </c>
      <c r="E195" s="8">
        <v>27592361498</v>
      </c>
      <c r="F195" s="8">
        <v>3185073</v>
      </c>
      <c r="G195" s="8">
        <v>1.9943941489999999</v>
      </c>
      <c r="H195" s="8">
        <v>99.633031799999998</v>
      </c>
      <c r="I195" s="8">
        <v>5794.65</v>
      </c>
      <c r="J195" s="8">
        <v>8663.02</v>
      </c>
      <c r="K195" s="8">
        <v>66.89</v>
      </c>
      <c r="L195" s="8">
        <v>86</v>
      </c>
      <c r="M195" s="8">
        <v>19356304739.541992</v>
      </c>
      <c r="N195" s="8">
        <v>-4.6500000000000004</v>
      </c>
      <c r="O195" s="8" t="str">
        <f>vw_scenario_analysis_dataset[[#This Row],[reporter_name]] &amp; "-" &amp; vw_scenario_analysis_dataset[[#This Row],[reference_year]]</f>
        <v>Bosnia Herzegovina-2023</v>
      </c>
    </row>
    <row r="196" spans="1:15" x14ac:dyDescent="0.3">
      <c r="A196" s="8" t="s">
        <v>54</v>
      </c>
      <c r="B196" s="8" t="s">
        <v>55</v>
      </c>
      <c r="C196" s="8">
        <v>2024</v>
      </c>
      <c r="D196" s="8">
        <v>17787713859.841995</v>
      </c>
      <c r="E196" s="8">
        <v>29737363103</v>
      </c>
      <c r="F196" s="8">
        <v>3164253</v>
      </c>
      <c r="G196" s="8">
        <v>3.2267997980000001</v>
      </c>
      <c r="H196" s="8">
        <v>94.760177850000005</v>
      </c>
      <c r="I196" s="8">
        <v>5621.46</v>
      </c>
      <c r="J196" s="8">
        <v>9397.91</v>
      </c>
      <c r="K196" s="8">
        <v>59.82</v>
      </c>
      <c r="L196" s="8">
        <v>81</v>
      </c>
      <c r="M196" s="8">
        <v>18456371700.370998</v>
      </c>
      <c r="N196" s="8">
        <v>-3.62</v>
      </c>
      <c r="O196" s="8" t="str">
        <f>vw_scenario_analysis_dataset[[#This Row],[reporter_name]] &amp; "-" &amp; vw_scenario_analysis_dataset[[#This Row],[reference_year]]</f>
        <v>Bosnia Herzegovina-2024</v>
      </c>
    </row>
    <row r="197" spans="1:15" x14ac:dyDescent="0.3">
      <c r="A197" s="8" t="s">
        <v>56</v>
      </c>
      <c r="B197" s="8" t="s">
        <v>57</v>
      </c>
      <c r="C197" s="8">
        <v>2015</v>
      </c>
      <c r="D197" s="8">
        <v>53320789200</v>
      </c>
      <c r="E197" s="8">
        <v>56454769845</v>
      </c>
      <c r="F197" s="8">
        <v>9461076</v>
      </c>
      <c r="G197" s="8">
        <v>-3.8295705679999998</v>
      </c>
      <c r="H197" s="8">
        <v>115.91482619999999</v>
      </c>
      <c r="I197" s="8">
        <v>5635.81</v>
      </c>
      <c r="J197" s="8">
        <v>5967.06</v>
      </c>
      <c r="K197" s="8">
        <v>94.45</v>
      </c>
      <c r="L197" s="8">
        <v>57</v>
      </c>
      <c r="M197" s="8"/>
      <c r="N197" s="8"/>
      <c r="O197" s="8" t="str">
        <f>vw_scenario_analysis_dataset[[#This Row],[reporter_name]] &amp; "-" &amp; vw_scenario_analysis_dataset[[#This Row],[reference_year]]</f>
        <v>Belarus-2015</v>
      </c>
    </row>
    <row r="198" spans="1:15" x14ac:dyDescent="0.3">
      <c r="A198" s="8" t="s">
        <v>56</v>
      </c>
      <c r="B198" s="8" t="s">
        <v>57</v>
      </c>
      <c r="C198" s="8">
        <v>2016</v>
      </c>
      <c r="D198" s="8">
        <v>47074709000</v>
      </c>
      <c r="E198" s="8">
        <v>47723545321</v>
      </c>
      <c r="F198" s="8">
        <v>9469379</v>
      </c>
      <c r="G198" s="8">
        <v>-2.526446446</v>
      </c>
      <c r="H198" s="8">
        <v>125.2093229</v>
      </c>
      <c r="I198" s="8">
        <v>4971.26</v>
      </c>
      <c r="J198" s="8">
        <v>5039.78</v>
      </c>
      <c r="K198" s="8">
        <v>98.64</v>
      </c>
      <c r="L198" s="8">
        <v>60</v>
      </c>
      <c r="M198" s="8">
        <v>53320789200</v>
      </c>
      <c r="N198" s="8">
        <v>-11.71</v>
      </c>
      <c r="O198" s="8" t="str">
        <f>vw_scenario_analysis_dataset[[#This Row],[reporter_name]] &amp; "-" &amp; vw_scenario_analysis_dataset[[#This Row],[reference_year]]</f>
        <v>Belarus-2016</v>
      </c>
    </row>
    <row r="199" spans="1:15" x14ac:dyDescent="0.3">
      <c r="A199" s="8" t="s">
        <v>56</v>
      </c>
      <c r="B199" s="8" t="s">
        <v>57</v>
      </c>
      <c r="C199" s="8">
        <v>2017</v>
      </c>
      <c r="D199" s="8">
        <v>58479987800</v>
      </c>
      <c r="E199" s="8">
        <v>54725405751</v>
      </c>
      <c r="F199" s="8">
        <v>9458989</v>
      </c>
      <c r="G199" s="8">
        <v>2.532183495</v>
      </c>
      <c r="H199" s="8">
        <v>133.36775470000001</v>
      </c>
      <c r="I199" s="8">
        <v>6182.48</v>
      </c>
      <c r="J199" s="8">
        <v>5785.54</v>
      </c>
      <c r="K199" s="8">
        <v>106.86</v>
      </c>
      <c r="L199" s="8">
        <v>59</v>
      </c>
      <c r="M199" s="8">
        <v>47074709000</v>
      </c>
      <c r="N199" s="8">
        <v>24.23</v>
      </c>
      <c r="O199" s="8" t="str">
        <f>vw_scenario_analysis_dataset[[#This Row],[reporter_name]] &amp; "-" &amp; vw_scenario_analysis_dataset[[#This Row],[reference_year]]</f>
        <v>Belarus-2017</v>
      </c>
    </row>
    <row r="200" spans="1:15" x14ac:dyDescent="0.3">
      <c r="A200" s="8" t="s">
        <v>56</v>
      </c>
      <c r="B200" s="8" t="s">
        <v>57</v>
      </c>
      <c r="C200" s="8">
        <v>2018</v>
      </c>
      <c r="D200" s="8">
        <v>67452282800</v>
      </c>
      <c r="E200" s="8">
        <v>60031026576</v>
      </c>
      <c r="F200" s="8">
        <v>9438785</v>
      </c>
      <c r="G200" s="8">
        <v>3.1491975829999999</v>
      </c>
      <c r="H200" s="8">
        <v>139.3937363</v>
      </c>
      <c r="I200" s="8">
        <v>7146.29</v>
      </c>
      <c r="J200" s="8">
        <v>6360.04</v>
      </c>
      <c r="K200" s="8">
        <v>112.36</v>
      </c>
      <c r="L200" s="8">
        <v>57</v>
      </c>
      <c r="M200" s="8">
        <v>58479987800</v>
      </c>
      <c r="N200" s="8">
        <v>15.34</v>
      </c>
      <c r="O200" s="8" t="str">
        <f>vw_scenario_analysis_dataset[[#This Row],[reporter_name]] &amp; "-" &amp; vw_scenario_analysis_dataset[[#This Row],[reference_year]]</f>
        <v>Belarus-2018</v>
      </c>
    </row>
    <row r="201" spans="1:15" x14ac:dyDescent="0.3">
      <c r="A201" s="8" t="s">
        <v>56</v>
      </c>
      <c r="B201" s="8" t="s">
        <v>57</v>
      </c>
      <c r="C201" s="8">
        <v>2019</v>
      </c>
      <c r="D201" s="8">
        <v>65910244800</v>
      </c>
      <c r="E201" s="8">
        <v>64410170653</v>
      </c>
      <c r="F201" s="8">
        <v>9419758</v>
      </c>
      <c r="G201" s="8">
        <v>1.446455482</v>
      </c>
      <c r="H201" s="8">
        <v>130.85040609999999</v>
      </c>
      <c r="I201" s="8">
        <v>6997.02</v>
      </c>
      <c r="J201" s="8">
        <v>6837.77</v>
      </c>
      <c r="K201" s="8">
        <v>102.33</v>
      </c>
      <c r="L201" s="8">
        <v>57</v>
      </c>
      <c r="M201" s="8">
        <v>67452282800</v>
      </c>
      <c r="N201" s="8">
        <v>-2.29</v>
      </c>
      <c r="O201" s="8" t="str">
        <f>vw_scenario_analysis_dataset[[#This Row],[reporter_name]] &amp; "-" &amp; vw_scenario_analysis_dataset[[#This Row],[reference_year]]</f>
        <v>Belarus-2019</v>
      </c>
    </row>
    <row r="202" spans="1:15" x14ac:dyDescent="0.3">
      <c r="A202" s="8" t="s">
        <v>56</v>
      </c>
      <c r="B202" s="8" t="s">
        <v>57</v>
      </c>
      <c r="C202" s="8">
        <v>2020</v>
      </c>
      <c r="D202" s="8">
        <v>58358882000</v>
      </c>
      <c r="E202" s="8">
        <v>61371673345</v>
      </c>
      <c r="F202" s="8">
        <v>9379952</v>
      </c>
      <c r="G202" s="8">
        <v>-0.67274291900000005</v>
      </c>
      <c r="H202" s="8">
        <v>118.9341761</v>
      </c>
      <c r="I202" s="8">
        <v>6221.66</v>
      </c>
      <c r="J202" s="8">
        <v>6542.86</v>
      </c>
      <c r="K202" s="8">
        <v>95.09</v>
      </c>
      <c r="L202" s="8">
        <v>57</v>
      </c>
      <c r="M202" s="8">
        <v>65910244800</v>
      </c>
      <c r="N202" s="8">
        <v>-11.46</v>
      </c>
      <c r="O202" s="8" t="str">
        <f>vw_scenario_analysis_dataset[[#This Row],[reporter_name]] &amp; "-" &amp; vw_scenario_analysis_dataset[[#This Row],[reference_year]]</f>
        <v>Belarus-2020</v>
      </c>
    </row>
    <row r="203" spans="1:15" x14ac:dyDescent="0.3">
      <c r="A203" s="8" t="s">
        <v>56</v>
      </c>
      <c r="B203" s="8" t="s">
        <v>57</v>
      </c>
      <c r="C203" s="8">
        <v>2021</v>
      </c>
      <c r="D203" s="8">
        <v>79778045600</v>
      </c>
      <c r="E203" s="8">
        <v>69673747132</v>
      </c>
      <c r="F203" s="8">
        <v>9302585</v>
      </c>
      <c r="G203" s="8">
        <v>2.4388621019999999</v>
      </c>
      <c r="H203" s="8">
        <v>136.01416789999999</v>
      </c>
      <c r="I203" s="8">
        <v>8575.9</v>
      </c>
      <c r="J203" s="8">
        <v>7489.72</v>
      </c>
      <c r="K203" s="8">
        <v>114.5</v>
      </c>
      <c r="L203" s="8">
        <v>57</v>
      </c>
      <c r="M203" s="8">
        <v>58358882000</v>
      </c>
      <c r="N203" s="8">
        <v>36.700000000000003</v>
      </c>
      <c r="O203" s="8" t="str">
        <f>vw_scenario_analysis_dataset[[#This Row],[reporter_name]] &amp; "-" &amp; vw_scenario_analysis_dataset[[#This Row],[reference_year]]</f>
        <v>Belarus-2021</v>
      </c>
    </row>
    <row r="204" spans="1:15" x14ac:dyDescent="0.3">
      <c r="A204" s="8" t="s">
        <v>58</v>
      </c>
      <c r="B204" s="8" t="s">
        <v>59</v>
      </c>
      <c r="C204" s="8">
        <v>2015</v>
      </c>
      <c r="D204" s="8">
        <v>627790370</v>
      </c>
      <c r="E204" s="8">
        <v>2193095150</v>
      </c>
      <c r="F204" s="8">
        <v>356333</v>
      </c>
      <c r="G204" s="8">
        <v>2.7602602740000002</v>
      </c>
      <c r="H204" s="8">
        <v>104.0709588</v>
      </c>
      <c r="I204" s="8">
        <v>1761.81</v>
      </c>
      <c r="J204" s="8">
        <v>6154.62</v>
      </c>
      <c r="K204" s="8">
        <v>28.63</v>
      </c>
      <c r="L204" s="8">
        <v>148</v>
      </c>
      <c r="M204" s="8"/>
      <c r="N204" s="8"/>
      <c r="O204" s="8" t="str">
        <f>vw_scenario_analysis_dataset[[#This Row],[reporter_name]] &amp; "-" &amp; vw_scenario_analysis_dataset[[#This Row],[reference_year]]</f>
        <v>Belize-2015</v>
      </c>
    </row>
    <row r="205" spans="1:15" x14ac:dyDescent="0.3">
      <c r="A205" s="8" t="s">
        <v>58</v>
      </c>
      <c r="B205" s="8" t="s">
        <v>59</v>
      </c>
      <c r="C205" s="8">
        <v>2016</v>
      </c>
      <c r="D205" s="8">
        <v>492325257</v>
      </c>
      <c r="E205" s="8">
        <v>2239604950</v>
      </c>
      <c r="F205" s="8">
        <v>364705</v>
      </c>
      <c r="G205" s="8">
        <v>-1.8741496E-2</v>
      </c>
      <c r="H205" s="8">
        <v>96.499835829999995</v>
      </c>
      <c r="I205" s="8">
        <v>1349.93</v>
      </c>
      <c r="J205" s="8">
        <v>6140.87</v>
      </c>
      <c r="K205" s="8">
        <v>21.98</v>
      </c>
      <c r="L205" s="8">
        <v>151</v>
      </c>
      <c r="M205" s="8">
        <v>627790370</v>
      </c>
      <c r="N205" s="8">
        <v>-21.58</v>
      </c>
      <c r="O205" s="8" t="str">
        <f>vw_scenario_analysis_dataset[[#This Row],[reporter_name]] &amp; "-" &amp; vw_scenario_analysis_dataset[[#This Row],[reference_year]]</f>
        <v>Belize-2016</v>
      </c>
    </row>
    <row r="206" spans="1:15" x14ac:dyDescent="0.3">
      <c r="A206" s="8" t="s">
        <v>58</v>
      </c>
      <c r="B206" s="8" t="s">
        <v>59</v>
      </c>
      <c r="C206" s="8">
        <v>2017</v>
      </c>
      <c r="D206" s="8">
        <v>555169920.13</v>
      </c>
      <c r="E206" s="8">
        <v>2266028250</v>
      </c>
      <c r="F206" s="8">
        <v>373202</v>
      </c>
      <c r="G206" s="8">
        <v>-1.8332372910000001</v>
      </c>
      <c r="H206" s="8">
        <v>97.707257179999999</v>
      </c>
      <c r="I206" s="8">
        <v>1487.59</v>
      </c>
      <c r="J206" s="8">
        <v>6071.85</v>
      </c>
      <c r="K206" s="8">
        <v>24.5</v>
      </c>
      <c r="L206" s="8">
        <v>148</v>
      </c>
      <c r="M206" s="8">
        <v>492325257</v>
      </c>
      <c r="N206" s="8">
        <v>12.76</v>
      </c>
      <c r="O206" s="8" t="str">
        <f>vw_scenario_analysis_dataset[[#This Row],[reporter_name]] &amp; "-" &amp; vw_scenario_analysis_dataset[[#This Row],[reference_year]]</f>
        <v>Belize-2017</v>
      </c>
    </row>
    <row r="207" spans="1:15" x14ac:dyDescent="0.3">
      <c r="A207" s="8" t="s">
        <v>58</v>
      </c>
      <c r="B207" s="8" t="s">
        <v>59</v>
      </c>
      <c r="C207" s="8">
        <v>2018</v>
      </c>
      <c r="D207" s="8">
        <v>481822316.20000023</v>
      </c>
      <c r="E207" s="8">
        <v>2285915050</v>
      </c>
      <c r="F207" s="8">
        <v>380226</v>
      </c>
      <c r="G207" s="8">
        <v>0.82206859300000001</v>
      </c>
      <c r="H207" s="8">
        <v>100.98921439999999</v>
      </c>
      <c r="I207" s="8">
        <v>1267.2</v>
      </c>
      <c r="J207" s="8">
        <v>6011.99</v>
      </c>
      <c r="K207" s="8">
        <v>21.08</v>
      </c>
      <c r="L207" s="8">
        <v>147</v>
      </c>
      <c r="M207" s="8">
        <v>555169920.13</v>
      </c>
      <c r="N207" s="8">
        <v>-13.21</v>
      </c>
      <c r="O207" s="8" t="str">
        <f>vw_scenario_analysis_dataset[[#This Row],[reporter_name]] &amp; "-" &amp; vw_scenario_analysis_dataset[[#This Row],[reference_year]]</f>
        <v>Belize-2018</v>
      </c>
    </row>
    <row r="208" spans="1:15" x14ac:dyDescent="0.3">
      <c r="A208" s="8" t="s">
        <v>58</v>
      </c>
      <c r="B208" s="8" t="s">
        <v>59</v>
      </c>
      <c r="C208" s="8">
        <v>2019</v>
      </c>
      <c r="D208" s="8">
        <v>491802454.71799999</v>
      </c>
      <c r="E208" s="8">
        <v>2381187850</v>
      </c>
      <c r="F208" s="8">
        <v>385829</v>
      </c>
      <c r="G208" s="8">
        <v>4.2565871</v>
      </c>
      <c r="H208" s="8">
        <v>102.4418569</v>
      </c>
      <c r="I208" s="8">
        <v>1274.6600000000001</v>
      </c>
      <c r="J208" s="8">
        <v>6171.61</v>
      </c>
      <c r="K208" s="8">
        <v>20.65</v>
      </c>
      <c r="L208" s="8">
        <v>146</v>
      </c>
      <c r="M208" s="8">
        <v>481822316.20000023</v>
      </c>
      <c r="N208" s="8">
        <v>2.0699999999999998</v>
      </c>
      <c r="O208" s="8" t="str">
        <f>vw_scenario_analysis_dataset[[#This Row],[reporter_name]] &amp; "-" &amp; vw_scenario_analysis_dataset[[#This Row],[reference_year]]</f>
        <v>Belize-2019</v>
      </c>
    </row>
    <row r="209" spans="1:15" x14ac:dyDescent="0.3">
      <c r="A209" s="8" t="s">
        <v>58</v>
      </c>
      <c r="B209" s="8" t="s">
        <v>59</v>
      </c>
      <c r="C209" s="8">
        <v>2020</v>
      </c>
      <c r="D209" s="8">
        <v>425444613.05700004</v>
      </c>
      <c r="E209" s="8">
        <v>2047284600</v>
      </c>
      <c r="F209" s="8">
        <v>390812</v>
      </c>
      <c r="G209" s="8">
        <v>-13.522899710000001</v>
      </c>
      <c r="H209" s="8">
        <v>81.643143309999999</v>
      </c>
      <c r="I209" s="8">
        <v>1088.6199999999999</v>
      </c>
      <c r="J209" s="8">
        <v>5238.54</v>
      </c>
      <c r="K209" s="8">
        <v>20.78</v>
      </c>
      <c r="L209" s="8">
        <v>143</v>
      </c>
      <c r="M209" s="8">
        <v>491802454.71799999</v>
      </c>
      <c r="N209" s="8">
        <v>-13.49</v>
      </c>
      <c r="O209" s="8" t="str">
        <f>vw_scenario_analysis_dataset[[#This Row],[reporter_name]] &amp; "-" &amp; vw_scenario_analysis_dataset[[#This Row],[reference_year]]</f>
        <v>Belize-2020</v>
      </c>
    </row>
    <row r="210" spans="1:15" x14ac:dyDescent="0.3">
      <c r="A210" s="8" t="s">
        <v>58</v>
      </c>
      <c r="B210" s="8" t="s">
        <v>59</v>
      </c>
      <c r="C210" s="8">
        <v>2021</v>
      </c>
      <c r="D210" s="8">
        <v>527215237.2899999</v>
      </c>
      <c r="E210" s="8">
        <v>2428606250</v>
      </c>
      <c r="F210" s="8">
        <v>395346</v>
      </c>
      <c r="G210" s="8">
        <v>17.98992441</v>
      </c>
      <c r="H210" s="8">
        <v>98.982436939999999</v>
      </c>
      <c r="I210" s="8">
        <v>1333.55</v>
      </c>
      <c r="J210" s="8">
        <v>6142.99</v>
      </c>
      <c r="K210" s="8">
        <v>21.71</v>
      </c>
      <c r="L210" s="8">
        <v>143</v>
      </c>
      <c r="M210" s="8">
        <v>425444613.05700004</v>
      </c>
      <c r="N210" s="8">
        <v>23.92</v>
      </c>
      <c r="O210" s="8" t="str">
        <f>vw_scenario_analysis_dataset[[#This Row],[reporter_name]] &amp; "-" &amp; vw_scenario_analysis_dataset[[#This Row],[reference_year]]</f>
        <v>Belize-2021</v>
      </c>
    </row>
    <row r="211" spans="1:15" x14ac:dyDescent="0.3">
      <c r="A211" s="8" t="s">
        <v>58</v>
      </c>
      <c r="B211" s="8" t="s">
        <v>59</v>
      </c>
      <c r="C211" s="8">
        <v>2022</v>
      </c>
      <c r="D211" s="8">
        <v>588406733.59300041</v>
      </c>
      <c r="E211" s="8">
        <v>2846604350</v>
      </c>
      <c r="F211" s="8">
        <v>402733</v>
      </c>
      <c r="G211" s="8">
        <v>9.2505132949999993</v>
      </c>
      <c r="H211" s="8">
        <v>107.84025010000001</v>
      </c>
      <c r="I211" s="8">
        <v>1461.03</v>
      </c>
      <c r="J211" s="8">
        <v>7068.22</v>
      </c>
      <c r="K211" s="8">
        <v>20.67</v>
      </c>
      <c r="L211" s="8">
        <v>143</v>
      </c>
      <c r="M211" s="8">
        <v>527215237.2899999</v>
      </c>
      <c r="N211" s="8">
        <v>11.61</v>
      </c>
      <c r="O211" s="8" t="str">
        <f>vw_scenario_analysis_dataset[[#This Row],[reporter_name]] &amp; "-" &amp; vw_scenario_analysis_dataset[[#This Row],[reference_year]]</f>
        <v>Belize-2022</v>
      </c>
    </row>
    <row r="212" spans="1:15" x14ac:dyDescent="0.3">
      <c r="A212" s="8" t="s">
        <v>58</v>
      </c>
      <c r="B212" s="8" t="s">
        <v>59</v>
      </c>
      <c r="C212" s="8">
        <v>2023</v>
      </c>
      <c r="D212" s="8">
        <v>507675091.10600013</v>
      </c>
      <c r="E212" s="8">
        <v>3052362650</v>
      </c>
      <c r="F212" s="8">
        <v>411106</v>
      </c>
      <c r="G212" s="8">
        <v>0.50012794199999999</v>
      </c>
      <c r="H212" s="8">
        <v>106.4005059</v>
      </c>
      <c r="I212" s="8">
        <v>1234.9000000000001</v>
      </c>
      <c r="J212" s="8">
        <v>7424.76</v>
      </c>
      <c r="K212" s="8">
        <v>16.63</v>
      </c>
      <c r="L212" s="8">
        <v>139</v>
      </c>
      <c r="M212" s="8">
        <v>588406733.59300041</v>
      </c>
      <c r="N212" s="8">
        <v>-13.72</v>
      </c>
      <c r="O212" s="8" t="str">
        <f>vw_scenario_analysis_dataset[[#This Row],[reporter_name]] &amp; "-" &amp; vw_scenario_analysis_dataset[[#This Row],[reference_year]]</f>
        <v>Belize-2023</v>
      </c>
    </row>
    <row r="213" spans="1:15" x14ac:dyDescent="0.3">
      <c r="A213" s="8" t="s">
        <v>58</v>
      </c>
      <c r="B213" s="8" t="s">
        <v>59</v>
      </c>
      <c r="C213" s="8">
        <v>2024</v>
      </c>
      <c r="D213" s="8">
        <v>565510960.09599996</v>
      </c>
      <c r="E213" s="8">
        <v>3203631800</v>
      </c>
      <c r="F213" s="8">
        <v>417072</v>
      </c>
      <c r="G213" s="8">
        <v>3.5046643500000001</v>
      </c>
      <c r="H213" s="8">
        <v>108.9724465</v>
      </c>
      <c r="I213" s="8">
        <v>1355.91</v>
      </c>
      <c r="J213" s="8">
        <v>7681.24</v>
      </c>
      <c r="K213" s="8">
        <v>17.649999999999999</v>
      </c>
      <c r="L213" s="8">
        <v>121</v>
      </c>
      <c r="M213" s="8">
        <v>507675091.10600013</v>
      </c>
      <c r="N213" s="8">
        <v>11.39</v>
      </c>
      <c r="O213" s="8" t="str">
        <f>vw_scenario_analysis_dataset[[#This Row],[reporter_name]] &amp; "-" &amp; vw_scenario_analysis_dataset[[#This Row],[reference_year]]</f>
        <v>Belize-2024</v>
      </c>
    </row>
    <row r="214" spans="1:15" x14ac:dyDescent="0.3">
      <c r="A214" s="8" t="s">
        <v>60</v>
      </c>
      <c r="B214" s="8" t="s">
        <v>61</v>
      </c>
      <c r="C214" s="8">
        <v>2015</v>
      </c>
      <c r="D214" s="8">
        <v>17244859</v>
      </c>
      <c r="E214" s="8">
        <v>6654541000</v>
      </c>
      <c r="F214" s="8">
        <v>63464</v>
      </c>
      <c r="G214" s="8">
        <v>0.77552969999999999</v>
      </c>
      <c r="H214" s="8">
        <v>73.295498519999995</v>
      </c>
      <c r="I214" s="8">
        <v>271.73</v>
      </c>
      <c r="J214" s="8">
        <v>104855.37</v>
      </c>
      <c r="K214" s="8">
        <v>0.26</v>
      </c>
      <c r="L214" s="8">
        <v>167</v>
      </c>
      <c r="M214" s="8"/>
      <c r="N214" s="8"/>
      <c r="O214" s="8" t="str">
        <f>vw_scenario_analysis_dataset[[#This Row],[reporter_name]] &amp; "-" &amp; vw_scenario_analysis_dataset[[#This Row],[reference_year]]</f>
        <v>Bermuda-2015</v>
      </c>
    </row>
    <row r="215" spans="1:15" x14ac:dyDescent="0.3">
      <c r="A215" s="8" t="s">
        <v>60</v>
      </c>
      <c r="B215" s="8" t="s">
        <v>61</v>
      </c>
      <c r="C215" s="8">
        <v>2016</v>
      </c>
      <c r="D215" s="8">
        <v>16634779</v>
      </c>
      <c r="E215" s="8">
        <v>6899911000</v>
      </c>
      <c r="F215" s="8">
        <v>63449</v>
      </c>
      <c r="G215" s="8">
        <v>-0.65720630400000002</v>
      </c>
      <c r="H215" s="8">
        <v>72.749909380000005</v>
      </c>
      <c r="I215" s="8">
        <v>262.18</v>
      </c>
      <c r="J215" s="8">
        <v>108747.36</v>
      </c>
      <c r="K215" s="8">
        <v>0.24</v>
      </c>
      <c r="L215" s="8">
        <v>170</v>
      </c>
      <c r="M215" s="8">
        <v>17244859</v>
      </c>
      <c r="N215" s="8">
        <v>-3.54</v>
      </c>
      <c r="O215" s="8" t="str">
        <f>vw_scenario_analysis_dataset[[#This Row],[reporter_name]] &amp; "-" &amp; vw_scenario_analysis_dataset[[#This Row],[reference_year]]</f>
        <v>Bermuda-2016</v>
      </c>
    </row>
    <row r="216" spans="1:15" x14ac:dyDescent="0.3">
      <c r="A216" s="8" t="s">
        <v>60</v>
      </c>
      <c r="B216" s="8" t="s">
        <v>61</v>
      </c>
      <c r="C216" s="8">
        <v>2017</v>
      </c>
      <c r="D216" s="8">
        <v>23484331.34</v>
      </c>
      <c r="E216" s="8">
        <v>7142316000</v>
      </c>
      <c r="F216" s="8">
        <v>63578</v>
      </c>
      <c r="G216" s="8">
        <v>3.6114198370000001</v>
      </c>
      <c r="H216" s="8">
        <v>72.392428449999997</v>
      </c>
      <c r="I216" s="8">
        <v>369.38</v>
      </c>
      <c r="J216" s="8">
        <v>112339.43</v>
      </c>
      <c r="K216" s="8">
        <v>0.33</v>
      </c>
      <c r="L216" s="8">
        <v>171</v>
      </c>
      <c r="M216" s="8">
        <v>16634779</v>
      </c>
      <c r="N216" s="8">
        <v>41.18</v>
      </c>
      <c r="O216" s="8" t="str">
        <f>vw_scenario_analysis_dataset[[#This Row],[reporter_name]] &amp; "-" &amp; vw_scenario_analysis_dataset[[#This Row],[reference_year]]</f>
        <v>Bermuda-2017</v>
      </c>
    </row>
    <row r="217" spans="1:15" x14ac:dyDescent="0.3">
      <c r="A217" s="8" t="s">
        <v>60</v>
      </c>
      <c r="B217" s="8" t="s">
        <v>61</v>
      </c>
      <c r="C217" s="8">
        <v>2018</v>
      </c>
      <c r="D217" s="8">
        <v>45824849.079999991</v>
      </c>
      <c r="E217" s="8">
        <v>7225977000</v>
      </c>
      <c r="F217" s="8">
        <v>63831</v>
      </c>
      <c r="G217" s="8">
        <v>-0.4328013</v>
      </c>
      <c r="H217" s="8">
        <v>77.555270379999996</v>
      </c>
      <c r="I217" s="8">
        <v>717.91</v>
      </c>
      <c r="J217" s="8">
        <v>113204.82</v>
      </c>
      <c r="K217" s="8">
        <v>0.63</v>
      </c>
      <c r="L217" s="8">
        <v>165</v>
      </c>
      <c r="M217" s="8">
        <v>23484331.34</v>
      </c>
      <c r="N217" s="8">
        <v>95.13</v>
      </c>
      <c r="O217" s="8" t="str">
        <f>vw_scenario_analysis_dataset[[#This Row],[reporter_name]] &amp; "-" &amp; vw_scenario_analysis_dataset[[#This Row],[reference_year]]</f>
        <v>Bermuda-2018</v>
      </c>
    </row>
    <row r="218" spans="1:15" x14ac:dyDescent="0.3">
      <c r="A218" s="8" t="s">
        <v>60</v>
      </c>
      <c r="B218" s="8" t="s">
        <v>61</v>
      </c>
      <c r="C218" s="8">
        <v>2019</v>
      </c>
      <c r="D218" s="8">
        <v>53665104.539999992</v>
      </c>
      <c r="E218" s="8">
        <v>7423465000</v>
      </c>
      <c r="F218" s="8">
        <v>64107</v>
      </c>
      <c r="G218" s="8">
        <v>0.307106461</v>
      </c>
      <c r="H218" s="8">
        <v>77.560101649999993</v>
      </c>
      <c r="I218" s="8">
        <v>837.12</v>
      </c>
      <c r="J218" s="8">
        <v>115798.04</v>
      </c>
      <c r="K218" s="8">
        <v>0.72</v>
      </c>
      <c r="L218" s="8">
        <v>161</v>
      </c>
      <c r="M218" s="8">
        <v>45824849.079999991</v>
      </c>
      <c r="N218" s="8">
        <v>17.11</v>
      </c>
      <c r="O218" s="8" t="str">
        <f>vw_scenario_analysis_dataset[[#This Row],[reporter_name]] &amp; "-" &amp; vw_scenario_analysis_dataset[[#This Row],[reference_year]]</f>
        <v>Bermuda-2019</v>
      </c>
    </row>
    <row r="219" spans="1:15" x14ac:dyDescent="0.3">
      <c r="A219" s="8" t="s">
        <v>60</v>
      </c>
      <c r="B219" s="8" t="s">
        <v>61</v>
      </c>
      <c r="C219" s="8">
        <v>2020</v>
      </c>
      <c r="D219" s="8">
        <v>38207000.32</v>
      </c>
      <c r="E219" s="8">
        <v>6887364000</v>
      </c>
      <c r="F219" s="8">
        <v>64382</v>
      </c>
      <c r="G219" s="8">
        <v>-6.9716257150000001</v>
      </c>
      <c r="H219" s="8">
        <v>70.589822170000005</v>
      </c>
      <c r="I219" s="8">
        <v>593.44000000000005</v>
      </c>
      <c r="J219" s="8">
        <v>106976.55</v>
      </c>
      <c r="K219" s="8">
        <v>0.55000000000000004</v>
      </c>
      <c r="L219" s="8">
        <v>158</v>
      </c>
      <c r="M219" s="8">
        <v>53665104.539999992</v>
      </c>
      <c r="N219" s="8">
        <v>-28.8</v>
      </c>
      <c r="O219" s="8" t="str">
        <f>vw_scenario_analysis_dataset[[#This Row],[reporter_name]] &amp; "-" &amp; vw_scenario_analysis_dataset[[#This Row],[reference_year]]</f>
        <v>Bermuda-2020</v>
      </c>
    </row>
    <row r="220" spans="1:15" x14ac:dyDescent="0.3">
      <c r="A220" s="8" t="s">
        <v>60</v>
      </c>
      <c r="B220" s="8" t="s">
        <v>61</v>
      </c>
      <c r="C220" s="8">
        <v>2021</v>
      </c>
      <c r="D220" s="8">
        <v>57265058.159999996</v>
      </c>
      <c r="E220" s="8">
        <v>7290037000</v>
      </c>
      <c r="F220" s="8">
        <v>64648</v>
      </c>
      <c r="G220" s="8">
        <v>4.764978997</v>
      </c>
      <c r="H220" s="8">
        <v>72.927092139999999</v>
      </c>
      <c r="I220" s="8">
        <v>885.8</v>
      </c>
      <c r="J220" s="8">
        <v>112765.08</v>
      </c>
      <c r="K220" s="8">
        <v>0.79</v>
      </c>
      <c r="L220" s="8">
        <v>155</v>
      </c>
      <c r="M220" s="8">
        <v>38207000.32</v>
      </c>
      <c r="N220" s="8">
        <v>49.88</v>
      </c>
      <c r="O220" s="8" t="str">
        <f>vw_scenario_analysis_dataset[[#This Row],[reporter_name]] &amp; "-" &amp; vw_scenario_analysis_dataset[[#This Row],[reference_year]]</f>
        <v>Bermuda-2021</v>
      </c>
    </row>
    <row r="221" spans="1:15" x14ac:dyDescent="0.3">
      <c r="A221" s="8" t="s">
        <v>60</v>
      </c>
      <c r="B221" s="8" t="s">
        <v>61</v>
      </c>
      <c r="C221" s="8">
        <v>2022</v>
      </c>
      <c r="D221" s="8">
        <v>67053568.859999985</v>
      </c>
      <c r="E221" s="8">
        <v>7767884000</v>
      </c>
      <c r="F221" s="8">
        <v>64749</v>
      </c>
      <c r="G221" s="8">
        <v>6.2569552120000003</v>
      </c>
      <c r="H221" s="8">
        <v>77.977052700000002</v>
      </c>
      <c r="I221" s="8">
        <v>1035.5899999999999</v>
      </c>
      <c r="J221" s="8">
        <v>119969.17</v>
      </c>
      <c r="K221" s="8">
        <v>0.86</v>
      </c>
      <c r="L221" s="8">
        <v>156</v>
      </c>
      <c r="M221" s="8">
        <v>57265058.159999996</v>
      </c>
      <c r="N221" s="8">
        <v>17.09</v>
      </c>
      <c r="O221" s="8" t="str">
        <f>vw_scenario_analysis_dataset[[#This Row],[reporter_name]] &amp; "-" &amp; vw_scenario_analysis_dataset[[#This Row],[reference_year]]</f>
        <v>Bermuda-2022</v>
      </c>
    </row>
    <row r="222" spans="1:15" x14ac:dyDescent="0.3">
      <c r="A222" s="8" t="s">
        <v>60</v>
      </c>
      <c r="B222" s="8" t="s">
        <v>61</v>
      </c>
      <c r="C222" s="8">
        <v>2023</v>
      </c>
      <c r="D222" s="8">
        <v>44569547.479999989</v>
      </c>
      <c r="E222" s="8">
        <v>8602360000</v>
      </c>
      <c r="F222" s="8">
        <v>64698</v>
      </c>
      <c r="G222" s="8">
        <v>4.3344728039999998</v>
      </c>
      <c r="H222" s="8">
        <v>77.646529560000005</v>
      </c>
      <c r="I222" s="8">
        <v>688.89</v>
      </c>
      <c r="J222" s="8">
        <v>132961.76</v>
      </c>
      <c r="K222" s="8">
        <v>0.52</v>
      </c>
      <c r="L222" s="8">
        <v>154</v>
      </c>
      <c r="M222" s="8">
        <v>67053568.859999985</v>
      </c>
      <c r="N222" s="8">
        <v>-33.53</v>
      </c>
      <c r="O222" s="8" t="str">
        <f>vw_scenario_analysis_dataset[[#This Row],[reporter_name]] &amp; "-" &amp; vw_scenario_analysis_dataset[[#This Row],[reference_year]]</f>
        <v>Bermuda-2023</v>
      </c>
    </row>
    <row r="223" spans="1:15" x14ac:dyDescent="0.3">
      <c r="A223" s="8" t="s">
        <v>60</v>
      </c>
      <c r="B223" s="8" t="s">
        <v>61</v>
      </c>
      <c r="C223" s="8">
        <v>2024</v>
      </c>
      <c r="D223" s="8">
        <v>136671969.25999999</v>
      </c>
      <c r="E223" s="8">
        <v>9194499000</v>
      </c>
      <c r="F223" s="8">
        <v>64636</v>
      </c>
      <c r="G223" s="8">
        <v>1.88822862</v>
      </c>
      <c r="H223" s="8">
        <v>80.206088440000002</v>
      </c>
      <c r="I223" s="8">
        <v>2114.4899999999998</v>
      </c>
      <c r="J223" s="8">
        <v>142250.43</v>
      </c>
      <c r="K223" s="8">
        <v>1.49</v>
      </c>
      <c r="L223" s="8">
        <v>124</v>
      </c>
      <c r="M223" s="8">
        <v>44569547.479999989</v>
      </c>
      <c r="N223" s="8">
        <v>206.65</v>
      </c>
      <c r="O223" s="8" t="str">
        <f>vw_scenario_analysis_dataset[[#This Row],[reporter_name]] &amp; "-" &amp; vw_scenario_analysis_dataset[[#This Row],[reference_year]]</f>
        <v>Bermuda-2024</v>
      </c>
    </row>
    <row r="224" spans="1:15" x14ac:dyDescent="0.3">
      <c r="A224" s="8" t="s">
        <v>62</v>
      </c>
      <c r="B224" s="8" t="s">
        <v>63</v>
      </c>
      <c r="C224" s="8">
        <v>2015</v>
      </c>
      <c r="D224" s="8">
        <v>17846230765.720001</v>
      </c>
      <c r="E224" s="8">
        <v>33000198249</v>
      </c>
      <c r="F224" s="8">
        <v>11014705</v>
      </c>
      <c r="G224" s="8">
        <v>4.8571871849999999</v>
      </c>
      <c r="H224" s="8">
        <v>67.932845189999995</v>
      </c>
      <c r="I224" s="8">
        <v>1620.22</v>
      </c>
      <c r="J224" s="8">
        <v>2996.01</v>
      </c>
      <c r="K224" s="8">
        <v>54.08</v>
      </c>
      <c r="L224" s="8">
        <v>82</v>
      </c>
      <c r="M224" s="8"/>
      <c r="N224" s="8"/>
      <c r="O224" s="8" t="str">
        <f>vw_scenario_analysis_dataset[[#This Row],[reporter_name]] &amp; "-" &amp; vw_scenario_analysis_dataset[[#This Row],[reference_year]]</f>
        <v>Bolivia (Plurinational State of)-2015</v>
      </c>
    </row>
    <row r="225" spans="1:15" x14ac:dyDescent="0.3">
      <c r="A225" s="8" t="s">
        <v>62</v>
      </c>
      <c r="B225" s="8" t="s">
        <v>63</v>
      </c>
      <c r="C225" s="8">
        <v>2016</v>
      </c>
      <c r="D225" s="8">
        <v>14517426337.139997</v>
      </c>
      <c r="E225" s="8">
        <v>33941126194</v>
      </c>
      <c r="F225" s="8">
        <v>11180020</v>
      </c>
      <c r="G225" s="8">
        <v>4.2639208699999998</v>
      </c>
      <c r="H225" s="8">
        <v>56.401034500000002</v>
      </c>
      <c r="I225" s="8">
        <v>1298.52</v>
      </c>
      <c r="J225" s="8">
        <v>3035.87</v>
      </c>
      <c r="K225" s="8">
        <v>42.77</v>
      </c>
      <c r="L225" s="8">
        <v>88</v>
      </c>
      <c r="M225" s="8">
        <v>17846230765.720001</v>
      </c>
      <c r="N225" s="8">
        <v>-18.649999999999999</v>
      </c>
      <c r="O225" s="8" t="str">
        <f>vw_scenario_analysis_dataset[[#This Row],[reporter_name]] &amp; "-" &amp; vw_scenario_analysis_dataset[[#This Row],[reference_year]]</f>
        <v>Bolivia (Plurinational State of)-2016</v>
      </c>
    </row>
    <row r="226" spans="1:15" x14ac:dyDescent="0.3">
      <c r="A226" s="8" t="s">
        <v>62</v>
      </c>
      <c r="B226" s="8" t="s">
        <v>63</v>
      </c>
      <c r="C226" s="8">
        <v>2017</v>
      </c>
      <c r="D226" s="8">
        <v>16734157040.180004</v>
      </c>
      <c r="E226" s="8">
        <v>45927439595</v>
      </c>
      <c r="F226" s="8">
        <v>11344587</v>
      </c>
      <c r="G226" s="8">
        <v>4.1952063339999999</v>
      </c>
      <c r="H226" s="8">
        <v>45.576112369999997</v>
      </c>
      <c r="I226" s="8">
        <v>1475.08</v>
      </c>
      <c r="J226" s="8">
        <v>4048.4</v>
      </c>
      <c r="K226" s="8">
        <v>36.44</v>
      </c>
      <c r="L226" s="8">
        <v>85</v>
      </c>
      <c r="M226" s="8">
        <v>14517426337.139997</v>
      </c>
      <c r="N226" s="8">
        <v>15.27</v>
      </c>
      <c r="O226" s="8" t="str">
        <f>vw_scenario_analysis_dataset[[#This Row],[reporter_name]] &amp; "-" &amp; vw_scenario_analysis_dataset[[#This Row],[reference_year]]</f>
        <v>Bolivia (Plurinational State of)-2017</v>
      </c>
    </row>
    <row r="227" spans="1:15" x14ac:dyDescent="0.3">
      <c r="A227" s="8" t="s">
        <v>62</v>
      </c>
      <c r="B227" s="8" t="s">
        <v>63</v>
      </c>
      <c r="C227" s="8">
        <v>2018</v>
      </c>
      <c r="D227" s="8">
        <v>18220711261.259998</v>
      </c>
      <c r="E227" s="8">
        <v>48414038842</v>
      </c>
      <c r="F227" s="8">
        <v>11508368</v>
      </c>
      <c r="G227" s="8">
        <v>2.8680840480000001</v>
      </c>
      <c r="H227" s="8">
        <v>46.92619534</v>
      </c>
      <c r="I227" s="8">
        <v>1583.26</v>
      </c>
      <c r="J227" s="8">
        <v>4206.8599999999997</v>
      </c>
      <c r="K227" s="8">
        <v>37.64</v>
      </c>
      <c r="L227" s="8">
        <v>83</v>
      </c>
      <c r="M227" s="8">
        <v>16734157040.180004</v>
      </c>
      <c r="N227" s="8">
        <v>8.8800000000000008</v>
      </c>
      <c r="O227" s="8" t="str">
        <f>vw_scenario_analysis_dataset[[#This Row],[reporter_name]] &amp; "-" &amp; vw_scenario_analysis_dataset[[#This Row],[reference_year]]</f>
        <v>Bolivia (Plurinational State of)-2018</v>
      </c>
    </row>
    <row r="228" spans="1:15" x14ac:dyDescent="0.3">
      <c r="A228" s="8" t="s">
        <v>62</v>
      </c>
      <c r="B228" s="8" t="s">
        <v>63</v>
      </c>
      <c r="C228" s="8">
        <v>2019</v>
      </c>
      <c r="D228" s="8">
        <v>17866661976.739998</v>
      </c>
      <c r="E228" s="8">
        <v>49056643589</v>
      </c>
      <c r="F228" s="8">
        <v>11671386</v>
      </c>
      <c r="G228" s="8">
        <v>1.506721027</v>
      </c>
      <c r="H228" s="8">
        <v>45.820973270000003</v>
      </c>
      <c r="I228" s="8">
        <v>1530.81</v>
      </c>
      <c r="J228" s="8">
        <v>4203.1499999999996</v>
      </c>
      <c r="K228" s="8">
        <v>36.42</v>
      </c>
      <c r="L228" s="8">
        <v>82</v>
      </c>
      <c r="M228" s="8">
        <v>18220711261.259998</v>
      </c>
      <c r="N228" s="8">
        <v>-1.94</v>
      </c>
      <c r="O228" s="8" t="str">
        <f>vw_scenario_analysis_dataset[[#This Row],[reporter_name]] &amp; "-" &amp; vw_scenario_analysis_dataset[[#This Row],[reference_year]]</f>
        <v>Bolivia (Plurinational State of)-2019</v>
      </c>
    </row>
    <row r="229" spans="1:15" x14ac:dyDescent="0.3">
      <c r="A229" s="8" t="s">
        <v>62</v>
      </c>
      <c r="B229" s="8" t="s">
        <v>63</v>
      </c>
      <c r="C229" s="8">
        <v>2020</v>
      </c>
      <c r="D229" s="8">
        <v>14065528375.979998</v>
      </c>
      <c r="E229" s="8">
        <v>42313784081</v>
      </c>
      <c r="F229" s="8">
        <v>11816299</v>
      </c>
      <c r="G229" s="8">
        <v>-12.719469009999999</v>
      </c>
      <c r="H229" s="8">
        <v>37.516434240000002</v>
      </c>
      <c r="I229" s="8">
        <v>1190.3499999999999</v>
      </c>
      <c r="J229" s="8">
        <v>3580.97</v>
      </c>
      <c r="K229" s="8">
        <v>33.24</v>
      </c>
      <c r="L229" s="8">
        <v>85</v>
      </c>
      <c r="M229" s="8">
        <v>17866661976.739998</v>
      </c>
      <c r="N229" s="8">
        <v>-21.28</v>
      </c>
      <c r="O229" s="8" t="str">
        <f>vw_scenario_analysis_dataset[[#This Row],[reporter_name]] &amp; "-" &amp; vw_scenario_analysis_dataset[[#This Row],[reference_year]]</f>
        <v>Bolivia (Plurinational State of)-2020</v>
      </c>
    </row>
    <row r="230" spans="1:15" x14ac:dyDescent="0.3">
      <c r="A230" s="8" t="s">
        <v>62</v>
      </c>
      <c r="B230" s="8" t="s">
        <v>63</v>
      </c>
      <c r="C230" s="8">
        <v>2021</v>
      </c>
      <c r="D230" s="8">
        <v>22159577680.479996</v>
      </c>
      <c r="E230" s="8">
        <v>47877892402</v>
      </c>
      <c r="F230" s="8">
        <v>11937360</v>
      </c>
      <c r="G230" s="8">
        <v>10.029048879999999</v>
      </c>
      <c r="H230" s="8">
        <v>47.667084320000001</v>
      </c>
      <c r="I230" s="8">
        <v>1856.32</v>
      </c>
      <c r="J230" s="8">
        <v>4010.76</v>
      </c>
      <c r="K230" s="8">
        <v>46.28</v>
      </c>
      <c r="L230" s="8">
        <v>79</v>
      </c>
      <c r="M230" s="8">
        <v>14065528375.979998</v>
      </c>
      <c r="N230" s="8">
        <v>57.55</v>
      </c>
      <c r="O230" s="8" t="str">
        <f>vw_scenario_analysis_dataset[[#This Row],[reporter_name]] &amp; "-" &amp; vw_scenario_analysis_dataset[[#This Row],[reference_year]]</f>
        <v>Bolivia (Plurinational State of)-2021</v>
      </c>
    </row>
    <row r="231" spans="1:15" x14ac:dyDescent="0.3">
      <c r="A231" s="8" t="s">
        <v>62</v>
      </c>
      <c r="B231" s="8" t="s">
        <v>63</v>
      </c>
      <c r="C231" s="8">
        <v>2022</v>
      </c>
      <c r="D231" s="8">
        <v>27305625740.079987</v>
      </c>
      <c r="E231" s="8">
        <v>50959081954</v>
      </c>
      <c r="F231" s="8">
        <v>12077154</v>
      </c>
      <c r="G231" s="8">
        <v>3.7474178120000001</v>
      </c>
      <c r="H231" s="8">
        <v>57.524933580000003</v>
      </c>
      <c r="I231" s="8">
        <v>2260.9299999999998</v>
      </c>
      <c r="J231" s="8">
        <v>4219.46</v>
      </c>
      <c r="K231" s="8">
        <v>53.58</v>
      </c>
      <c r="L231" s="8">
        <v>77</v>
      </c>
      <c r="M231" s="8">
        <v>22159577680.479996</v>
      </c>
      <c r="N231" s="8">
        <v>23.22</v>
      </c>
      <c r="O231" s="8" t="str">
        <f>vw_scenario_analysis_dataset[[#This Row],[reporter_name]] &amp; "-" &amp; vw_scenario_analysis_dataset[[#This Row],[reference_year]]</f>
        <v>Bolivia (Plurinational State of)-2022</v>
      </c>
    </row>
    <row r="232" spans="1:15" x14ac:dyDescent="0.3">
      <c r="A232" s="8" t="s">
        <v>62</v>
      </c>
      <c r="B232" s="8" t="s">
        <v>63</v>
      </c>
      <c r="C232" s="8">
        <v>2023</v>
      </c>
      <c r="D232" s="8">
        <v>21837376114.120003</v>
      </c>
      <c r="E232" s="8">
        <v>52340206946</v>
      </c>
      <c r="F232" s="8">
        <v>12244159</v>
      </c>
      <c r="G232" s="8">
        <v>2.516365902</v>
      </c>
      <c r="H232" s="8">
        <v>49.608325559999997</v>
      </c>
      <c r="I232" s="8">
        <v>1783.49</v>
      </c>
      <c r="J232" s="8">
        <v>4274.71</v>
      </c>
      <c r="K232" s="8">
        <v>41.72</v>
      </c>
      <c r="L232" s="8">
        <v>81</v>
      </c>
      <c r="M232" s="8">
        <v>27305625740.079987</v>
      </c>
      <c r="N232" s="8">
        <v>-20.03</v>
      </c>
      <c r="O232" s="8" t="str">
        <f>vw_scenario_analysis_dataset[[#This Row],[reporter_name]] &amp; "-" &amp; vw_scenario_analysis_dataset[[#This Row],[reference_year]]</f>
        <v>Bolivia (Plurinational State of)-2023</v>
      </c>
    </row>
    <row r="233" spans="1:15" x14ac:dyDescent="0.3">
      <c r="A233" s="8" t="s">
        <v>62</v>
      </c>
      <c r="B233" s="8" t="s">
        <v>63</v>
      </c>
      <c r="C233" s="8">
        <v>2024</v>
      </c>
      <c r="D233" s="8">
        <v>18118334818.860004</v>
      </c>
      <c r="E233" s="8">
        <v>54881327453</v>
      </c>
      <c r="F233" s="8">
        <v>12413315</v>
      </c>
      <c r="G233" s="8">
        <v>-1.1233559550000001</v>
      </c>
      <c r="H233" s="8">
        <v>46.977871610000001</v>
      </c>
      <c r="I233" s="8">
        <v>1459.59</v>
      </c>
      <c r="J233" s="8">
        <v>4421.17</v>
      </c>
      <c r="K233" s="8">
        <v>33.01</v>
      </c>
      <c r="L233" s="8">
        <v>80</v>
      </c>
      <c r="M233" s="8">
        <v>21837376114.120003</v>
      </c>
      <c r="N233" s="8">
        <v>-17.03</v>
      </c>
      <c r="O233" s="8" t="str">
        <f>vw_scenario_analysis_dataset[[#This Row],[reporter_name]] &amp; "-" &amp; vw_scenario_analysis_dataset[[#This Row],[reference_year]]</f>
        <v>Bolivia (Plurinational State of)-2024</v>
      </c>
    </row>
    <row r="234" spans="1:15" x14ac:dyDescent="0.3">
      <c r="A234" s="8" t="s">
        <v>64</v>
      </c>
      <c r="B234" s="8" t="s">
        <v>65</v>
      </c>
      <c r="C234" s="8">
        <v>2015</v>
      </c>
      <c r="D234" s="8">
        <v>373549832626</v>
      </c>
      <c r="E234" s="8">
        <v>1800000000000</v>
      </c>
      <c r="F234" s="8">
        <v>201675532</v>
      </c>
      <c r="G234" s="8">
        <v>-3.5457633930000001</v>
      </c>
      <c r="H234" s="8">
        <v>26.953625939999998</v>
      </c>
      <c r="I234" s="8">
        <v>1852.23</v>
      </c>
      <c r="J234" s="8">
        <v>8925.23</v>
      </c>
      <c r="K234" s="8">
        <v>20.75</v>
      </c>
      <c r="L234" s="8">
        <v>23</v>
      </c>
      <c r="M234" s="8"/>
      <c r="N234" s="8"/>
      <c r="O234" s="8" t="str">
        <f>vw_scenario_analysis_dataset[[#This Row],[reporter_name]] &amp; "-" &amp; vw_scenario_analysis_dataset[[#This Row],[reference_year]]</f>
        <v>Brazil-2015</v>
      </c>
    </row>
    <row r="235" spans="1:15" x14ac:dyDescent="0.3">
      <c r="A235" s="8" t="s">
        <v>64</v>
      </c>
      <c r="B235" s="8" t="s">
        <v>65</v>
      </c>
      <c r="C235" s="8">
        <v>2016</v>
      </c>
      <c r="D235" s="8">
        <v>359052255020</v>
      </c>
      <c r="E235" s="8">
        <v>1800000000000</v>
      </c>
      <c r="F235" s="8">
        <v>203218114</v>
      </c>
      <c r="G235" s="8">
        <v>-3.2759169080000001</v>
      </c>
      <c r="H235" s="8">
        <v>24.533682079999998</v>
      </c>
      <c r="I235" s="8">
        <v>1766.83</v>
      </c>
      <c r="J235" s="8">
        <v>8857.48</v>
      </c>
      <c r="K235" s="8">
        <v>19.95</v>
      </c>
      <c r="L235" s="8">
        <v>23</v>
      </c>
      <c r="M235" s="8">
        <v>373549832626</v>
      </c>
      <c r="N235" s="8">
        <v>-3.88</v>
      </c>
      <c r="O235" s="8" t="str">
        <f>vw_scenario_analysis_dataset[[#This Row],[reporter_name]] &amp; "-" &amp; vw_scenario_analysis_dataset[[#This Row],[reference_year]]</f>
        <v>Brazil-2016</v>
      </c>
    </row>
    <row r="236" spans="1:15" x14ac:dyDescent="0.3">
      <c r="A236" s="8" t="s">
        <v>64</v>
      </c>
      <c r="B236" s="8" t="s">
        <v>65</v>
      </c>
      <c r="C236" s="8">
        <v>2017</v>
      </c>
      <c r="D236" s="8">
        <v>429976216706</v>
      </c>
      <c r="E236" s="8">
        <v>2060000000000</v>
      </c>
      <c r="F236" s="8">
        <v>204703445</v>
      </c>
      <c r="G236" s="8">
        <v>1.3228690540000001</v>
      </c>
      <c r="H236" s="8">
        <v>24.319734369999999</v>
      </c>
      <c r="I236" s="8">
        <v>2100.48</v>
      </c>
      <c r="J236" s="8">
        <v>10063.34</v>
      </c>
      <c r="K236" s="8">
        <v>20.87</v>
      </c>
      <c r="L236" s="8">
        <v>24</v>
      </c>
      <c r="M236" s="8">
        <v>359052255020</v>
      </c>
      <c r="N236" s="8">
        <v>19.75</v>
      </c>
      <c r="O236" s="8" t="str">
        <f>vw_scenario_analysis_dataset[[#This Row],[reporter_name]] &amp; "-" &amp; vw_scenario_analysis_dataset[[#This Row],[reference_year]]</f>
        <v>Brazil-2017</v>
      </c>
    </row>
    <row r="237" spans="1:15" x14ac:dyDescent="0.3">
      <c r="A237" s="8" t="s">
        <v>64</v>
      </c>
      <c r="B237" s="8" t="s">
        <v>65</v>
      </c>
      <c r="C237" s="8">
        <v>2018</v>
      </c>
      <c r="D237" s="8">
        <v>463779046798</v>
      </c>
      <c r="E237" s="8">
        <v>1920000000000</v>
      </c>
      <c r="F237" s="8">
        <v>206107261</v>
      </c>
      <c r="G237" s="8">
        <v>1.783666762</v>
      </c>
      <c r="H237" s="8">
        <v>28.87620338</v>
      </c>
      <c r="I237" s="8">
        <v>2250.1799999999998</v>
      </c>
      <c r="J237" s="8">
        <v>9315.5400000000009</v>
      </c>
      <c r="K237" s="8">
        <v>24.16</v>
      </c>
      <c r="L237" s="8">
        <v>24</v>
      </c>
      <c r="M237" s="8">
        <v>429976216706</v>
      </c>
      <c r="N237" s="8">
        <v>7.86</v>
      </c>
      <c r="O237" s="8" t="str">
        <f>vw_scenario_analysis_dataset[[#This Row],[reporter_name]] &amp; "-" &amp; vw_scenario_analysis_dataset[[#This Row],[reference_year]]</f>
        <v>Brazil-2018</v>
      </c>
    </row>
    <row r="238" spans="1:15" x14ac:dyDescent="0.3">
      <c r="A238" s="8" t="s">
        <v>64</v>
      </c>
      <c r="B238" s="8" t="s">
        <v>65</v>
      </c>
      <c r="C238" s="8">
        <v>2019</v>
      </c>
      <c r="D238" s="8">
        <v>442253615294</v>
      </c>
      <c r="E238" s="8">
        <v>1870000000000</v>
      </c>
      <c r="F238" s="8">
        <v>207455459</v>
      </c>
      <c r="G238" s="8">
        <v>1.220777824</v>
      </c>
      <c r="H238" s="8">
        <v>28.890257869999999</v>
      </c>
      <c r="I238" s="8">
        <v>2131.8000000000002</v>
      </c>
      <c r="J238" s="8">
        <v>9013.98</v>
      </c>
      <c r="K238" s="8">
        <v>23.65</v>
      </c>
      <c r="L238" s="8">
        <v>24</v>
      </c>
      <c r="M238" s="8">
        <v>463779046798</v>
      </c>
      <c r="N238" s="8">
        <v>-4.6399999999999997</v>
      </c>
      <c r="O238" s="8" t="str">
        <f>vw_scenario_analysis_dataset[[#This Row],[reporter_name]] &amp; "-" &amp; vw_scenario_analysis_dataset[[#This Row],[reference_year]]</f>
        <v>Brazil-2019</v>
      </c>
    </row>
    <row r="239" spans="1:15" x14ac:dyDescent="0.3">
      <c r="A239" s="8" t="s">
        <v>64</v>
      </c>
      <c r="B239" s="8" t="s">
        <v>65</v>
      </c>
      <c r="C239" s="8">
        <v>2020</v>
      </c>
      <c r="D239" s="8">
        <v>418360483310</v>
      </c>
      <c r="E239" s="8">
        <v>1480000000000</v>
      </c>
      <c r="F239" s="8">
        <v>208660842</v>
      </c>
      <c r="G239" s="8">
        <v>-3.2767587960000002</v>
      </c>
      <c r="H239" s="8">
        <v>32.302078539999997</v>
      </c>
      <c r="I239" s="8">
        <v>2004.98</v>
      </c>
      <c r="J239" s="8">
        <v>7092.85</v>
      </c>
      <c r="K239" s="8">
        <v>28.27</v>
      </c>
      <c r="L239" s="8">
        <v>23</v>
      </c>
      <c r="M239" s="8">
        <v>442253615294</v>
      </c>
      <c r="N239" s="8">
        <v>-5.4</v>
      </c>
      <c r="O239" s="8" t="str">
        <f>vw_scenario_analysis_dataset[[#This Row],[reporter_name]] &amp; "-" &amp; vw_scenario_analysis_dataset[[#This Row],[reference_year]]</f>
        <v>Brazil-2020</v>
      </c>
    </row>
    <row r="240" spans="1:15" x14ac:dyDescent="0.3">
      <c r="A240" s="8" t="s">
        <v>64</v>
      </c>
      <c r="B240" s="8" t="s">
        <v>65</v>
      </c>
      <c r="C240" s="8">
        <v>2021</v>
      </c>
      <c r="D240" s="8">
        <v>561629154920</v>
      </c>
      <c r="E240" s="8">
        <v>1670000000000</v>
      </c>
      <c r="F240" s="8">
        <v>209550294</v>
      </c>
      <c r="G240" s="8">
        <v>4.7626043789999999</v>
      </c>
      <c r="H240" s="8">
        <v>37.656330760000003</v>
      </c>
      <c r="I240" s="8">
        <v>2680.16</v>
      </c>
      <c r="J240" s="8">
        <v>7969.45</v>
      </c>
      <c r="K240" s="8">
        <v>33.630000000000003</v>
      </c>
      <c r="L240" s="8">
        <v>22</v>
      </c>
      <c r="M240" s="8">
        <v>418360483310</v>
      </c>
      <c r="N240" s="8">
        <v>34.25</v>
      </c>
      <c r="O240" s="8" t="str">
        <f>vw_scenario_analysis_dataset[[#This Row],[reporter_name]] &amp; "-" &amp; vw_scenario_analysis_dataset[[#This Row],[reference_year]]</f>
        <v>Brazil-2021</v>
      </c>
    </row>
    <row r="241" spans="1:15" x14ac:dyDescent="0.3">
      <c r="A241" s="8" t="s">
        <v>64</v>
      </c>
      <c r="B241" s="8" t="s">
        <v>65</v>
      </c>
      <c r="C241" s="8">
        <v>2022</v>
      </c>
      <c r="D241" s="8">
        <v>668926158390</v>
      </c>
      <c r="E241" s="8">
        <v>1950000000000</v>
      </c>
      <c r="F241" s="8">
        <v>210306415</v>
      </c>
      <c r="G241" s="8">
        <v>3.0166943540000002</v>
      </c>
      <c r="H241" s="8">
        <v>38.816065979999998</v>
      </c>
      <c r="I241" s="8">
        <v>3180.72</v>
      </c>
      <c r="J241" s="8">
        <v>9272.19</v>
      </c>
      <c r="K241" s="8">
        <v>34.299999999999997</v>
      </c>
      <c r="L241" s="8">
        <v>22</v>
      </c>
      <c r="M241" s="8">
        <v>561629154920</v>
      </c>
      <c r="N241" s="8">
        <v>19.100000000000001</v>
      </c>
      <c r="O241" s="8" t="str">
        <f>vw_scenario_analysis_dataset[[#This Row],[reporter_name]] &amp; "-" &amp; vw_scenario_analysis_dataset[[#This Row],[reference_year]]</f>
        <v>Brazil-2022</v>
      </c>
    </row>
    <row r="242" spans="1:15" x14ac:dyDescent="0.3">
      <c r="A242" s="8" t="s">
        <v>64</v>
      </c>
      <c r="B242" s="8" t="s">
        <v>65</v>
      </c>
      <c r="C242" s="8">
        <v>2023</v>
      </c>
      <c r="D242" s="8">
        <v>679391532016</v>
      </c>
      <c r="E242" s="8">
        <v>2190000000000</v>
      </c>
      <c r="F242" s="8">
        <v>211140729</v>
      </c>
      <c r="G242" s="8">
        <v>3.2416553289999999</v>
      </c>
      <c r="H242" s="8">
        <v>33.666229829999999</v>
      </c>
      <c r="I242" s="8">
        <v>3217.72</v>
      </c>
      <c r="J242" s="8">
        <v>10372.23</v>
      </c>
      <c r="K242" s="8">
        <v>31.02</v>
      </c>
      <c r="L242" s="8">
        <v>20</v>
      </c>
      <c r="M242" s="8">
        <v>668926158390</v>
      </c>
      <c r="N242" s="8">
        <v>1.56</v>
      </c>
      <c r="O242" s="8" t="str">
        <f>vw_scenario_analysis_dataset[[#This Row],[reporter_name]] &amp; "-" &amp; vw_scenario_analysis_dataset[[#This Row],[reference_year]]</f>
        <v>Brazil-2023</v>
      </c>
    </row>
    <row r="243" spans="1:15" x14ac:dyDescent="0.3">
      <c r="A243" s="8" t="s">
        <v>64</v>
      </c>
      <c r="B243" s="8" t="s">
        <v>65</v>
      </c>
      <c r="C243" s="8">
        <v>2024</v>
      </c>
      <c r="D243" s="8">
        <v>674072550844</v>
      </c>
      <c r="E243" s="8">
        <v>2190000000000</v>
      </c>
      <c r="F243" s="8">
        <v>211998573</v>
      </c>
      <c r="G243" s="8">
        <v>3.419315165</v>
      </c>
      <c r="H243" s="8">
        <v>35.584523939999997</v>
      </c>
      <c r="I243" s="8">
        <v>3179.61</v>
      </c>
      <c r="J243" s="8">
        <v>10330.26</v>
      </c>
      <c r="K243" s="8">
        <v>30.78</v>
      </c>
      <c r="L243" s="8">
        <v>18</v>
      </c>
      <c r="M243" s="8">
        <v>679391532016</v>
      </c>
      <c r="N243" s="8">
        <v>-0.78</v>
      </c>
      <c r="O243" s="8" t="str">
        <f>vw_scenario_analysis_dataset[[#This Row],[reporter_name]] &amp; "-" &amp; vw_scenario_analysis_dataset[[#This Row],[reference_year]]</f>
        <v>Brazil-2024</v>
      </c>
    </row>
    <row r="244" spans="1:15" x14ac:dyDescent="0.3">
      <c r="A244" s="8" t="s">
        <v>66</v>
      </c>
      <c r="B244" s="8" t="s">
        <v>67</v>
      </c>
      <c r="C244" s="8">
        <v>2015</v>
      </c>
      <c r="D244" s="8">
        <v>965503890</v>
      </c>
      <c r="E244" s="8">
        <v>5699619150</v>
      </c>
      <c r="F244" s="8">
        <v>278990</v>
      </c>
      <c r="G244" s="8">
        <v>-0.77262007799999999</v>
      </c>
      <c r="H244" s="8"/>
      <c r="I244" s="8">
        <v>3460.71</v>
      </c>
      <c r="J244" s="8">
        <v>20429.47</v>
      </c>
      <c r="K244" s="8">
        <v>16.940000000000001</v>
      </c>
      <c r="L244" s="8">
        <v>141</v>
      </c>
      <c r="M244" s="8"/>
      <c r="N244" s="8"/>
      <c r="O244" s="8" t="str">
        <f>vw_scenario_analysis_dataset[[#This Row],[reporter_name]] &amp; "-" &amp; vw_scenario_analysis_dataset[[#This Row],[reference_year]]</f>
        <v>Barbados-2015</v>
      </c>
    </row>
    <row r="245" spans="1:15" x14ac:dyDescent="0.3">
      <c r="A245" s="8" t="s">
        <v>66</v>
      </c>
      <c r="B245" s="8" t="s">
        <v>67</v>
      </c>
      <c r="C245" s="8">
        <v>2016</v>
      </c>
      <c r="D245" s="8">
        <v>1033651786</v>
      </c>
      <c r="E245" s="8">
        <v>5679029450</v>
      </c>
      <c r="F245" s="8">
        <v>279598</v>
      </c>
      <c r="G245" s="8">
        <v>1.416324468</v>
      </c>
      <c r="H245" s="8"/>
      <c r="I245" s="8">
        <v>3696.92</v>
      </c>
      <c r="J245" s="8">
        <v>20311.41</v>
      </c>
      <c r="K245" s="8">
        <v>18.2</v>
      </c>
      <c r="L245" s="8">
        <v>142</v>
      </c>
      <c r="M245" s="8">
        <v>965503890</v>
      </c>
      <c r="N245" s="8">
        <v>7.06</v>
      </c>
      <c r="O245" s="8" t="str">
        <f>vw_scenario_analysis_dataset[[#This Row],[reporter_name]] &amp; "-" &amp; vw_scenario_analysis_dataset[[#This Row],[reference_year]]</f>
        <v>Barbados-2016</v>
      </c>
    </row>
    <row r="246" spans="1:15" x14ac:dyDescent="0.3">
      <c r="A246" s="8" t="s">
        <v>66</v>
      </c>
      <c r="B246" s="8" t="s">
        <v>67</v>
      </c>
      <c r="C246" s="8">
        <v>2017</v>
      </c>
      <c r="D246" s="8">
        <v>970775895</v>
      </c>
      <c r="E246" s="8">
        <v>5847381600</v>
      </c>
      <c r="F246" s="8">
        <v>280171</v>
      </c>
      <c r="G246" s="8">
        <v>0.65465560300000003</v>
      </c>
      <c r="H246" s="8"/>
      <c r="I246" s="8">
        <v>3464.94</v>
      </c>
      <c r="J246" s="8">
        <v>20870.759999999998</v>
      </c>
      <c r="K246" s="8">
        <v>16.600000000000001</v>
      </c>
      <c r="L246" s="8">
        <v>144</v>
      </c>
      <c r="M246" s="8">
        <v>1033651786</v>
      </c>
      <c r="N246" s="8">
        <v>-6.08</v>
      </c>
      <c r="O246" s="8" t="str">
        <f>vw_scenario_analysis_dataset[[#This Row],[reporter_name]] &amp; "-" &amp; vw_scenario_analysis_dataset[[#This Row],[reference_year]]</f>
        <v>Barbados-2017</v>
      </c>
    </row>
    <row r="247" spans="1:15" x14ac:dyDescent="0.3">
      <c r="A247" s="8" t="s">
        <v>66</v>
      </c>
      <c r="B247" s="8" t="s">
        <v>67</v>
      </c>
      <c r="C247" s="8">
        <v>2018</v>
      </c>
      <c r="D247" s="8">
        <v>915419501</v>
      </c>
      <c r="E247" s="8">
        <v>6001101550</v>
      </c>
      <c r="F247" s="8">
        <v>280711</v>
      </c>
      <c r="G247" s="8">
        <v>-0.252085326</v>
      </c>
      <c r="H247" s="8"/>
      <c r="I247" s="8">
        <v>3261.07</v>
      </c>
      <c r="J247" s="8">
        <v>21378.22</v>
      </c>
      <c r="K247" s="8">
        <v>15.25</v>
      </c>
      <c r="L247" s="8">
        <v>144</v>
      </c>
      <c r="M247" s="8">
        <v>970775895</v>
      </c>
      <c r="N247" s="8">
        <v>-5.7</v>
      </c>
      <c r="O247" s="8" t="str">
        <f>vw_scenario_analysis_dataset[[#This Row],[reporter_name]] &amp; "-" &amp; vw_scenario_analysis_dataset[[#This Row],[reference_year]]</f>
        <v>Barbados-2018</v>
      </c>
    </row>
    <row r="248" spans="1:15" x14ac:dyDescent="0.3">
      <c r="A248" s="8" t="s">
        <v>66</v>
      </c>
      <c r="B248" s="8" t="s">
        <v>67</v>
      </c>
      <c r="C248" s="8">
        <v>2019</v>
      </c>
      <c r="D248" s="8">
        <v>888170738</v>
      </c>
      <c r="E248" s="8">
        <v>6166710800</v>
      </c>
      <c r="F248" s="8">
        <v>281207</v>
      </c>
      <c r="G248" s="8">
        <v>0.24109978900000001</v>
      </c>
      <c r="H248" s="8"/>
      <c r="I248" s="8">
        <v>3158.42</v>
      </c>
      <c r="J248" s="8">
        <v>21929.439999999999</v>
      </c>
      <c r="K248" s="8">
        <v>14.4</v>
      </c>
      <c r="L248" s="8">
        <v>143</v>
      </c>
      <c r="M248" s="8">
        <v>915419501</v>
      </c>
      <c r="N248" s="8">
        <v>-2.98</v>
      </c>
      <c r="O248" s="8" t="str">
        <f>vw_scenario_analysis_dataset[[#This Row],[reporter_name]] &amp; "-" &amp; vw_scenario_analysis_dataset[[#This Row],[reference_year]]</f>
        <v>Barbados-2019</v>
      </c>
    </row>
    <row r="249" spans="1:15" x14ac:dyDescent="0.3">
      <c r="A249" s="8" t="s">
        <v>66</v>
      </c>
      <c r="B249" s="8" t="s">
        <v>67</v>
      </c>
      <c r="C249" s="8">
        <v>2020</v>
      </c>
      <c r="D249" s="8">
        <v>690412434</v>
      </c>
      <c r="E249" s="8">
        <v>5403246950</v>
      </c>
      <c r="F249" s="8">
        <v>281698</v>
      </c>
      <c r="G249" s="8">
        <v>-17.405931469999999</v>
      </c>
      <c r="H249" s="8"/>
      <c r="I249" s="8">
        <v>2450.9</v>
      </c>
      <c r="J249" s="8">
        <v>19180.990000000002</v>
      </c>
      <c r="K249" s="8">
        <v>12.78</v>
      </c>
      <c r="L249" s="8">
        <v>139</v>
      </c>
      <c r="M249" s="8">
        <v>888170738</v>
      </c>
      <c r="N249" s="8">
        <v>-22.27</v>
      </c>
      <c r="O249" s="8" t="str">
        <f>vw_scenario_analysis_dataset[[#This Row],[reporter_name]] &amp; "-" &amp; vw_scenario_analysis_dataset[[#This Row],[reference_year]]</f>
        <v>Barbados-2020</v>
      </c>
    </row>
    <row r="250" spans="1:15" x14ac:dyDescent="0.3">
      <c r="A250" s="8" t="s">
        <v>66</v>
      </c>
      <c r="B250" s="8" t="s">
        <v>67</v>
      </c>
      <c r="C250" s="8">
        <v>2021</v>
      </c>
      <c r="D250" s="8">
        <v>700345822</v>
      </c>
      <c r="E250" s="8">
        <v>5948900600</v>
      </c>
      <c r="F250" s="8">
        <v>282147</v>
      </c>
      <c r="G250" s="8">
        <v>8.0198770100000001</v>
      </c>
      <c r="H250" s="8"/>
      <c r="I250" s="8">
        <v>2482.1999999999998</v>
      </c>
      <c r="J250" s="8">
        <v>21084.400000000001</v>
      </c>
      <c r="K250" s="8">
        <v>11.77</v>
      </c>
      <c r="L250" s="8">
        <v>142</v>
      </c>
      <c r="M250" s="8">
        <v>690412434</v>
      </c>
      <c r="N250" s="8">
        <v>1.44</v>
      </c>
      <c r="O250" s="8" t="str">
        <f>vw_scenario_analysis_dataset[[#This Row],[reporter_name]] &amp; "-" &amp; vw_scenario_analysis_dataset[[#This Row],[reference_year]]</f>
        <v>Barbados-2021</v>
      </c>
    </row>
    <row r="251" spans="1:15" x14ac:dyDescent="0.3">
      <c r="A251" s="8" t="s">
        <v>66</v>
      </c>
      <c r="B251" s="8" t="s">
        <v>67</v>
      </c>
      <c r="C251" s="8">
        <v>2022</v>
      </c>
      <c r="D251" s="8">
        <v>995637396</v>
      </c>
      <c r="E251" s="8">
        <v>6886644900</v>
      </c>
      <c r="F251" s="8">
        <v>282318</v>
      </c>
      <c r="G251" s="8">
        <v>15.94532062</v>
      </c>
      <c r="H251" s="8"/>
      <c r="I251" s="8">
        <v>3526.65</v>
      </c>
      <c r="J251" s="8">
        <v>24393.22</v>
      </c>
      <c r="K251" s="8">
        <v>14.46</v>
      </c>
      <c r="L251" s="8">
        <v>137</v>
      </c>
      <c r="M251" s="8">
        <v>700345822</v>
      </c>
      <c r="N251" s="8">
        <v>42.16</v>
      </c>
      <c r="O251" s="8" t="str">
        <f>vw_scenario_analysis_dataset[[#This Row],[reporter_name]] &amp; "-" &amp; vw_scenario_analysis_dataset[[#This Row],[reference_year]]</f>
        <v>Barbados-2022</v>
      </c>
    </row>
    <row r="252" spans="1:15" x14ac:dyDescent="0.3">
      <c r="A252" s="8" t="s">
        <v>66</v>
      </c>
      <c r="B252" s="8" t="s">
        <v>67</v>
      </c>
      <c r="C252" s="8">
        <v>2023</v>
      </c>
      <c r="D252" s="8">
        <v>951685098</v>
      </c>
      <c r="E252" s="8">
        <v>7223248150</v>
      </c>
      <c r="F252" s="8">
        <v>282336</v>
      </c>
      <c r="G252" s="8">
        <v>1.8141981780000001</v>
      </c>
      <c r="H252" s="8"/>
      <c r="I252" s="8">
        <v>3370.75</v>
      </c>
      <c r="J252" s="8">
        <v>25583.87</v>
      </c>
      <c r="K252" s="8">
        <v>13.18</v>
      </c>
      <c r="L252" s="8">
        <v>134</v>
      </c>
      <c r="M252" s="8">
        <v>995637396</v>
      </c>
      <c r="N252" s="8">
        <v>-4.41</v>
      </c>
      <c r="O252" s="8" t="str">
        <f>vw_scenario_analysis_dataset[[#This Row],[reporter_name]] &amp; "-" &amp; vw_scenario_analysis_dataset[[#This Row],[reference_year]]</f>
        <v>Barbados-2023</v>
      </c>
    </row>
    <row r="253" spans="1:15" x14ac:dyDescent="0.3">
      <c r="A253" s="8" t="s">
        <v>66</v>
      </c>
      <c r="B253" s="8" t="s">
        <v>67</v>
      </c>
      <c r="C253" s="8">
        <v>2024</v>
      </c>
      <c r="D253" s="8">
        <v>987998342</v>
      </c>
      <c r="E253" s="8">
        <v>7597571450</v>
      </c>
      <c r="F253" s="8">
        <v>282467</v>
      </c>
      <c r="G253" s="8">
        <v>3.366949258</v>
      </c>
      <c r="H253" s="8"/>
      <c r="I253" s="8">
        <v>3497.75</v>
      </c>
      <c r="J253" s="8">
        <v>26897.200000000001</v>
      </c>
      <c r="K253" s="8">
        <v>13</v>
      </c>
      <c r="L253" s="8">
        <v>120</v>
      </c>
      <c r="M253" s="8">
        <v>951685098</v>
      </c>
      <c r="N253" s="8">
        <v>3.82</v>
      </c>
      <c r="O253" s="8" t="str">
        <f>vw_scenario_analysis_dataset[[#This Row],[reporter_name]] &amp; "-" &amp; vw_scenario_analysis_dataset[[#This Row],[reference_year]]</f>
        <v>Barbados-2024</v>
      </c>
    </row>
    <row r="254" spans="1:15" x14ac:dyDescent="0.3">
      <c r="A254" s="8" t="s">
        <v>68</v>
      </c>
      <c r="B254" s="8" t="s">
        <v>69</v>
      </c>
      <c r="C254" s="8">
        <v>2015</v>
      </c>
      <c r="D254" s="8">
        <v>12705324985</v>
      </c>
      <c r="E254" s="8">
        <v>12930296870</v>
      </c>
      <c r="F254" s="8">
        <v>422212</v>
      </c>
      <c r="G254" s="8">
        <v>-0.39238374999999998</v>
      </c>
      <c r="H254" s="8">
        <v>89.896188249999994</v>
      </c>
      <c r="I254" s="8">
        <v>30092.29</v>
      </c>
      <c r="J254" s="8">
        <v>30625.13</v>
      </c>
      <c r="K254" s="8">
        <v>98.26</v>
      </c>
      <c r="L254" s="8">
        <v>90</v>
      </c>
      <c r="M254" s="8"/>
      <c r="N254" s="8"/>
      <c r="O254" s="8" t="str">
        <f>vw_scenario_analysis_dataset[[#This Row],[reporter_name]] &amp; "-" &amp; vw_scenario_analysis_dataset[[#This Row],[reference_year]]</f>
        <v>Brunei Darussalam-2015</v>
      </c>
    </row>
    <row r="255" spans="1:15" x14ac:dyDescent="0.3">
      <c r="A255" s="8" t="s">
        <v>68</v>
      </c>
      <c r="B255" s="8" t="s">
        <v>69</v>
      </c>
      <c r="C255" s="8">
        <v>2016</v>
      </c>
      <c r="D255" s="8">
        <v>9750150611</v>
      </c>
      <c r="E255" s="8">
        <v>11400266045</v>
      </c>
      <c r="F255" s="8">
        <v>427564</v>
      </c>
      <c r="G255" s="8">
        <v>-2.477917718</v>
      </c>
      <c r="H255" s="8">
        <v>87.319801330000004</v>
      </c>
      <c r="I255" s="8">
        <v>22803.96</v>
      </c>
      <c r="J255" s="8">
        <v>26663.3</v>
      </c>
      <c r="K255" s="8">
        <v>85.53</v>
      </c>
      <c r="L255" s="8">
        <v>96</v>
      </c>
      <c r="M255" s="8">
        <v>12705324985</v>
      </c>
      <c r="N255" s="8">
        <v>-23.26</v>
      </c>
      <c r="O255" s="8" t="str">
        <f>vw_scenario_analysis_dataset[[#This Row],[reporter_name]] &amp; "-" &amp; vw_scenario_analysis_dataset[[#This Row],[reference_year]]</f>
        <v>Brunei Darussalam-2016</v>
      </c>
    </row>
    <row r="256" spans="1:15" x14ac:dyDescent="0.3">
      <c r="A256" s="8" t="s">
        <v>68</v>
      </c>
      <c r="B256" s="8" t="s">
        <v>69</v>
      </c>
      <c r="C256" s="8">
        <v>2017</v>
      </c>
      <c r="D256" s="8">
        <v>11141150427.531998</v>
      </c>
      <c r="E256" s="8">
        <v>12128168045</v>
      </c>
      <c r="F256" s="8">
        <v>432772</v>
      </c>
      <c r="G256" s="8">
        <v>1.328726611</v>
      </c>
      <c r="H256" s="8">
        <v>85.176860430000005</v>
      </c>
      <c r="I256" s="8">
        <v>25743.7</v>
      </c>
      <c r="J256" s="8">
        <v>28024.38</v>
      </c>
      <c r="K256" s="8">
        <v>91.86</v>
      </c>
      <c r="L256" s="8">
        <v>97</v>
      </c>
      <c r="M256" s="8">
        <v>9750150611</v>
      </c>
      <c r="N256" s="8">
        <v>14.27</v>
      </c>
      <c r="O256" s="8" t="str">
        <f>vw_scenario_analysis_dataset[[#This Row],[reporter_name]] &amp; "-" &amp; vw_scenario_analysis_dataset[[#This Row],[reference_year]]</f>
        <v>Brunei Darussalam-2017</v>
      </c>
    </row>
    <row r="257" spans="1:15" x14ac:dyDescent="0.3">
      <c r="A257" s="8" t="s">
        <v>68</v>
      </c>
      <c r="B257" s="8" t="s">
        <v>69</v>
      </c>
      <c r="C257" s="8">
        <v>2018</v>
      </c>
      <c r="D257" s="8">
        <v>13147273885.264013</v>
      </c>
      <c r="E257" s="8">
        <v>13566908391</v>
      </c>
      <c r="F257" s="8">
        <v>437810</v>
      </c>
      <c r="G257" s="8">
        <v>5.2371042E-2</v>
      </c>
      <c r="H257" s="8">
        <v>93.898061769999998</v>
      </c>
      <c r="I257" s="8">
        <v>30029.63</v>
      </c>
      <c r="J257" s="8">
        <v>30988.12</v>
      </c>
      <c r="K257" s="8">
        <v>96.91</v>
      </c>
      <c r="L257" s="8">
        <v>94</v>
      </c>
      <c r="M257" s="8">
        <v>11141150427.531998</v>
      </c>
      <c r="N257" s="8">
        <v>18.010000000000002</v>
      </c>
      <c r="O257" s="8" t="str">
        <f>vw_scenario_analysis_dataset[[#This Row],[reporter_name]] &amp; "-" &amp; vw_scenario_analysis_dataset[[#This Row],[reference_year]]</f>
        <v>Brunei Darussalam-2018</v>
      </c>
    </row>
    <row r="258" spans="1:15" x14ac:dyDescent="0.3">
      <c r="A258" s="8" t="s">
        <v>68</v>
      </c>
      <c r="B258" s="8" t="s">
        <v>69</v>
      </c>
      <c r="C258" s="8">
        <v>2019</v>
      </c>
      <c r="D258" s="8">
        <v>14078166171.500002</v>
      </c>
      <c r="E258" s="8">
        <v>13469235365</v>
      </c>
      <c r="F258" s="8">
        <v>442680</v>
      </c>
      <c r="G258" s="8">
        <v>3.8688443619999999</v>
      </c>
      <c r="H258" s="8">
        <v>108.50965840000001</v>
      </c>
      <c r="I258" s="8">
        <v>31802.13</v>
      </c>
      <c r="J258" s="8">
        <v>30426.57</v>
      </c>
      <c r="K258" s="8">
        <v>104.52</v>
      </c>
      <c r="L258" s="8">
        <v>91</v>
      </c>
      <c r="M258" s="8">
        <v>13147273885.264013</v>
      </c>
      <c r="N258" s="8">
        <v>7.08</v>
      </c>
      <c r="O258" s="8" t="str">
        <f>vw_scenario_analysis_dataset[[#This Row],[reporter_name]] &amp; "-" &amp; vw_scenario_analysis_dataset[[#This Row],[reference_year]]</f>
        <v>Brunei Darussalam-2019</v>
      </c>
    </row>
    <row r="259" spans="1:15" x14ac:dyDescent="0.3">
      <c r="A259" s="8" t="s">
        <v>68</v>
      </c>
      <c r="B259" s="8" t="s">
        <v>69</v>
      </c>
      <c r="C259" s="8">
        <v>2020</v>
      </c>
      <c r="D259" s="8">
        <v>13216355704.199999</v>
      </c>
      <c r="E259" s="8">
        <v>12005799654</v>
      </c>
      <c r="F259" s="8">
        <v>447404</v>
      </c>
      <c r="G259" s="8">
        <v>1.13357335</v>
      </c>
      <c r="H259" s="8">
        <v>110.2910037</v>
      </c>
      <c r="I259" s="8">
        <v>29540.09</v>
      </c>
      <c r="J259" s="8">
        <v>26834.36</v>
      </c>
      <c r="K259" s="8">
        <v>110.08</v>
      </c>
      <c r="L259" s="8">
        <v>88</v>
      </c>
      <c r="M259" s="8">
        <v>14078166171.500002</v>
      </c>
      <c r="N259" s="8">
        <v>-6.12</v>
      </c>
      <c r="O259" s="8" t="str">
        <f>vw_scenario_analysis_dataset[[#This Row],[reporter_name]] &amp; "-" &amp; vw_scenario_analysis_dataset[[#This Row],[reference_year]]</f>
        <v>Brunei Darussalam-2020</v>
      </c>
    </row>
    <row r="260" spans="1:15" x14ac:dyDescent="0.3">
      <c r="A260" s="8" t="s">
        <v>68</v>
      </c>
      <c r="B260" s="8" t="s">
        <v>69</v>
      </c>
      <c r="C260" s="8">
        <v>2021</v>
      </c>
      <c r="D260" s="8">
        <v>22116368746.02</v>
      </c>
      <c r="E260" s="8">
        <v>14006496617</v>
      </c>
      <c r="F260" s="8">
        <v>451721</v>
      </c>
      <c r="G260" s="8">
        <v>-1.590762601</v>
      </c>
      <c r="H260" s="8">
        <v>147.1231124</v>
      </c>
      <c r="I260" s="8">
        <v>48960.24</v>
      </c>
      <c r="J260" s="8">
        <v>31006.959999999999</v>
      </c>
      <c r="K260" s="8">
        <v>157.9</v>
      </c>
      <c r="L260" s="8">
        <v>80</v>
      </c>
      <c r="M260" s="8">
        <v>13216355704.199999</v>
      </c>
      <c r="N260" s="8">
        <v>67.34</v>
      </c>
      <c r="O260" s="8" t="str">
        <f>vw_scenario_analysis_dataset[[#This Row],[reporter_name]] &amp; "-" &amp; vw_scenario_analysis_dataset[[#This Row],[reference_year]]</f>
        <v>Brunei Darussalam-2021</v>
      </c>
    </row>
    <row r="261" spans="1:15" x14ac:dyDescent="0.3">
      <c r="A261" s="8" t="s">
        <v>68</v>
      </c>
      <c r="B261" s="8" t="s">
        <v>69</v>
      </c>
      <c r="C261" s="8">
        <v>2022</v>
      </c>
      <c r="D261" s="8">
        <v>28460476623.005985</v>
      </c>
      <c r="E261" s="8">
        <v>16681536467</v>
      </c>
      <c r="F261" s="8">
        <v>455370</v>
      </c>
      <c r="G261" s="8">
        <v>-1.628331545</v>
      </c>
      <c r="H261" s="8">
        <v>146.9739659</v>
      </c>
      <c r="I261" s="8">
        <v>62499.67</v>
      </c>
      <c r="J261" s="8">
        <v>36632.93</v>
      </c>
      <c r="K261" s="8">
        <v>170.61</v>
      </c>
      <c r="L261" s="8">
        <v>76</v>
      </c>
      <c r="M261" s="8">
        <v>22116368746.02</v>
      </c>
      <c r="N261" s="8">
        <v>28.69</v>
      </c>
      <c r="O261" s="8" t="str">
        <f>vw_scenario_analysis_dataset[[#This Row],[reporter_name]] &amp; "-" &amp; vw_scenario_analysis_dataset[[#This Row],[reference_year]]</f>
        <v>Brunei Darussalam-2022</v>
      </c>
    </row>
    <row r="262" spans="1:15" x14ac:dyDescent="0.3">
      <c r="A262" s="8" t="s">
        <v>68</v>
      </c>
      <c r="B262" s="8" t="s">
        <v>69</v>
      </c>
      <c r="C262" s="8">
        <v>2023</v>
      </c>
      <c r="D262" s="8">
        <v>22481249410.540012</v>
      </c>
      <c r="E262" s="8">
        <v>15095084656</v>
      </c>
      <c r="F262" s="8">
        <v>458949</v>
      </c>
      <c r="G262" s="8">
        <v>1.1276441820000001</v>
      </c>
      <c r="H262" s="8">
        <v>136.8634347</v>
      </c>
      <c r="I262" s="8">
        <v>48984.2</v>
      </c>
      <c r="J262" s="8">
        <v>32890.550000000003</v>
      </c>
      <c r="K262" s="8">
        <v>148.93</v>
      </c>
      <c r="L262" s="8">
        <v>80</v>
      </c>
      <c r="M262" s="8">
        <v>28460476623.005985</v>
      </c>
      <c r="N262" s="8">
        <v>-21.01</v>
      </c>
      <c r="O262" s="8" t="str">
        <f>vw_scenario_analysis_dataset[[#This Row],[reporter_name]] &amp; "-" &amp; vw_scenario_analysis_dataset[[#This Row],[reference_year]]</f>
        <v>Brunei Darussalam-2023</v>
      </c>
    </row>
    <row r="263" spans="1:15" x14ac:dyDescent="0.3">
      <c r="A263" s="8" t="s">
        <v>68</v>
      </c>
      <c r="B263" s="8" t="s">
        <v>69</v>
      </c>
      <c r="C263" s="8">
        <v>2024</v>
      </c>
      <c r="D263" s="8">
        <v>22516988211.682999</v>
      </c>
      <c r="E263" s="8">
        <v>15340808592</v>
      </c>
      <c r="F263" s="8">
        <v>462721</v>
      </c>
      <c r="G263" s="8">
        <v>4.0525170929999996</v>
      </c>
      <c r="H263" s="8">
        <v>132.58743949999999</v>
      </c>
      <c r="I263" s="8">
        <v>48662.13</v>
      </c>
      <c r="J263" s="8">
        <v>33153.47</v>
      </c>
      <c r="K263" s="8">
        <v>146.78</v>
      </c>
      <c r="L263" s="8">
        <v>77</v>
      </c>
      <c r="M263" s="8">
        <v>22481249410.540012</v>
      </c>
      <c r="N263" s="8">
        <v>0.16</v>
      </c>
      <c r="O263" s="8" t="str">
        <f>vw_scenario_analysis_dataset[[#This Row],[reporter_name]] &amp; "-" &amp; vw_scenario_analysis_dataset[[#This Row],[reference_year]]</f>
        <v>Brunei Darussalam-2024</v>
      </c>
    </row>
    <row r="264" spans="1:15" x14ac:dyDescent="0.3">
      <c r="A264" s="8" t="s">
        <v>70</v>
      </c>
      <c r="B264" s="8" t="s">
        <v>71</v>
      </c>
      <c r="C264" s="8">
        <v>2016</v>
      </c>
      <c r="D264" s="8">
        <v>661686896.30799985</v>
      </c>
      <c r="E264" s="8">
        <v>2357504761</v>
      </c>
      <c r="F264" s="8">
        <v>747866</v>
      </c>
      <c r="G264" s="8">
        <v>8.4759433919999996</v>
      </c>
      <c r="H264" s="8">
        <v>76.384752849999998</v>
      </c>
      <c r="I264" s="8">
        <v>884.77</v>
      </c>
      <c r="J264" s="8">
        <v>3152.31</v>
      </c>
      <c r="K264" s="8">
        <v>28.07</v>
      </c>
      <c r="L264" s="8">
        <v>150</v>
      </c>
      <c r="M264" s="8"/>
      <c r="N264" s="8"/>
      <c r="O264" s="8" t="str">
        <f>vw_scenario_analysis_dataset[[#This Row],[reporter_name]] &amp; "-" &amp; vw_scenario_analysis_dataset[[#This Row],[reference_year]]</f>
        <v>Bhutan-2016</v>
      </c>
    </row>
    <row r="265" spans="1:15" x14ac:dyDescent="0.3">
      <c r="A265" s="8" t="s">
        <v>70</v>
      </c>
      <c r="B265" s="8" t="s">
        <v>71</v>
      </c>
      <c r="C265" s="8">
        <v>2017</v>
      </c>
      <c r="D265" s="8">
        <v>778286134.45899999</v>
      </c>
      <c r="E265" s="8">
        <v>2591358009</v>
      </c>
      <c r="F265" s="8">
        <v>754335</v>
      </c>
      <c r="G265" s="8">
        <v>2.086845227</v>
      </c>
      <c r="H265" s="8">
        <v>76.788401690000001</v>
      </c>
      <c r="I265" s="8">
        <v>1031.75</v>
      </c>
      <c r="J265" s="8">
        <v>3435.29</v>
      </c>
      <c r="K265" s="8">
        <v>30.03</v>
      </c>
      <c r="L265" s="8">
        <v>147</v>
      </c>
      <c r="M265" s="8">
        <v>661686896.30799985</v>
      </c>
      <c r="N265" s="8">
        <v>17.62</v>
      </c>
      <c r="O265" s="8" t="str">
        <f>vw_scenario_analysis_dataset[[#This Row],[reporter_name]] &amp; "-" &amp; vw_scenario_analysis_dataset[[#This Row],[reference_year]]</f>
        <v>Bhutan-2017</v>
      </c>
    </row>
    <row r="266" spans="1:15" x14ac:dyDescent="0.3">
      <c r="A266" s="8" t="s">
        <v>70</v>
      </c>
      <c r="B266" s="8" t="s">
        <v>71</v>
      </c>
      <c r="C266" s="8">
        <v>2018</v>
      </c>
      <c r="D266" s="8">
        <v>901878176.74000013</v>
      </c>
      <c r="E266" s="8">
        <v>2583335722</v>
      </c>
      <c r="F266" s="8">
        <v>759759</v>
      </c>
      <c r="G266" s="8">
        <v>3.5018718569999998</v>
      </c>
      <c r="H266" s="8">
        <v>79.739720329999997</v>
      </c>
      <c r="I266" s="8">
        <v>1187.06</v>
      </c>
      <c r="J266" s="8">
        <v>3400.2</v>
      </c>
      <c r="K266" s="8">
        <v>34.909999999999997</v>
      </c>
      <c r="L266" s="8">
        <v>145</v>
      </c>
      <c r="M266" s="8">
        <v>778286134.45899999</v>
      </c>
      <c r="N266" s="8">
        <v>15.88</v>
      </c>
      <c r="O266" s="8" t="str">
        <f>vw_scenario_analysis_dataset[[#This Row],[reporter_name]] &amp; "-" &amp; vw_scenario_analysis_dataset[[#This Row],[reference_year]]</f>
        <v>Bhutan-2018</v>
      </c>
    </row>
    <row r="267" spans="1:15" x14ac:dyDescent="0.3">
      <c r="A267" s="8" t="s">
        <v>70</v>
      </c>
      <c r="B267" s="8" t="s">
        <v>71</v>
      </c>
      <c r="C267" s="8">
        <v>2019</v>
      </c>
      <c r="D267" s="8">
        <v>888287306.91199994</v>
      </c>
      <c r="E267" s="8">
        <v>2735683570</v>
      </c>
      <c r="F267" s="8">
        <v>764824</v>
      </c>
      <c r="G267" s="8">
        <v>5.7551485119999999</v>
      </c>
      <c r="H267" s="8">
        <v>76.123516699999996</v>
      </c>
      <c r="I267" s="8">
        <v>1161.43</v>
      </c>
      <c r="J267" s="8">
        <v>3576.88</v>
      </c>
      <c r="K267" s="8">
        <v>32.47</v>
      </c>
      <c r="L267" s="8">
        <v>142</v>
      </c>
      <c r="M267" s="8">
        <v>901878176.74000013</v>
      </c>
      <c r="N267" s="8">
        <v>-1.51</v>
      </c>
      <c r="O267" s="8" t="str">
        <f>vw_scenario_analysis_dataset[[#This Row],[reporter_name]] &amp; "-" &amp; vw_scenario_analysis_dataset[[#This Row],[reference_year]]</f>
        <v>Bhutan-2019</v>
      </c>
    </row>
    <row r="268" spans="1:15" x14ac:dyDescent="0.3">
      <c r="A268" s="8" t="s">
        <v>70</v>
      </c>
      <c r="B268" s="8" t="s">
        <v>71</v>
      </c>
      <c r="C268" s="8">
        <v>2020</v>
      </c>
      <c r="D268" s="8">
        <v>559876952.495</v>
      </c>
      <c r="E268" s="8">
        <v>2457604334</v>
      </c>
      <c r="F268" s="8">
        <v>770006</v>
      </c>
      <c r="G268" s="8">
        <v>-10.218397420000001</v>
      </c>
      <c r="H268" s="8">
        <v>71.830351039999996</v>
      </c>
      <c r="I268" s="8">
        <v>727.11</v>
      </c>
      <c r="J268" s="8">
        <v>3191.67</v>
      </c>
      <c r="K268" s="8">
        <v>22.78</v>
      </c>
      <c r="L268" s="8">
        <v>141</v>
      </c>
      <c r="M268" s="8">
        <v>888287306.91199994</v>
      </c>
      <c r="N268" s="8">
        <v>-36.97</v>
      </c>
      <c r="O268" s="8" t="str">
        <f>vw_scenario_analysis_dataset[[#This Row],[reporter_name]] &amp; "-" &amp; vw_scenario_analysis_dataset[[#This Row],[reference_year]]</f>
        <v>Bhutan-2020</v>
      </c>
    </row>
    <row r="269" spans="1:15" x14ac:dyDescent="0.3">
      <c r="A269" s="8" t="s">
        <v>70</v>
      </c>
      <c r="B269" s="8" t="s">
        <v>71</v>
      </c>
      <c r="C269" s="8">
        <v>2022</v>
      </c>
      <c r="D269" s="8">
        <v>875764012.62800014</v>
      </c>
      <c r="E269" s="8">
        <v>2898227744</v>
      </c>
      <c r="F269" s="8">
        <v>780914</v>
      </c>
      <c r="G269" s="8">
        <v>5.2138678379999996</v>
      </c>
      <c r="H269" s="8">
        <v>85.571216519999993</v>
      </c>
      <c r="I269" s="8">
        <v>1121.46</v>
      </c>
      <c r="J269" s="8">
        <v>3711.33</v>
      </c>
      <c r="K269" s="8">
        <v>30.22</v>
      </c>
      <c r="L269" s="8">
        <v>139</v>
      </c>
      <c r="M269" s="8">
        <v>559876952.495</v>
      </c>
      <c r="N269" s="8">
        <v>56.42</v>
      </c>
      <c r="O269" s="8" t="str">
        <f>vw_scenario_analysis_dataset[[#This Row],[reporter_name]] &amp; "-" &amp; vw_scenario_analysis_dataset[[#This Row],[reference_year]]</f>
        <v>Bhutan-2022</v>
      </c>
    </row>
    <row r="270" spans="1:15" x14ac:dyDescent="0.3">
      <c r="A270" s="8" t="s">
        <v>70</v>
      </c>
      <c r="B270" s="8" t="s">
        <v>71</v>
      </c>
      <c r="C270" s="8">
        <v>2023</v>
      </c>
      <c r="D270" s="8">
        <v>871251760.67499995</v>
      </c>
      <c r="E270" s="8">
        <v>3012896790</v>
      </c>
      <c r="F270" s="8">
        <v>786385</v>
      </c>
      <c r="G270" s="8">
        <v>4.6321570300000001</v>
      </c>
      <c r="H270" s="8">
        <v>81.736627850000005</v>
      </c>
      <c r="I270" s="8">
        <v>1107.92</v>
      </c>
      <c r="J270" s="8">
        <v>3831.33</v>
      </c>
      <c r="K270" s="8">
        <v>28.92</v>
      </c>
      <c r="L270" s="8">
        <v>137</v>
      </c>
      <c r="M270" s="8">
        <v>875764012.62800014</v>
      </c>
      <c r="N270" s="8">
        <v>-0.52</v>
      </c>
      <c r="O270" s="8" t="str">
        <f>vw_scenario_analysis_dataset[[#This Row],[reporter_name]] &amp; "-" &amp; vw_scenario_analysis_dataset[[#This Row],[reference_year]]</f>
        <v>Bhutan-2023</v>
      </c>
    </row>
    <row r="271" spans="1:15" x14ac:dyDescent="0.3">
      <c r="A271" s="8" t="s">
        <v>72</v>
      </c>
      <c r="B271" s="8" t="s">
        <v>73</v>
      </c>
      <c r="C271" s="8">
        <v>2015</v>
      </c>
      <c r="D271" s="8">
        <v>12659493236.90601</v>
      </c>
      <c r="E271" s="8">
        <v>13530748845</v>
      </c>
      <c r="F271" s="8">
        <v>2203273</v>
      </c>
      <c r="G271" s="8">
        <v>-4.851325074</v>
      </c>
      <c r="H271" s="8">
        <v>112.900891</v>
      </c>
      <c r="I271" s="8">
        <v>5745.77</v>
      </c>
      <c r="J271" s="8">
        <v>6141.2</v>
      </c>
      <c r="K271" s="8">
        <v>93.56</v>
      </c>
      <c r="L271" s="8">
        <v>91</v>
      </c>
      <c r="M271" s="8"/>
      <c r="N271" s="8"/>
      <c r="O271" s="8" t="str">
        <f>vw_scenario_analysis_dataset[[#This Row],[reporter_name]] &amp; "-" &amp; vw_scenario_analysis_dataset[[#This Row],[reference_year]]</f>
        <v>Botswana-2015</v>
      </c>
    </row>
    <row r="272" spans="1:15" x14ac:dyDescent="0.3">
      <c r="A272" s="8" t="s">
        <v>72</v>
      </c>
      <c r="B272" s="8" t="s">
        <v>73</v>
      </c>
      <c r="C272" s="8">
        <v>2016</v>
      </c>
      <c r="D272" s="8">
        <v>14641411657</v>
      </c>
      <c r="E272" s="8">
        <v>15082637184</v>
      </c>
      <c r="F272" s="8">
        <v>2234776</v>
      </c>
      <c r="G272" s="8">
        <v>7.2044247590000001</v>
      </c>
      <c r="H272" s="8">
        <v>100.4646898</v>
      </c>
      <c r="I272" s="8">
        <v>6551.62</v>
      </c>
      <c r="J272" s="8">
        <v>6749.06</v>
      </c>
      <c r="K272" s="8">
        <v>97.07</v>
      </c>
      <c r="L272" s="8">
        <v>87</v>
      </c>
      <c r="M272" s="8">
        <v>12659493236.90601</v>
      </c>
      <c r="N272" s="8">
        <v>15.66</v>
      </c>
      <c r="O272" s="8" t="str">
        <f>vw_scenario_analysis_dataset[[#This Row],[reporter_name]] &amp; "-" &amp; vw_scenario_analysis_dataset[[#This Row],[reference_year]]</f>
        <v>Botswana-2016</v>
      </c>
    </row>
    <row r="273" spans="1:15" x14ac:dyDescent="0.3">
      <c r="A273" s="8" t="s">
        <v>72</v>
      </c>
      <c r="B273" s="8" t="s">
        <v>73</v>
      </c>
      <c r="C273" s="8">
        <v>2017</v>
      </c>
      <c r="D273" s="8">
        <v>11925822520.800003</v>
      </c>
      <c r="E273" s="8">
        <v>16105155857</v>
      </c>
      <c r="F273" s="8">
        <v>2266747</v>
      </c>
      <c r="G273" s="8">
        <v>4.1143785639999999</v>
      </c>
      <c r="H273" s="8">
        <v>81.923951380000005</v>
      </c>
      <c r="I273" s="8">
        <v>5261.21</v>
      </c>
      <c r="J273" s="8">
        <v>7104.96</v>
      </c>
      <c r="K273" s="8">
        <v>74.05</v>
      </c>
      <c r="L273" s="8">
        <v>92</v>
      </c>
      <c r="M273" s="8">
        <v>14641411657</v>
      </c>
      <c r="N273" s="8">
        <v>-18.55</v>
      </c>
      <c r="O273" s="8" t="str">
        <f>vw_scenario_analysis_dataset[[#This Row],[reporter_name]] &amp; "-" &amp; vw_scenario_analysis_dataset[[#This Row],[reference_year]]</f>
        <v>Botswana-2017</v>
      </c>
    </row>
    <row r="274" spans="1:15" x14ac:dyDescent="0.3">
      <c r="A274" s="8" t="s">
        <v>72</v>
      </c>
      <c r="B274" s="8" t="s">
        <v>73</v>
      </c>
      <c r="C274" s="8">
        <v>2018</v>
      </c>
      <c r="D274" s="8">
        <v>13435474450.432007</v>
      </c>
      <c r="E274" s="8">
        <v>17031943186</v>
      </c>
      <c r="F274" s="8">
        <v>2299141</v>
      </c>
      <c r="G274" s="8">
        <v>4.1886923720000002</v>
      </c>
      <c r="H274" s="8">
        <v>87.455103989999998</v>
      </c>
      <c r="I274" s="8">
        <v>5843.69</v>
      </c>
      <c r="J274" s="8">
        <v>7407.96</v>
      </c>
      <c r="K274" s="8">
        <v>78.88</v>
      </c>
      <c r="L274" s="8">
        <v>93</v>
      </c>
      <c r="M274" s="8">
        <v>11925822520.800003</v>
      </c>
      <c r="N274" s="8">
        <v>12.66</v>
      </c>
      <c r="O274" s="8" t="str">
        <f>vw_scenario_analysis_dataset[[#This Row],[reporter_name]] &amp; "-" &amp; vw_scenario_analysis_dataset[[#This Row],[reference_year]]</f>
        <v>Botswana-2018</v>
      </c>
    </row>
    <row r="275" spans="1:15" x14ac:dyDescent="0.3">
      <c r="A275" s="8" t="s">
        <v>72</v>
      </c>
      <c r="B275" s="8" t="s">
        <v>73</v>
      </c>
      <c r="C275" s="8">
        <v>2019</v>
      </c>
      <c r="D275" s="8">
        <v>10625814021.289</v>
      </c>
      <c r="E275" s="8">
        <v>16725908149</v>
      </c>
      <c r="F275" s="8">
        <v>2332083</v>
      </c>
      <c r="G275" s="8">
        <v>3.0317733950000001</v>
      </c>
      <c r="H275" s="8">
        <v>83.092981359999996</v>
      </c>
      <c r="I275" s="8">
        <v>4556.3599999999997</v>
      </c>
      <c r="J275" s="8">
        <v>7172.09</v>
      </c>
      <c r="K275" s="8">
        <v>63.53</v>
      </c>
      <c r="L275" s="8">
        <v>97</v>
      </c>
      <c r="M275" s="8">
        <v>13435474450.432007</v>
      </c>
      <c r="N275" s="8">
        <v>-20.91</v>
      </c>
      <c r="O275" s="8" t="str">
        <f>vw_scenario_analysis_dataset[[#This Row],[reporter_name]] &amp; "-" &amp; vw_scenario_analysis_dataset[[#This Row],[reference_year]]</f>
        <v>Botswana-2019</v>
      </c>
    </row>
    <row r="276" spans="1:15" x14ac:dyDescent="0.3">
      <c r="A276" s="8" t="s">
        <v>72</v>
      </c>
      <c r="B276" s="8" t="s">
        <v>73</v>
      </c>
      <c r="C276" s="8">
        <v>2020</v>
      </c>
      <c r="D276" s="8">
        <v>8752912475.6839981</v>
      </c>
      <c r="E276" s="8">
        <v>14960251608</v>
      </c>
      <c r="F276" s="8">
        <v>2365894</v>
      </c>
      <c r="G276" s="8">
        <v>-8.7288824399999996</v>
      </c>
      <c r="H276" s="8">
        <v>80.325034489999993</v>
      </c>
      <c r="I276" s="8">
        <v>3699.62</v>
      </c>
      <c r="J276" s="8">
        <v>6323.3</v>
      </c>
      <c r="K276" s="8">
        <v>58.51</v>
      </c>
      <c r="L276" s="8">
        <v>101</v>
      </c>
      <c r="M276" s="8">
        <v>10625814021.289</v>
      </c>
      <c r="N276" s="8">
        <v>-17.63</v>
      </c>
      <c r="O276" s="8" t="str">
        <f>vw_scenario_analysis_dataset[[#This Row],[reporter_name]] &amp; "-" &amp; vw_scenario_analysis_dataset[[#This Row],[reference_year]]</f>
        <v>Botswana-2020</v>
      </c>
    </row>
    <row r="277" spans="1:15" x14ac:dyDescent="0.3">
      <c r="A277" s="8" t="s">
        <v>72</v>
      </c>
      <c r="B277" s="8" t="s">
        <v>73</v>
      </c>
      <c r="C277" s="8">
        <v>2021</v>
      </c>
      <c r="D277" s="8">
        <v>14949783316.002993</v>
      </c>
      <c r="E277" s="8">
        <v>18750182236</v>
      </c>
      <c r="F277" s="8">
        <v>2401441</v>
      </c>
      <c r="G277" s="8">
        <v>11.91627244</v>
      </c>
      <c r="H277" s="8">
        <v>91.047849740000004</v>
      </c>
      <c r="I277" s="8">
        <v>6225.34</v>
      </c>
      <c r="J277" s="8">
        <v>7807.89</v>
      </c>
      <c r="K277" s="8">
        <v>79.73</v>
      </c>
      <c r="L277" s="8">
        <v>92</v>
      </c>
      <c r="M277" s="8">
        <v>8752912475.6839981</v>
      </c>
      <c r="N277" s="8">
        <v>70.8</v>
      </c>
      <c r="O277" s="8" t="str">
        <f>vw_scenario_analysis_dataset[[#This Row],[reporter_name]] &amp; "-" &amp; vw_scenario_analysis_dataset[[#This Row],[reference_year]]</f>
        <v>Botswana-2021</v>
      </c>
    </row>
    <row r="278" spans="1:15" x14ac:dyDescent="0.3">
      <c r="A278" s="8" t="s">
        <v>72</v>
      </c>
      <c r="B278" s="8" t="s">
        <v>73</v>
      </c>
      <c r="C278" s="8">
        <v>2022</v>
      </c>
      <c r="D278" s="8">
        <v>16829627191.847994</v>
      </c>
      <c r="E278" s="8">
        <v>20321150599</v>
      </c>
      <c r="F278" s="8">
        <v>2439892</v>
      </c>
      <c r="G278" s="8">
        <v>5.4860170640000003</v>
      </c>
      <c r="H278" s="8">
        <v>86.069603990000005</v>
      </c>
      <c r="I278" s="8">
        <v>6897.69</v>
      </c>
      <c r="J278" s="8">
        <v>8328.7099999999991</v>
      </c>
      <c r="K278" s="8">
        <v>82.82</v>
      </c>
      <c r="L278" s="8">
        <v>92</v>
      </c>
      <c r="M278" s="8">
        <v>14949783316.002993</v>
      </c>
      <c r="N278" s="8">
        <v>12.57</v>
      </c>
      <c r="O278" s="8" t="str">
        <f>vw_scenario_analysis_dataset[[#This Row],[reporter_name]] &amp; "-" &amp; vw_scenario_analysis_dataset[[#This Row],[reference_year]]</f>
        <v>Botswana-2022</v>
      </c>
    </row>
    <row r="279" spans="1:15" x14ac:dyDescent="0.3">
      <c r="A279" s="8" t="s">
        <v>72</v>
      </c>
      <c r="B279" s="8" t="s">
        <v>73</v>
      </c>
      <c r="C279" s="8">
        <v>2023</v>
      </c>
      <c r="D279" s="8">
        <v>11005433047.508999</v>
      </c>
      <c r="E279" s="8">
        <v>19413614555</v>
      </c>
      <c r="F279" s="8">
        <v>2480244</v>
      </c>
      <c r="G279" s="8">
        <v>3.2080681219999998</v>
      </c>
      <c r="H279" s="8">
        <v>70.112832729999994</v>
      </c>
      <c r="I279" s="8">
        <v>4437.24</v>
      </c>
      <c r="J279" s="8">
        <v>7827.3</v>
      </c>
      <c r="K279" s="8">
        <v>56.69</v>
      </c>
      <c r="L279" s="8">
        <v>103</v>
      </c>
      <c r="M279" s="8">
        <v>16829627191.847994</v>
      </c>
      <c r="N279" s="8">
        <v>-34.61</v>
      </c>
      <c r="O279" s="8" t="str">
        <f>vw_scenario_analysis_dataset[[#This Row],[reporter_name]] &amp; "-" &amp; vw_scenario_analysis_dataset[[#This Row],[reference_year]]</f>
        <v>Botswana-2023</v>
      </c>
    </row>
    <row r="280" spans="1:15" x14ac:dyDescent="0.3">
      <c r="A280" s="8" t="s">
        <v>74</v>
      </c>
      <c r="B280" s="8" t="s">
        <v>75</v>
      </c>
      <c r="C280" s="8">
        <v>2015</v>
      </c>
      <c r="D280" s="8">
        <v>193707363</v>
      </c>
      <c r="E280" s="8">
        <v>1695825714</v>
      </c>
      <c r="F280" s="8">
        <v>4629320</v>
      </c>
      <c r="G280" s="8">
        <v>4.3371210299999996</v>
      </c>
      <c r="H280" s="8">
        <v>53.145147780000002</v>
      </c>
      <c r="I280" s="8">
        <v>41.84</v>
      </c>
      <c r="J280" s="8">
        <v>366.32</v>
      </c>
      <c r="K280" s="8">
        <v>11.42</v>
      </c>
      <c r="L280" s="8">
        <v>153</v>
      </c>
      <c r="M280" s="8"/>
      <c r="N280" s="8"/>
      <c r="O280" s="8" t="str">
        <f>vw_scenario_analysis_dataset[[#This Row],[reporter_name]] &amp; "-" &amp; vw_scenario_analysis_dataset[[#This Row],[reference_year]]</f>
        <v>Central African Rep.-2015</v>
      </c>
    </row>
    <row r="281" spans="1:15" x14ac:dyDescent="0.3">
      <c r="A281" s="8" t="s">
        <v>74</v>
      </c>
      <c r="B281" s="8" t="s">
        <v>75</v>
      </c>
      <c r="C281" s="8">
        <v>2016</v>
      </c>
      <c r="D281" s="8">
        <v>176902504</v>
      </c>
      <c r="E281" s="8">
        <v>1825018145</v>
      </c>
      <c r="F281" s="8">
        <v>4713663</v>
      </c>
      <c r="G281" s="8">
        <v>4.7503168410000001</v>
      </c>
      <c r="H281" s="8">
        <v>50.530644019999997</v>
      </c>
      <c r="I281" s="8">
        <v>37.53</v>
      </c>
      <c r="J281" s="8">
        <v>387.18</v>
      </c>
      <c r="K281" s="8">
        <v>9.69</v>
      </c>
      <c r="L281" s="8">
        <v>158</v>
      </c>
      <c r="M281" s="8">
        <v>193707363</v>
      </c>
      <c r="N281" s="8">
        <v>-8.68</v>
      </c>
      <c r="O281" s="8" t="str">
        <f>vw_scenario_analysis_dataset[[#This Row],[reporter_name]] &amp; "-" &amp; vw_scenario_analysis_dataset[[#This Row],[reference_year]]</f>
        <v>Central African Rep.-2016</v>
      </c>
    </row>
    <row r="282" spans="1:15" x14ac:dyDescent="0.3">
      <c r="A282" s="8" t="s">
        <v>74</v>
      </c>
      <c r="B282" s="8" t="s">
        <v>75</v>
      </c>
      <c r="C282" s="8">
        <v>2017</v>
      </c>
      <c r="D282" s="8">
        <v>393981874.43000007</v>
      </c>
      <c r="E282" s="8">
        <v>2072349973</v>
      </c>
      <c r="F282" s="8">
        <v>4793511</v>
      </c>
      <c r="G282" s="8">
        <v>4.5272782129999998</v>
      </c>
      <c r="H282" s="8">
        <v>57.143545709999998</v>
      </c>
      <c r="I282" s="8">
        <v>82.19</v>
      </c>
      <c r="J282" s="8">
        <v>432.32</v>
      </c>
      <c r="K282" s="8">
        <v>19.010000000000002</v>
      </c>
      <c r="L282" s="8">
        <v>150</v>
      </c>
      <c r="M282" s="8">
        <v>176902504</v>
      </c>
      <c r="N282" s="8">
        <v>122.71</v>
      </c>
      <c r="O282" s="8" t="str">
        <f>vw_scenario_analysis_dataset[[#This Row],[reporter_name]] &amp; "-" &amp; vw_scenario_analysis_dataset[[#This Row],[reference_year]]</f>
        <v>Central African Rep.-2017</v>
      </c>
    </row>
    <row r="283" spans="1:15" x14ac:dyDescent="0.3">
      <c r="A283" s="8" t="s">
        <v>74</v>
      </c>
      <c r="B283" s="8" t="s">
        <v>75</v>
      </c>
      <c r="C283" s="8">
        <v>2018</v>
      </c>
      <c r="D283" s="8">
        <v>108528196</v>
      </c>
      <c r="E283" s="8">
        <v>2220979146</v>
      </c>
      <c r="F283" s="8">
        <v>4878657</v>
      </c>
      <c r="G283" s="8">
        <v>3.7894435930000001</v>
      </c>
      <c r="H283" s="8">
        <v>49.660200000000003</v>
      </c>
      <c r="I283" s="8">
        <v>22.25</v>
      </c>
      <c r="J283" s="8">
        <v>455.24</v>
      </c>
      <c r="K283" s="8">
        <v>4.8899999999999997</v>
      </c>
      <c r="L283" s="8">
        <v>157</v>
      </c>
      <c r="M283" s="8">
        <v>393981874.43000007</v>
      </c>
      <c r="N283" s="8">
        <v>-72.45</v>
      </c>
      <c r="O283" s="8" t="str">
        <f>vw_scenario_analysis_dataset[[#This Row],[reporter_name]] &amp; "-" &amp; vw_scenario_analysis_dataset[[#This Row],[reference_year]]</f>
        <v>Central African Rep.-2018</v>
      </c>
    </row>
    <row r="284" spans="1:15" x14ac:dyDescent="0.3">
      <c r="A284" s="8" t="s">
        <v>74</v>
      </c>
      <c r="B284" s="8" t="s">
        <v>75</v>
      </c>
      <c r="C284" s="8">
        <v>2019</v>
      </c>
      <c r="D284" s="8">
        <v>247939512.51300001</v>
      </c>
      <c r="E284" s="8">
        <v>2221301351</v>
      </c>
      <c r="F284" s="8">
        <v>4944703</v>
      </c>
      <c r="G284" s="8">
        <v>3.1</v>
      </c>
      <c r="H284" s="8">
        <v>50.065800000000003</v>
      </c>
      <c r="I284" s="8">
        <v>50.14</v>
      </c>
      <c r="J284" s="8">
        <v>449.23</v>
      </c>
      <c r="K284" s="8">
        <v>11.16</v>
      </c>
      <c r="L284" s="8">
        <v>151</v>
      </c>
      <c r="M284" s="8">
        <v>108528196</v>
      </c>
      <c r="N284" s="8">
        <v>128.46</v>
      </c>
      <c r="O284" s="8" t="str">
        <f>vw_scenario_analysis_dataset[[#This Row],[reporter_name]] &amp; "-" &amp; vw_scenario_analysis_dataset[[#This Row],[reference_year]]</f>
        <v>Central African Rep.-2019</v>
      </c>
    </row>
    <row r="285" spans="1:15" x14ac:dyDescent="0.3">
      <c r="A285" s="8" t="s">
        <v>74</v>
      </c>
      <c r="B285" s="8" t="s">
        <v>75</v>
      </c>
      <c r="C285" s="8">
        <v>2020</v>
      </c>
      <c r="D285" s="8">
        <v>81064340.078999996</v>
      </c>
      <c r="E285" s="8">
        <v>2326720900</v>
      </c>
      <c r="F285" s="8">
        <v>5026628</v>
      </c>
      <c r="G285" s="8">
        <v>0.899999997</v>
      </c>
      <c r="H285" s="8">
        <v>49.52102</v>
      </c>
      <c r="I285" s="8">
        <v>16.13</v>
      </c>
      <c r="J285" s="8">
        <v>462.88</v>
      </c>
      <c r="K285" s="8">
        <v>3.48</v>
      </c>
      <c r="L285" s="8">
        <v>152</v>
      </c>
      <c r="M285" s="8">
        <v>247939512.51300001</v>
      </c>
      <c r="N285" s="8">
        <v>-67.3</v>
      </c>
      <c r="O285" s="8" t="str">
        <f>vw_scenario_analysis_dataset[[#This Row],[reporter_name]] &amp; "-" &amp; vw_scenario_analysis_dataset[[#This Row],[reference_year]]</f>
        <v>Central African Rep.-2020</v>
      </c>
    </row>
    <row r="286" spans="1:15" x14ac:dyDescent="0.3">
      <c r="A286" s="8" t="s">
        <v>74</v>
      </c>
      <c r="B286" s="8" t="s">
        <v>75</v>
      </c>
      <c r="C286" s="8">
        <v>2021</v>
      </c>
      <c r="D286" s="8">
        <v>115451005.854</v>
      </c>
      <c r="E286" s="8">
        <v>2516498412</v>
      </c>
      <c r="F286" s="8">
        <v>5112100</v>
      </c>
      <c r="G286" s="8">
        <v>0.98291999600000002</v>
      </c>
      <c r="H286" s="8">
        <v>44.159120000000001</v>
      </c>
      <c r="I286" s="8">
        <v>22.58</v>
      </c>
      <c r="J286" s="8">
        <v>492.26</v>
      </c>
      <c r="K286" s="8">
        <v>4.59</v>
      </c>
      <c r="L286" s="8">
        <v>150</v>
      </c>
      <c r="M286" s="8">
        <v>81064340.078999996</v>
      </c>
      <c r="N286" s="8">
        <v>42.42</v>
      </c>
      <c r="O286" s="8" t="str">
        <f>vw_scenario_analysis_dataset[[#This Row],[reporter_name]] &amp; "-" &amp; vw_scenario_analysis_dataset[[#This Row],[reference_year]]</f>
        <v>Central African Rep.-2021</v>
      </c>
    </row>
    <row r="287" spans="1:15" x14ac:dyDescent="0.3">
      <c r="A287" s="8" t="s">
        <v>74</v>
      </c>
      <c r="B287" s="8" t="s">
        <v>75</v>
      </c>
      <c r="C287" s="8">
        <v>2022</v>
      </c>
      <c r="D287" s="8">
        <v>231082812.70999992</v>
      </c>
      <c r="E287" s="8">
        <v>2382618615</v>
      </c>
      <c r="F287" s="8">
        <v>5098039</v>
      </c>
      <c r="G287" s="8">
        <v>0.45390187599999998</v>
      </c>
      <c r="H287" s="8">
        <v>45.23357</v>
      </c>
      <c r="I287" s="8">
        <v>45.33</v>
      </c>
      <c r="J287" s="8">
        <v>467.36</v>
      </c>
      <c r="K287" s="8">
        <v>9.6999999999999993</v>
      </c>
      <c r="L287" s="8">
        <v>147</v>
      </c>
      <c r="M287" s="8">
        <v>115451005.854</v>
      </c>
      <c r="N287" s="8">
        <v>100.16</v>
      </c>
      <c r="O287" s="8" t="str">
        <f>vw_scenario_analysis_dataset[[#This Row],[reporter_name]] &amp; "-" &amp; vw_scenario_analysis_dataset[[#This Row],[reference_year]]</f>
        <v>Central African Rep.-2022</v>
      </c>
    </row>
    <row r="288" spans="1:15" x14ac:dyDescent="0.3">
      <c r="A288" s="8" t="s">
        <v>74</v>
      </c>
      <c r="B288" s="8" t="s">
        <v>75</v>
      </c>
      <c r="C288" s="8">
        <v>2023</v>
      </c>
      <c r="D288" s="8">
        <v>226569340.49799997</v>
      </c>
      <c r="E288" s="8">
        <v>2555492086</v>
      </c>
      <c r="F288" s="8">
        <v>5152421</v>
      </c>
      <c r="G288" s="8">
        <v>0.69996840100000002</v>
      </c>
      <c r="H288" s="8">
        <v>43.480570210000003</v>
      </c>
      <c r="I288" s="8">
        <v>43.97</v>
      </c>
      <c r="J288" s="8">
        <v>495.98</v>
      </c>
      <c r="K288" s="8">
        <v>8.8699999999999992</v>
      </c>
      <c r="L288" s="8">
        <v>145</v>
      </c>
      <c r="M288" s="8">
        <v>231082812.70999992</v>
      </c>
      <c r="N288" s="8">
        <v>-1.95</v>
      </c>
      <c r="O288" s="8" t="str">
        <f>vw_scenario_analysis_dataset[[#This Row],[reporter_name]] &amp; "-" &amp; vw_scenario_analysis_dataset[[#This Row],[reference_year]]</f>
        <v>Central African Rep.-2023</v>
      </c>
    </row>
    <row r="289" spans="1:15" x14ac:dyDescent="0.3">
      <c r="A289" s="8" t="s">
        <v>74</v>
      </c>
      <c r="B289" s="8" t="s">
        <v>75</v>
      </c>
      <c r="C289" s="8">
        <v>2024</v>
      </c>
      <c r="D289" s="8">
        <v>409007644.56</v>
      </c>
      <c r="E289" s="8">
        <v>2751494281</v>
      </c>
      <c r="F289" s="8">
        <v>5330690</v>
      </c>
      <c r="G289" s="8">
        <v>1.4999999980000001</v>
      </c>
      <c r="H289" s="8">
        <v>46.431899979999997</v>
      </c>
      <c r="I289" s="8">
        <v>76.73</v>
      </c>
      <c r="J289" s="8">
        <v>516.16</v>
      </c>
      <c r="K289" s="8">
        <v>14.86</v>
      </c>
      <c r="L289" s="8">
        <v>122</v>
      </c>
      <c r="M289" s="8">
        <v>226569340.49799997</v>
      </c>
      <c r="N289" s="8">
        <v>80.52</v>
      </c>
      <c r="O289" s="8" t="str">
        <f>vw_scenario_analysis_dataset[[#This Row],[reporter_name]] &amp; "-" &amp; vw_scenario_analysis_dataset[[#This Row],[reference_year]]</f>
        <v>Central African Rep.-2024</v>
      </c>
    </row>
    <row r="290" spans="1:15" x14ac:dyDescent="0.3">
      <c r="A290" s="8" t="s">
        <v>76</v>
      </c>
      <c r="B290" s="8" t="s">
        <v>77</v>
      </c>
      <c r="C290" s="8">
        <v>2015</v>
      </c>
      <c r="D290" s="8">
        <v>817394647207.02051</v>
      </c>
      <c r="E290" s="8">
        <v>1560000000000</v>
      </c>
      <c r="F290" s="8">
        <v>35704498</v>
      </c>
      <c r="G290" s="8">
        <v>0.64997101499999999</v>
      </c>
      <c r="H290" s="8">
        <v>66.164835580000002</v>
      </c>
      <c r="I290" s="8">
        <v>22893.32</v>
      </c>
      <c r="J290" s="8">
        <v>43691.97</v>
      </c>
      <c r="K290" s="8">
        <v>52.4</v>
      </c>
      <c r="L290" s="8">
        <v>10</v>
      </c>
      <c r="M290" s="8"/>
      <c r="N290" s="8"/>
      <c r="O290" s="8" t="str">
        <f>vw_scenario_analysis_dataset[[#This Row],[reporter_name]] &amp; "-" &amp; vw_scenario_analysis_dataset[[#This Row],[reference_year]]</f>
        <v>Canada-2015</v>
      </c>
    </row>
    <row r="291" spans="1:15" x14ac:dyDescent="0.3">
      <c r="A291" s="8" t="s">
        <v>76</v>
      </c>
      <c r="B291" s="8" t="s">
        <v>77</v>
      </c>
      <c r="C291" s="8">
        <v>2016</v>
      </c>
      <c r="D291" s="8">
        <v>777706283879.42493</v>
      </c>
      <c r="E291" s="8">
        <v>1530000000000</v>
      </c>
      <c r="F291" s="8">
        <v>36110803</v>
      </c>
      <c r="G291" s="8">
        <v>1.03855092</v>
      </c>
      <c r="H291" s="8">
        <v>65.363619979999996</v>
      </c>
      <c r="I291" s="8">
        <v>21536.67</v>
      </c>
      <c r="J291" s="8">
        <v>42369.59</v>
      </c>
      <c r="K291" s="8">
        <v>50.83</v>
      </c>
      <c r="L291" s="8">
        <v>10</v>
      </c>
      <c r="M291" s="8">
        <v>817394647207.02051</v>
      </c>
      <c r="N291" s="8">
        <v>-4.8600000000000003</v>
      </c>
      <c r="O291" s="8" t="str">
        <f>vw_scenario_analysis_dataset[[#This Row],[reporter_name]] &amp; "-" &amp; vw_scenario_analysis_dataset[[#This Row],[reference_year]]</f>
        <v>Canada-2016</v>
      </c>
    </row>
    <row r="292" spans="1:15" x14ac:dyDescent="0.3">
      <c r="A292" s="8" t="s">
        <v>76</v>
      </c>
      <c r="B292" s="8" t="s">
        <v>77</v>
      </c>
      <c r="C292" s="8">
        <v>2017</v>
      </c>
      <c r="D292" s="8">
        <v>840148764379.62012</v>
      </c>
      <c r="E292" s="8">
        <v>1650000000000</v>
      </c>
      <c r="F292" s="8">
        <v>36545075</v>
      </c>
      <c r="G292" s="8">
        <v>3.0338349180000002</v>
      </c>
      <c r="H292" s="8">
        <v>65.100908790000005</v>
      </c>
      <c r="I292" s="8">
        <v>22989.38</v>
      </c>
      <c r="J292" s="8">
        <v>45149.72</v>
      </c>
      <c r="K292" s="8">
        <v>50.92</v>
      </c>
      <c r="L292" s="8">
        <v>10</v>
      </c>
      <c r="M292" s="8">
        <v>777706283879.42493</v>
      </c>
      <c r="N292" s="8">
        <v>8.0299999999999994</v>
      </c>
      <c r="O292" s="8" t="str">
        <f>vw_scenario_analysis_dataset[[#This Row],[reporter_name]] &amp; "-" &amp; vw_scenario_analysis_dataset[[#This Row],[reference_year]]</f>
        <v>Canada-2017</v>
      </c>
    </row>
    <row r="293" spans="1:15" x14ac:dyDescent="0.3">
      <c r="A293" s="8" t="s">
        <v>76</v>
      </c>
      <c r="B293" s="8" t="s">
        <v>77</v>
      </c>
      <c r="C293" s="8">
        <v>2018</v>
      </c>
      <c r="D293" s="8">
        <v>900784792937.96814</v>
      </c>
      <c r="E293" s="8">
        <v>1730000000000</v>
      </c>
      <c r="F293" s="8">
        <v>37072620</v>
      </c>
      <c r="G293" s="8">
        <v>2.7429634140000001</v>
      </c>
      <c r="H293" s="8">
        <v>66.599826269999994</v>
      </c>
      <c r="I293" s="8">
        <v>24297.85</v>
      </c>
      <c r="J293" s="8">
        <v>46665.17</v>
      </c>
      <c r="K293" s="8">
        <v>52.07</v>
      </c>
      <c r="L293" s="8">
        <v>12</v>
      </c>
      <c r="M293" s="8">
        <v>840148764379.62012</v>
      </c>
      <c r="N293" s="8">
        <v>7.22</v>
      </c>
      <c r="O293" s="8" t="str">
        <f>vw_scenario_analysis_dataset[[#This Row],[reporter_name]] &amp; "-" &amp; vw_scenario_analysis_dataset[[#This Row],[reference_year]]</f>
        <v>Canada-2018</v>
      </c>
    </row>
    <row r="294" spans="1:15" x14ac:dyDescent="0.3">
      <c r="A294" s="8" t="s">
        <v>76</v>
      </c>
      <c r="B294" s="8" t="s">
        <v>77</v>
      </c>
      <c r="C294" s="8">
        <v>2019</v>
      </c>
      <c r="D294" s="8">
        <v>891026211855.16174</v>
      </c>
      <c r="E294" s="8">
        <v>1740000000000</v>
      </c>
      <c r="F294" s="8">
        <v>37618495</v>
      </c>
      <c r="G294" s="8">
        <v>1.908431939</v>
      </c>
      <c r="H294" s="8">
        <v>66.171342269999997</v>
      </c>
      <c r="I294" s="8">
        <v>23685.85</v>
      </c>
      <c r="J294" s="8">
        <v>46253.84</v>
      </c>
      <c r="K294" s="8">
        <v>51.21</v>
      </c>
      <c r="L294" s="8">
        <v>11</v>
      </c>
      <c r="M294" s="8">
        <v>900784792937.96814</v>
      </c>
      <c r="N294" s="8">
        <v>-1.08</v>
      </c>
      <c r="O294" s="8" t="str">
        <f>vw_scenario_analysis_dataset[[#This Row],[reporter_name]] &amp; "-" &amp; vw_scenario_analysis_dataset[[#This Row],[reference_year]]</f>
        <v>Canada-2019</v>
      </c>
    </row>
    <row r="295" spans="1:15" x14ac:dyDescent="0.3">
      <c r="A295" s="8" t="s">
        <v>76</v>
      </c>
      <c r="B295" s="8" t="s">
        <v>77</v>
      </c>
      <c r="C295" s="8">
        <v>2020</v>
      </c>
      <c r="D295" s="8">
        <v>776346741202.42371</v>
      </c>
      <c r="E295" s="8">
        <v>1660000000000</v>
      </c>
      <c r="F295" s="8">
        <v>38028638</v>
      </c>
      <c r="G295" s="8">
        <v>-5.0382334279999998</v>
      </c>
      <c r="H295" s="8">
        <v>61.156688340000002</v>
      </c>
      <c r="I295" s="8">
        <v>20414.79</v>
      </c>
      <c r="J295" s="8">
        <v>43651.31</v>
      </c>
      <c r="K295" s="8">
        <v>46.77</v>
      </c>
      <c r="L295" s="8">
        <v>11</v>
      </c>
      <c r="M295" s="8">
        <v>891026211855.16174</v>
      </c>
      <c r="N295" s="8">
        <v>-12.87</v>
      </c>
      <c r="O295" s="8" t="str">
        <f>vw_scenario_analysis_dataset[[#This Row],[reporter_name]] &amp; "-" &amp; vw_scenario_analysis_dataset[[#This Row],[reference_year]]</f>
        <v>Canada-2020</v>
      </c>
    </row>
    <row r="296" spans="1:15" x14ac:dyDescent="0.3">
      <c r="A296" s="8" t="s">
        <v>76</v>
      </c>
      <c r="B296" s="8" t="s">
        <v>77</v>
      </c>
      <c r="C296" s="8">
        <v>2021</v>
      </c>
      <c r="D296" s="8">
        <v>1003246933345.071</v>
      </c>
      <c r="E296" s="8">
        <v>2020000000000</v>
      </c>
      <c r="F296" s="8">
        <v>38239864</v>
      </c>
      <c r="G296" s="8">
        <v>5.95052805</v>
      </c>
      <c r="H296" s="8">
        <v>62.246861260000003</v>
      </c>
      <c r="I296" s="8">
        <v>26235.63</v>
      </c>
      <c r="J296" s="8">
        <v>52824.46</v>
      </c>
      <c r="K296" s="8">
        <v>49.67</v>
      </c>
      <c r="L296" s="8">
        <v>9</v>
      </c>
      <c r="M296" s="8">
        <v>776346741202.42371</v>
      </c>
      <c r="N296" s="8">
        <v>29.23</v>
      </c>
      <c r="O296" s="8" t="str">
        <f>vw_scenario_analysis_dataset[[#This Row],[reporter_name]] &amp; "-" &amp; vw_scenario_analysis_dataset[[#This Row],[reference_year]]</f>
        <v>Canada-2021</v>
      </c>
    </row>
    <row r="297" spans="1:15" x14ac:dyDescent="0.3">
      <c r="A297" s="8" t="s">
        <v>76</v>
      </c>
      <c r="B297" s="8" t="s">
        <v>77</v>
      </c>
      <c r="C297" s="8">
        <v>2022</v>
      </c>
      <c r="D297" s="8">
        <v>1199883615332.5637</v>
      </c>
      <c r="E297" s="8">
        <v>2200000000000</v>
      </c>
      <c r="F297" s="8">
        <v>38950132</v>
      </c>
      <c r="G297" s="8">
        <v>4.6954198500000004</v>
      </c>
      <c r="H297" s="8">
        <v>66.953162070000005</v>
      </c>
      <c r="I297" s="8">
        <v>30805.64</v>
      </c>
      <c r="J297" s="8">
        <v>56482.48</v>
      </c>
      <c r="K297" s="8">
        <v>54.54</v>
      </c>
      <c r="L297" s="8">
        <v>9</v>
      </c>
      <c r="M297" s="8">
        <v>1003246933345.071</v>
      </c>
      <c r="N297" s="8">
        <v>19.600000000000001</v>
      </c>
      <c r="O297" s="8" t="str">
        <f>vw_scenario_analysis_dataset[[#This Row],[reporter_name]] &amp; "-" &amp; vw_scenario_analysis_dataset[[#This Row],[reference_year]]</f>
        <v>Canada-2022</v>
      </c>
    </row>
    <row r="298" spans="1:15" x14ac:dyDescent="0.3">
      <c r="A298" s="8" t="s">
        <v>76</v>
      </c>
      <c r="B298" s="8" t="s">
        <v>77</v>
      </c>
      <c r="C298" s="8">
        <v>2023</v>
      </c>
      <c r="D298" s="8">
        <v>1134689076006.9451</v>
      </c>
      <c r="E298" s="8">
        <v>2200000000000</v>
      </c>
      <c r="F298" s="8">
        <v>40049088</v>
      </c>
      <c r="G298" s="8">
        <v>1.9530855220000001</v>
      </c>
      <c r="H298" s="8">
        <v>66.574542500000007</v>
      </c>
      <c r="I298" s="8">
        <v>28332.46</v>
      </c>
      <c r="J298" s="8">
        <v>54932.59</v>
      </c>
      <c r="K298" s="8">
        <v>51.58</v>
      </c>
      <c r="L298" s="8">
        <v>11</v>
      </c>
      <c r="M298" s="8">
        <v>1199883615332.5637</v>
      </c>
      <c r="N298" s="8">
        <v>-5.43</v>
      </c>
      <c r="O298" s="8" t="str">
        <f>vw_scenario_analysis_dataset[[#This Row],[reporter_name]] &amp; "-" &amp; vw_scenario_analysis_dataset[[#This Row],[reference_year]]</f>
        <v>Canada-2023</v>
      </c>
    </row>
    <row r="299" spans="1:15" x14ac:dyDescent="0.3">
      <c r="A299" s="8" t="s">
        <v>76</v>
      </c>
      <c r="B299" s="8" t="s">
        <v>77</v>
      </c>
      <c r="C299" s="8">
        <v>2024</v>
      </c>
      <c r="D299" s="8">
        <v>1138571679556.626</v>
      </c>
      <c r="E299" s="8">
        <v>2270000000000</v>
      </c>
      <c r="F299" s="8">
        <v>41262329</v>
      </c>
      <c r="G299" s="8">
        <v>2.0462660540000002</v>
      </c>
      <c r="H299" s="8">
        <v>65.121498729999999</v>
      </c>
      <c r="I299" s="8">
        <v>27593.49</v>
      </c>
      <c r="J299" s="8">
        <v>55013.86</v>
      </c>
      <c r="K299" s="8">
        <v>50.16</v>
      </c>
      <c r="L299" s="8">
        <v>10</v>
      </c>
      <c r="M299" s="8">
        <v>1134689076006.9451</v>
      </c>
      <c r="N299" s="8">
        <v>0.34</v>
      </c>
      <c r="O299" s="8" t="str">
        <f>vw_scenario_analysis_dataset[[#This Row],[reporter_name]] &amp; "-" &amp; vw_scenario_analysis_dataset[[#This Row],[reference_year]]</f>
        <v>Canada-2024</v>
      </c>
    </row>
    <row r="300" spans="1:15" x14ac:dyDescent="0.3">
      <c r="A300" s="8" t="s">
        <v>78</v>
      </c>
      <c r="B300" s="8" t="s">
        <v>79</v>
      </c>
      <c r="C300" s="8">
        <v>2015</v>
      </c>
      <c r="D300" s="8">
        <v>124236440752.66396</v>
      </c>
      <c r="E300" s="8">
        <v>242000000000</v>
      </c>
      <c r="F300" s="8">
        <v>18047625</v>
      </c>
      <c r="G300" s="8">
        <v>2.1519425000000001</v>
      </c>
      <c r="H300" s="8">
        <v>59.349110570000001</v>
      </c>
      <c r="I300" s="8">
        <v>6883.81</v>
      </c>
      <c r="J300" s="8">
        <v>13408.97</v>
      </c>
      <c r="K300" s="8">
        <v>51.34</v>
      </c>
      <c r="L300" s="8">
        <v>37</v>
      </c>
      <c r="M300" s="8"/>
      <c r="N300" s="8"/>
      <c r="O300" s="8" t="str">
        <f>vw_scenario_analysis_dataset[[#This Row],[reporter_name]] &amp; "-" &amp; vw_scenario_analysis_dataset[[#This Row],[reference_year]]</f>
        <v>Chile-2015</v>
      </c>
    </row>
    <row r="301" spans="1:15" x14ac:dyDescent="0.3">
      <c r="A301" s="8" t="s">
        <v>78</v>
      </c>
      <c r="B301" s="8" t="s">
        <v>79</v>
      </c>
      <c r="C301" s="8">
        <v>2016</v>
      </c>
      <c r="D301" s="8">
        <v>121537380909.20804</v>
      </c>
      <c r="E301" s="8">
        <v>249000000000</v>
      </c>
      <c r="F301" s="8">
        <v>18267221</v>
      </c>
      <c r="G301" s="8">
        <v>1.7530387489999999</v>
      </c>
      <c r="H301" s="8">
        <v>56.057860310000002</v>
      </c>
      <c r="I301" s="8">
        <v>6653.3</v>
      </c>
      <c r="J301" s="8">
        <v>13630.97</v>
      </c>
      <c r="K301" s="8">
        <v>48.81</v>
      </c>
      <c r="L301" s="8">
        <v>37</v>
      </c>
      <c r="M301" s="8">
        <v>124236440752.66396</v>
      </c>
      <c r="N301" s="8">
        <v>-2.17</v>
      </c>
      <c r="O301" s="8" t="str">
        <f>vw_scenario_analysis_dataset[[#This Row],[reporter_name]] &amp; "-" &amp; vw_scenario_analysis_dataset[[#This Row],[reference_year]]</f>
        <v>Chile-2016</v>
      </c>
    </row>
    <row r="302" spans="1:15" x14ac:dyDescent="0.3">
      <c r="A302" s="8" t="s">
        <v>78</v>
      </c>
      <c r="B302" s="8" t="s">
        <v>79</v>
      </c>
      <c r="C302" s="8">
        <v>2017</v>
      </c>
      <c r="D302" s="8">
        <v>137807157408.55994</v>
      </c>
      <c r="E302" s="8">
        <v>276000000000</v>
      </c>
      <c r="F302" s="8">
        <v>18558868</v>
      </c>
      <c r="G302" s="8">
        <v>1.3576953730000001</v>
      </c>
      <c r="H302" s="8">
        <v>56.026158639999998</v>
      </c>
      <c r="I302" s="8">
        <v>7425.41</v>
      </c>
      <c r="J302" s="8">
        <v>14871.6</v>
      </c>
      <c r="K302" s="8">
        <v>49.93</v>
      </c>
      <c r="L302" s="8">
        <v>37</v>
      </c>
      <c r="M302" s="8">
        <v>121537380909.20804</v>
      </c>
      <c r="N302" s="8">
        <v>13.39</v>
      </c>
      <c r="O302" s="8" t="str">
        <f>vw_scenario_analysis_dataset[[#This Row],[reporter_name]] &amp; "-" &amp; vw_scenario_analysis_dataset[[#This Row],[reference_year]]</f>
        <v>Chile-2017</v>
      </c>
    </row>
    <row r="303" spans="1:15" x14ac:dyDescent="0.3">
      <c r="A303" s="8" t="s">
        <v>78</v>
      </c>
      <c r="B303" s="8" t="s">
        <v>79</v>
      </c>
      <c r="C303" s="8">
        <v>2018</v>
      </c>
      <c r="D303" s="8">
        <v>149675962694.82901</v>
      </c>
      <c r="E303" s="8">
        <v>296000000000</v>
      </c>
      <c r="F303" s="8">
        <v>18893191</v>
      </c>
      <c r="G303" s="8">
        <v>3.9900294779999999</v>
      </c>
      <c r="H303" s="8">
        <v>58.177051300000002</v>
      </c>
      <c r="I303" s="8">
        <v>7922.22</v>
      </c>
      <c r="J303" s="8">
        <v>15667.02</v>
      </c>
      <c r="K303" s="8">
        <v>50.57</v>
      </c>
      <c r="L303" s="8">
        <v>39</v>
      </c>
      <c r="M303" s="8">
        <v>137807157408.55994</v>
      </c>
      <c r="N303" s="8">
        <v>8.61</v>
      </c>
      <c r="O303" s="8" t="str">
        <f>vw_scenario_analysis_dataset[[#This Row],[reporter_name]] &amp; "-" &amp; vw_scenario_analysis_dataset[[#This Row],[reference_year]]</f>
        <v>Chile-2018</v>
      </c>
    </row>
    <row r="304" spans="1:15" x14ac:dyDescent="0.3">
      <c r="A304" s="8" t="s">
        <v>78</v>
      </c>
      <c r="B304" s="8" t="s">
        <v>79</v>
      </c>
      <c r="C304" s="8">
        <v>2019</v>
      </c>
      <c r="D304" s="8">
        <v>137584016366.16595</v>
      </c>
      <c r="E304" s="8">
        <v>278000000000</v>
      </c>
      <c r="F304" s="8">
        <v>19197744</v>
      </c>
      <c r="G304" s="8">
        <v>0.64422340300000003</v>
      </c>
      <c r="H304" s="8">
        <v>57.606915790000002</v>
      </c>
      <c r="I304" s="8">
        <v>7166.68</v>
      </c>
      <c r="J304" s="8">
        <v>14480.87</v>
      </c>
      <c r="K304" s="8">
        <v>49.49</v>
      </c>
      <c r="L304" s="8">
        <v>39</v>
      </c>
      <c r="M304" s="8">
        <v>149675962694.82901</v>
      </c>
      <c r="N304" s="8">
        <v>-8.08</v>
      </c>
      <c r="O304" s="8" t="str">
        <f>vw_scenario_analysis_dataset[[#This Row],[reporter_name]] &amp; "-" &amp; vw_scenario_analysis_dataset[[#This Row],[reference_year]]</f>
        <v>Chile-2019</v>
      </c>
    </row>
    <row r="305" spans="1:15" x14ac:dyDescent="0.3">
      <c r="A305" s="8" t="s">
        <v>78</v>
      </c>
      <c r="B305" s="8" t="s">
        <v>79</v>
      </c>
      <c r="C305" s="8">
        <v>2020</v>
      </c>
      <c r="D305" s="8">
        <v>148038725709.10101</v>
      </c>
      <c r="E305" s="8">
        <v>254000000000</v>
      </c>
      <c r="F305" s="8">
        <v>19370624</v>
      </c>
      <c r="G305" s="8">
        <v>-6.1396969410000004</v>
      </c>
      <c r="H305" s="8">
        <v>58.168769390000001</v>
      </c>
      <c r="I305" s="8">
        <v>7642.43</v>
      </c>
      <c r="J305" s="8">
        <v>13112.64</v>
      </c>
      <c r="K305" s="8">
        <v>58.28</v>
      </c>
      <c r="L305" s="8">
        <v>35</v>
      </c>
      <c r="M305" s="8">
        <v>137584016366.16595</v>
      </c>
      <c r="N305" s="8">
        <v>7.6</v>
      </c>
      <c r="O305" s="8" t="str">
        <f>vw_scenario_analysis_dataset[[#This Row],[reporter_name]] &amp; "-" &amp; vw_scenario_analysis_dataset[[#This Row],[reference_year]]</f>
        <v>Chile-2020</v>
      </c>
    </row>
    <row r="306" spans="1:15" x14ac:dyDescent="0.3">
      <c r="A306" s="8" t="s">
        <v>78</v>
      </c>
      <c r="B306" s="8" t="s">
        <v>79</v>
      </c>
      <c r="C306" s="8">
        <v>2021</v>
      </c>
      <c r="D306" s="8">
        <v>189353618412.56693</v>
      </c>
      <c r="E306" s="8">
        <v>316000000000</v>
      </c>
      <c r="F306" s="8">
        <v>19456334</v>
      </c>
      <c r="G306" s="8">
        <v>11.33740324</v>
      </c>
      <c r="H306" s="8">
        <v>64.839992480000006</v>
      </c>
      <c r="I306" s="8">
        <v>9732.24</v>
      </c>
      <c r="J306" s="8">
        <v>16241.5</v>
      </c>
      <c r="K306" s="8">
        <v>59.92</v>
      </c>
      <c r="L306" s="8">
        <v>35</v>
      </c>
      <c r="M306" s="8">
        <v>148038725709.10101</v>
      </c>
      <c r="N306" s="8">
        <v>27.91</v>
      </c>
      <c r="O306" s="8" t="str">
        <f>vw_scenario_analysis_dataset[[#This Row],[reporter_name]] &amp; "-" &amp; vw_scenario_analysis_dataset[[#This Row],[reference_year]]</f>
        <v>Chile-2021</v>
      </c>
    </row>
    <row r="307" spans="1:15" x14ac:dyDescent="0.3">
      <c r="A307" s="8" t="s">
        <v>78</v>
      </c>
      <c r="B307" s="8" t="s">
        <v>79</v>
      </c>
      <c r="C307" s="8">
        <v>2022</v>
      </c>
      <c r="D307" s="8">
        <v>197114010338.96603</v>
      </c>
      <c r="E307" s="8">
        <v>301000000000</v>
      </c>
      <c r="F307" s="8">
        <v>19553036</v>
      </c>
      <c r="G307" s="8">
        <v>2.0639186430000001</v>
      </c>
      <c r="H307" s="8">
        <v>75.233419749999996</v>
      </c>
      <c r="I307" s="8">
        <v>10080.99</v>
      </c>
      <c r="J307" s="8">
        <v>15394.03</v>
      </c>
      <c r="K307" s="8">
        <v>65.489999999999995</v>
      </c>
      <c r="L307" s="8">
        <v>36</v>
      </c>
      <c r="M307" s="8">
        <v>189353618412.56693</v>
      </c>
      <c r="N307" s="8">
        <v>4.0999999999999996</v>
      </c>
      <c r="O307" s="8" t="str">
        <f>vw_scenario_analysis_dataset[[#This Row],[reporter_name]] &amp; "-" &amp; vw_scenario_analysis_dataset[[#This Row],[reference_year]]</f>
        <v>Chile-2022</v>
      </c>
    </row>
    <row r="308" spans="1:15" x14ac:dyDescent="0.3">
      <c r="A308" s="8" t="s">
        <v>78</v>
      </c>
      <c r="B308" s="8" t="s">
        <v>79</v>
      </c>
      <c r="C308" s="8">
        <v>2023</v>
      </c>
      <c r="D308" s="8">
        <v>185910550302.03018</v>
      </c>
      <c r="E308" s="8">
        <v>336000000000</v>
      </c>
      <c r="F308" s="8">
        <v>19658835</v>
      </c>
      <c r="G308" s="8">
        <v>0.67702483199999997</v>
      </c>
      <c r="H308" s="8">
        <v>60.676644469999999</v>
      </c>
      <c r="I308" s="8">
        <v>9456.84</v>
      </c>
      <c r="J308" s="8">
        <v>17091.55</v>
      </c>
      <c r="K308" s="8">
        <v>55.33</v>
      </c>
      <c r="L308" s="8">
        <v>36</v>
      </c>
      <c r="M308" s="8">
        <v>197114010338.96603</v>
      </c>
      <c r="N308" s="8">
        <v>-5.68</v>
      </c>
      <c r="O308" s="8" t="str">
        <f>vw_scenario_analysis_dataset[[#This Row],[reporter_name]] &amp; "-" &amp; vw_scenario_analysis_dataset[[#This Row],[reference_year]]</f>
        <v>Chile-2023</v>
      </c>
    </row>
    <row r="309" spans="1:15" x14ac:dyDescent="0.3">
      <c r="A309" s="8" t="s">
        <v>78</v>
      </c>
      <c r="B309" s="8" t="s">
        <v>79</v>
      </c>
      <c r="C309" s="8">
        <v>2024</v>
      </c>
      <c r="D309" s="8">
        <v>197756546584.26398</v>
      </c>
      <c r="E309" s="8">
        <v>329000000000</v>
      </c>
      <c r="F309" s="8">
        <v>19764771</v>
      </c>
      <c r="G309" s="8">
        <v>2.8051263710000001</v>
      </c>
      <c r="H309" s="8">
        <v>63.957746530000001</v>
      </c>
      <c r="I309" s="8">
        <v>10005.51</v>
      </c>
      <c r="J309" s="8">
        <v>16645.78</v>
      </c>
      <c r="K309" s="8">
        <v>60.11</v>
      </c>
      <c r="L309" s="8">
        <v>33</v>
      </c>
      <c r="M309" s="8">
        <v>185910550302.03018</v>
      </c>
      <c r="N309" s="8">
        <v>6.37</v>
      </c>
      <c r="O309" s="8" t="str">
        <f>vw_scenario_analysis_dataset[[#This Row],[reporter_name]] &amp; "-" &amp; vw_scenario_analysis_dataset[[#This Row],[reference_year]]</f>
        <v>Chile-2024</v>
      </c>
    </row>
    <row r="310" spans="1:15" x14ac:dyDescent="0.3">
      <c r="A310" s="8" t="s">
        <v>80</v>
      </c>
      <c r="B310" s="8" t="s">
        <v>81</v>
      </c>
      <c r="C310" s="8">
        <v>2015</v>
      </c>
      <c r="D310" s="8">
        <v>4546936448226</v>
      </c>
      <c r="E310" s="8">
        <v>11300000000000</v>
      </c>
      <c r="F310" s="8">
        <v>1379860000</v>
      </c>
      <c r="G310" s="8">
        <v>6.9816225559999996</v>
      </c>
      <c r="H310" s="8">
        <v>38.697184839999998</v>
      </c>
      <c r="I310" s="8">
        <v>3295.22</v>
      </c>
      <c r="J310" s="8">
        <v>8189.24</v>
      </c>
      <c r="K310" s="8">
        <v>40.24</v>
      </c>
      <c r="L310" s="8">
        <v>1</v>
      </c>
      <c r="M310" s="8"/>
      <c r="N310" s="8"/>
      <c r="O310" s="8" t="str">
        <f>vw_scenario_analysis_dataset[[#This Row],[reporter_name]] &amp; "-" &amp; vw_scenario_analysis_dataset[[#This Row],[reference_year]]</f>
        <v>China-2015</v>
      </c>
    </row>
    <row r="311" spans="1:15" x14ac:dyDescent="0.3">
      <c r="A311" s="8" t="s">
        <v>80</v>
      </c>
      <c r="B311" s="8" t="s">
        <v>81</v>
      </c>
      <c r="C311" s="8">
        <v>2016</v>
      </c>
      <c r="D311" s="8">
        <v>4195274343790</v>
      </c>
      <c r="E311" s="8">
        <v>11500000000000</v>
      </c>
      <c r="F311" s="8">
        <v>1387790000</v>
      </c>
      <c r="G311" s="8">
        <v>6.7736886869999999</v>
      </c>
      <c r="H311" s="8">
        <v>36.177170689999997</v>
      </c>
      <c r="I311" s="8">
        <v>3022.99</v>
      </c>
      <c r="J311" s="8">
        <v>8286.56</v>
      </c>
      <c r="K311" s="8">
        <v>36.479999999999997</v>
      </c>
      <c r="L311" s="8">
        <v>1</v>
      </c>
      <c r="M311" s="8">
        <v>4546936448226</v>
      </c>
      <c r="N311" s="8">
        <v>-7.73</v>
      </c>
      <c r="O311" s="8" t="str">
        <f>vw_scenario_analysis_dataset[[#This Row],[reporter_name]] &amp; "-" &amp; vw_scenario_analysis_dataset[[#This Row],[reference_year]]</f>
        <v>China-2016</v>
      </c>
    </row>
    <row r="312" spans="1:15" x14ac:dyDescent="0.3">
      <c r="A312" s="8" t="s">
        <v>80</v>
      </c>
      <c r="B312" s="8" t="s">
        <v>81</v>
      </c>
      <c r="C312" s="8">
        <v>2017</v>
      </c>
      <c r="D312" s="8">
        <v>4526741008602</v>
      </c>
      <c r="E312" s="8">
        <v>12500000000000</v>
      </c>
      <c r="F312" s="8">
        <v>1396215000</v>
      </c>
      <c r="G312" s="8">
        <v>6.8912391660000001</v>
      </c>
      <c r="H312" s="8">
        <v>36.950852619999999</v>
      </c>
      <c r="I312" s="8">
        <v>3242.15</v>
      </c>
      <c r="J312" s="8">
        <v>8952.7800000000007</v>
      </c>
      <c r="K312" s="8">
        <v>36.21</v>
      </c>
      <c r="L312" s="8">
        <v>1</v>
      </c>
      <c r="M312" s="8">
        <v>4195274343790</v>
      </c>
      <c r="N312" s="8">
        <v>7.9</v>
      </c>
      <c r="O312" s="8" t="str">
        <f>vw_scenario_analysis_dataset[[#This Row],[reporter_name]] &amp; "-" &amp; vw_scenario_analysis_dataset[[#This Row],[reference_year]]</f>
        <v>China-2017</v>
      </c>
    </row>
    <row r="313" spans="1:15" x14ac:dyDescent="0.3">
      <c r="A313" s="8" t="s">
        <v>80</v>
      </c>
      <c r="B313" s="8" t="s">
        <v>81</v>
      </c>
      <c r="C313" s="8">
        <v>2018</v>
      </c>
      <c r="D313" s="8">
        <v>4972879439606</v>
      </c>
      <c r="E313" s="8">
        <v>14100000000000</v>
      </c>
      <c r="F313" s="8">
        <v>1402760000</v>
      </c>
      <c r="G313" s="8">
        <v>6.7578061419999997</v>
      </c>
      <c r="H313" s="8">
        <v>36.894384389999999</v>
      </c>
      <c r="I313" s="8">
        <v>3545.07</v>
      </c>
      <c r="J313" s="8">
        <v>10051.61</v>
      </c>
      <c r="K313" s="8">
        <v>35.270000000000003</v>
      </c>
      <c r="L313" s="8">
        <v>1</v>
      </c>
      <c r="M313" s="8">
        <v>4526741008602</v>
      </c>
      <c r="N313" s="8">
        <v>9.86</v>
      </c>
      <c r="O313" s="8" t="str">
        <f>vw_scenario_analysis_dataset[[#This Row],[reporter_name]] &amp; "-" &amp; vw_scenario_analysis_dataset[[#This Row],[reference_year]]</f>
        <v>China-2018</v>
      </c>
    </row>
    <row r="314" spans="1:15" x14ac:dyDescent="0.3">
      <c r="A314" s="8" t="s">
        <v>80</v>
      </c>
      <c r="B314" s="8" t="s">
        <v>81</v>
      </c>
      <c r="C314" s="8">
        <v>2019</v>
      </c>
      <c r="D314" s="8">
        <v>4998413987732</v>
      </c>
      <c r="E314" s="8">
        <v>14600000000000</v>
      </c>
      <c r="F314" s="8">
        <v>1407745000</v>
      </c>
      <c r="G314" s="8">
        <v>6.0673780629999996</v>
      </c>
      <c r="H314" s="8">
        <v>35.454435029999999</v>
      </c>
      <c r="I314" s="8">
        <v>3550.65</v>
      </c>
      <c r="J314" s="8">
        <v>10371.200000000001</v>
      </c>
      <c r="K314" s="8">
        <v>34.24</v>
      </c>
      <c r="L314" s="8">
        <v>1</v>
      </c>
      <c r="M314" s="8">
        <v>4972879439606</v>
      </c>
      <c r="N314" s="8">
        <v>0.51</v>
      </c>
      <c r="O314" s="8" t="str">
        <f>vw_scenario_analysis_dataset[[#This Row],[reporter_name]] &amp; "-" &amp; vw_scenario_analysis_dataset[[#This Row],[reference_year]]</f>
        <v>China-2019</v>
      </c>
    </row>
    <row r="315" spans="1:15" x14ac:dyDescent="0.3">
      <c r="A315" s="8" t="s">
        <v>80</v>
      </c>
      <c r="B315" s="8" t="s">
        <v>81</v>
      </c>
      <c r="C315" s="8">
        <v>2020</v>
      </c>
      <c r="D315" s="8">
        <v>5178196706596</v>
      </c>
      <c r="E315" s="8">
        <v>15000000000000</v>
      </c>
      <c r="F315" s="8">
        <v>1411100000</v>
      </c>
      <c r="G315" s="8">
        <v>2.339503852</v>
      </c>
      <c r="H315" s="8">
        <v>34.337778470000003</v>
      </c>
      <c r="I315" s="8">
        <v>3669.62</v>
      </c>
      <c r="J315" s="8">
        <v>10630</v>
      </c>
      <c r="K315" s="8">
        <v>34.520000000000003</v>
      </c>
      <c r="L315" s="8">
        <v>1</v>
      </c>
      <c r="M315" s="8">
        <v>4998413987732</v>
      </c>
      <c r="N315" s="8">
        <v>3.6</v>
      </c>
      <c r="O315" s="8" t="str">
        <f>vw_scenario_analysis_dataset[[#This Row],[reporter_name]] &amp; "-" &amp; vw_scenario_analysis_dataset[[#This Row],[reference_year]]</f>
        <v>China-2020</v>
      </c>
    </row>
    <row r="316" spans="1:15" x14ac:dyDescent="0.3">
      <c r="A316" s="8" t="s">
        <v>80</v>
      </c>
      <c r="B316" s="8" t="s">
        <v>81</v>
      </c>
      <c r="C316" s="8">
        <v>2021</v>
      </c>
      <c r="D316" s="8">
        <v>6632044267970</v>
      </c>
      <c r="E316" s="8">
        <v>18200000000000</v>
      </c>
      <c r="F316" s="8">
        <v>1412360000</v>
      </c>
      <c r="G316" s="8">
        <v>8.5703841500000006</v>
      </c>
      <c r="H316" s="8">
        <v>36.642878959999997</v>
      </c>
      <c r="I316" s="8">
        <v>4695.72</v>
      </c>
      <c r="J316" s="8">
        <v>12886.23</v>
      </c>
      <c r="K316" s="8">
        <v>36.44</v>
      </c>
      <c r="L316" s="8">
        <v>1</v>
      </c>
      <c r="M316" s="8">
        <v>5178196706596</v>
      </c>
      <c r="N316" s="8">
        <v>28.08</v>
      </c>
      <c r="O316" s="8" t="str">
        <f>vw_scenario_analysis_dataset[[#This Row],[reporter_name]] &amp; "-" &amp; vw_scenario_analysis_dataset[[#This Row],[reference_year]]</f>
        <v>China-2021</v>
      </c>
    </row>
    <row r="317" spans="1:15" x14ac:dyDescent="0.3">
      <c r="A317" s="8" t="s">
        <v>80</v>
      </c>
      <c r="B317" s="8" t="s">
        <v>81</v>
      </c>
      <c r="C317" s="8">
        <v>2022</v>
      </c>
      <c r="D317" s="8">
        <v>7187202871204</v>
      </c>
      <c r="E317" s="8">
        <v>18300000000000</v>
      </c>
      <c r="F317" s="8">
        <v>1412175000</v>
      </c>
      <c r="G317" s="8">
        <v>3.1338543840000002</v>
      </c>
      <c r="H317" s="8">
        <v>37.512555679999998</v>
      </c>
      <c r="I317" s="8">
        <v>5089.46</v>
      </c>
      <c r="J317" s="8">
        <v>12958.73</v>
      </c>
      <c r="K317" s="8">
        <v>39.270000000000003</v>
      </c>
      <c r="L317" s="8">
        <v>1</v>
      </c>
      <c r="M317" s="8">
        <v>6632044267970</v>
      </c>
      <c r="N317" s="8">
        <v>8.3699999999999992</v>
      </c>
      <c r="O317" s="8" t="str">
        <f>vw_scenario_analysis_dataset[[#This Row],[reporter_name]] &amp; "-" &amp; vw_scenario_analysis_dataset[[#This Row],[reference_year]]</f>
        <v>China-2022</v>
      </c>
    </row>
    <row r="318" spans="1:15" x14ac:dyDescent="0.3">
      <c r="A318" s="8" t="s">
        <v>80</v>
      </c>
      <c r="B318" s="8" t="s">
        <v>81</v>
      </c>
      <c r="C318" s="8">
        <v>2023</v>
      </c>
      <c r="D318" s="8">
        <v>6759495669768</v>
      </c>
      <c r="E318" s="8">
        <v>18300000000000</v>
      </c>
      <c r="F318" s="8">
        <v>1410710000</v>
      </c>
      <c r="G318" s="8">
        <v>5.416003345</v>
      </c>
      <c r="H318" s="8">
        <v>36.739149689999998</v>
      </c>
      <c r="I318" s="8">
        <v>4791.5600000000004</v>
      </c>
      <c r="J318" s="8">
        <v>12972.19</v>
      </c>
      <c r="K318" s="8">
        <v>36.94</v>
      </c>
      <c r="L318" s="8">
        <v>1</v>
      </c>
      <c r="M318" s="8">
        <v>7187202871204</v>
      </c>
      <c r="N318" s="8">
        <v>-5.95</v>
      </c>
      <c r="O318" s="8" t="str">
        <f>vw_scenario_analysis_dataset[[#This Row],[reporter_name]] &amp; "-" &amp; vw_scenario_analysis_dataset[[#This Row],[reference_year]]</f>
        <v>China-2023</v>
      </c>
    </row>
    <row r="319" spans="1:15" x14ac:dyDescent="0.3">
      <c r="A319" s="8" t="s">
        <v>80</v>
      </c>
      <c r="B319" s="8" t="s">
        <v>81</v>
      </c>
      <c r="C319" s="8">
        <v>2024</v>
      </c>
      <c r="D319" s="8">
        <v>7153086587684</v>
      </c>
      <c r="E319" s="8">
        <v>18700000000000</v>
      </c>
      <c r="F319" s="8">
        <v>1408975000</v>
      </c>
      <c r="G319" s="8">
        <v>4.9583037880000003</v>
      </c>
      <c r="H319" s="8">
        <v>37.956060139999998</v>
      </c>
      <c r="I319" s="8">
        <v>5076.8</v>
      </c>
      <c r="J319" s="8">
        <v>13272.06</v>
      </c>
      <c r="K319" s="8">
        <v>38.25</v>
      </c>
      <c r="L319" s="8">
        <v>1</v>
      </c>
      <c r="M319" s="8">
        <v>6759495669768</v>
      </c>
      <c r="N319" s="8">
        <v>5.82</v>
      </c>
      <c r="O319" s="8" t="str">
        <f>vw_scenario_analysis_dataset[[#This Row],[reporter_name]] &amp; "-" &amp; vw_scenario_analysis_dataset[[#This Row],[reference_year]]</f>
        <v>China-2024</v>
      </c>
    </row>
    <row r="320" spans="1:15" x14ac:dyDescent="0.3">
      <c r="A320" s="8" t="s">
        <v>82</v>
      </c>
      <c r="B320" s="8" t="s">
        <v>83</v>
      </c>
      <c r="C320" s="8">
        <v>2015</v>
      </c>
      <c r="D320" s="8">
        <v>8105286582</v>
      </c>
      <c r="E320" s="8">
        <v>32210233020</v>
      </c>
      <c r="F320" s="8">
        <v>22763414</v>
      </c>
      <c r="G320" s="8">
        <v>5.6669529870000002</v>
      </c>
      <c r="H320" s="8">
        <v>45.540146829999998</v>
      </c>
      <c r="I320" s="8">
        <v>356.07</v>
      </c>
      <c r="J320" s="8">
        <v>1415</v>
      </c>
      <c r="K320" s="8">
        <v>25.16</v>
      </c>
      <c r="L320" s="8">
        <v>103</v>
      </c>
      <c r="M320" s="8"/>
      <c r="N320" s="8"/>
      <c r="O320" s="8" t="str">
        <f>vw_scenario_analysis_dataset[[#This Row],[reporter_name]] &amp; "-" &amp; vw_scenario_analysis_dataset[[#This Row],[reference_year]]</f>
        <v>Cameroon-2015</v>
      </c>
    </row>
    <row r="321" spans="1:15" x14ac:dyDescent="0.3">
      <c r="A321" s="8" t="s">
        <v>82</v>
      </c>
      <c r="B321" s="8" t="s">
        <v>83</v>
      </c>
      <c r="C321" s="8">
        <v>2016</v>
      </c>
      <c r="D321" s="8">
        <v>4260899007</v>
      </c>
      <c r="E321" s="8">
        <v>33814337044</v>
      </c>
      <c r="F321" s="8">
        <v>23454161</v>
      </c>
      <c r="G321" s="8">
        <v>4.5357942370000002</v>
      </c>
      <c r="H321" s="8">
        <v>40.638631529999998</v>
      </c>
      <c r="I321" s="8">
        <v>181.67</v>
      </c>
      <c r="J321" s="8">
        <v>1441.72</v>
      </c>
      <c r="K321" s="8">
        <v>12.6</v>
      </c>
      <c r="L321" s="8">
        <v>118</v>
      </c>
      <c r="M321" s="8">
        <v>8105286582</v>
      </c>
      <c r="N321" s="8">
        <v>-47.43</v>
      </c>
      <c r="O321" s="8" t="str">
        <f>vw_scenario_analysis_dataset[[#This Row],[reporter_name]] &amp; "-" &amp; vw_scenario_analysis_dataset[[#This Row],[reference_year]]</f>
        <v>Cameroon-2016</v>
      </c>
    </row>
    <row r="322" spans="1:15" x14ac:dyDescent="0.3">
      <c r="A322" s="8" t="s">
        <v>82</v>
      </c>
      <c r="B322" s="8" t="s">
        <v>83</v>
      </c>
      <c r="C322" s="8">
        <v>2017</v>
      </c>
      <c r="D322" s="8">
        <v>6528370343.3250008</v>
      </c>
      <c r="E322" s="8">
        <v>36098547033</v>
      </c>
      <c r="F322" s="8">
        <v>24128601</v>
      </c>
      <c r="G322" s="8">
        <v>3.5411765489999998</v>
      </c>
      <c r="H322" s="8">
        <v>39.199021610000003</v>
      </c>
      <c r="I322" s="8">
        <v>270.57</v>
      </c>
      <c r="J322" s="8">
        <v>1496.09</v>
      </c>
      <c r="K322" s="8">
        <v>18.079999999999998</v>
      </c>
      <c r="L322" s="8">
        <v>110</v>
      </c>
      <c r="M322" s="8">
        <v>4260899007</v>
      </c>
      <c r="N322" s="8">
        <v>53.22</v>
      </c>
      <c r="O322" s="8" t="str">
        <f>vw_scenario_analysis_dataset[[#This Row],[reporter_name]] &amp; "-" &amp; vw_scenario_analysis_dataset[[#This Row],[reference_year]]</f>
        <v>Cameroon-2017</v>
      </c>
    </row>
    <row r="323" spans="1:15" x14ac:dyDescent="0.3">
      <c r="A323" s="8" t="s">
        <v>82</v>
      </c>
      <c r="B323" s="8" t="s">
        <v>83</v>
      </c>
      <c r="C323" s="8">
        <v>2018</v>
      </c>
      <c r="D323" s="8">
        <v>7609584117.8030014</v>
      </c>
      <c r="E323" s="8">
        <v>39955552190</v>
      </c>
      <c r="F323" s="8">
        <v>24806383</v>
      </c>
      <c r="G323" s="8">
        <v>3.9555142390000002</v>
      </c>
      <c r="H323" s="8">
        <v>40.587602879999999</v>
      </c>
      <c r="I323" s="8">
        <v>306.76</v>
      </c>
      <c r="J323" s="8">
        <v>1610.7</v>
      </c>
      <c r="K323" s="8">
        <v>19.05</v>
      </c>
      <c r="L323" s="8">
        <v>106</v>
      </c>
      <c r="M323" s="8">
        <v>6528370343.3250008</v>
      </c>
      <c r="N323" s="8">
        <v>16.559999999999999</v>
      </c>
      <c r="O323" s="8" t="str">
        <f>vw_scenario_analysis_dataset[[#This Row],[reporter_name]] &amp; "-" &amp; vw_scenario_analysis_dataset[[#This Row],[reference_year]]</f>
        <v>Cameroon-2018</v>
      </c>
    </row>
    <row r="324" spans="1:15" x14ac:dyDescent="0.3">
      <c r="A324" s="8" t="s">
        <v>82</v>
      </c>
      <c r="B324" s="8" t="s">
        <v>83</v>
      </c>
      <c r="C324" s="8">
        <v>2019</v>
      </c>
      <c r="D324" s="8">
        <v>8153136122.166997</v>
      </c>
      <c r="E324" s="8">
        <v>39667757528</v>
      </c>
      <c r="F324" s="8">
        <v>25506095</v>
      </c>
      <c r="G324" s="8">
        <v>3.4750599819999999</v>
      </c>
      <c r="H324" s="8">
        <v>43.378513249999997</v>
      </c>
      <c r="I324" s="8">
        <v>319.64999999999998</v>
      </c>
      <c r="J324" s="8">
        <v>1555.23</v>
      </c>
      <c r="K324" s="8">
        <v>20.55</v>
      </c>
      <c r="L324" s="8">
        <v>106</v>
      </c>
      <c r="M324" s="8">
        <v>7609584117.8030014</v>
      </c>
      <c r="N324" s="8">
        <v>7.14</v>
      </c>
      <c r="O324" s="8" t="str">
        <f>vw_scenario_analysis_dataset[[#This Row],[reporter_name]] &amp; "-" &amp; vw_scenario_analysis_dataset[[#This Row],[reference_year]]</f>
        <v>Cameroon-2019</v>
      </c>
    </row>
    <row r="325" spans="1:15" x14ac:dyDescent="0.3">
      <c r="A325" s="8" t="s">
        <v>82</v>
      </c>
      <c r="B325" s="8" t="s">
        <v>83</v>
      </c>
      <c r="C325" s="8">
        <v>2020</v>
      </c>
      <c r="D325" s="8">
        <v>6305706126.4599962</v>
      </c>
      <c r="E325" s="8">
        <v>40773241177</v>
      </c>
      <c r="F325" s="8">
        <v>26210558</v>
      </c>
      <c r="G325" s="8">
        <v>0.25993291600000001</v>
      </c>
      <c r="H325" s="8">
        <v>33.738831359999999</v>
      </c>
      <c r="I325" s="8">
        <v>240.58</v>
      </c>
      <c r="J325" s="8">
        <v>1555.6</v>
      </c>
      <c r="K325" s="8">
        <v>15.47</v>
      </c>
      <c r="L325" s="8">
        <v>110</v>
      </c>
      <c r="M325" s="8">
        <v>8153136122.166997</v>
      </c>
      <c r="N325" s="8">
        <v>-22.66</v>
      </c>
      <c r="O325" s="8" t="str">
        <f>vw_scenario_analysis_dataset[[#This Row],[reporter_name]] &amp; "-" &amp; vw_scenario_analysis_dataset[[#This Row],[reference_year]]</f>
        <v>Cameroon-2020</v>
      </c>
    </row>
    <row r="326" spans="1:15" x14ac:dyDescent="0.3">
      <c r="A326" s="8" t="s">
        <v>82</v>
      </c>
      <c r="B326" s="8" t="s">
        <v>83</v>
      </c>
      <c r="C326" s="8">
        <v>2021</v>
      </c>
      <c r="D326" s="8">
        <v>8588111952.7139978</v>
      </c>
      <c r="E326" s="8">
        <v>45011937347</v>
      </c>
      <c r="F326" s="8">
        <v>26915758</v>
      </c>
      <c r="G326" s="8">
        <v>3.3388574719999999</v>
      </c>
      <c r="H326" s="8">
        <v>36.730834719999997</v>
      </c>
      <c r="I326" s="8">
        <v>319.07</v>
      </c>
      <c r="J326" s="8">
        <v>1672.33</v>
      </c>
      <c r="K326" s="8">
        <v>19.079999999999998</v>
      </c>
      <c r="L326" s="8">
        <v>105</v>
      </c>
      <c r="M326" s="8">
        <v>6305706126.4599962</v>
      </c>
      <c r="N326" s="8">
        <v>36.200000000000003</v>
      </c>
      <c r="O326" s="8" t="str">
        <f>vw_scenario_analysis_dataset[[#This Row],[reporter_name]] &amp; "-" &amp; vw_scenario_analysis_dataset[[#This Row],[reference_year]]</f>
        <v>Cameroon-2021</v>
      </c>
    </row>
    <row r="327" spans="1:15" x14ac:dyDescent="0.3">
      <c r="A327" s="8" t="s">
        <v>82</v>
      </c>
      <c r="B327" s="8" t="s">
        <v>83</v>
      </c>
      <c r="C327" s="8">
        <v>2022</v>
      </c>
      <c r="D327" s="8">
        <v>11245971372.645006</v>
      </c>
      <c r="E327" s="8">
        <v>44347206073</v>
      </c>
      <c r="F327" s="8">
        <v>27632771</v>
      </c>
      <c r="G327" s="8">
        <v>3.7367840060000002</v>
      </c>
      <c r="H327" s="8">
        <v>41.286602559999999</v>
      </c>
      <c r="I327" s="8">
        <v>406.98</v>
      </c>
      <c r="J327" s="8">
        <v>1604.88</v>
      </c>
      <c r="K327" s="8">
        <v>25.36</v>
      </c>
      <c r="L327" s="8">
        <v>102</v>
      </c>
      <c r="M327" s="8">
        <v>8588111952.7139978</v>
      </c>
      <c r="N327" s="8">
        <v>30.95</v>
      </c>
      <c r="O327" s="8" t="str">
        <f>vw_scenario_analysis_dataset[[#This Row],[reporter_name]] &amp; "-" &amp; vw_scenario_analysis_dataset[[#This Row],[reference_year]]</f>
        <v>Cameroon-2022</v>
      </c>
    </row>
    <row r="328" spans="1:15" x14ac:dyDescent="0.3">
      <c r="A328" s="8" t="s">
        <v>82</v>
      </c>
      <c r="B328" s="8" t="s">
        <v>83</v>
      </c>
      <c r="C328" s="8">
        <v>2023</v>
      </c>
      <c r="D328" s="8">
        <v>9935023791.960001</v>
      </c>
      <c r="E328" s="8">
        <v>48814501547</v>
      </c>
      <c r="F328" s="8">
        <v>28372687</v>
      </c>
      <c r="G328" s="8">
        <v>3.347562908</v>
      </c>
      <c r="H328" s="8">
        <v>37.890332119999997</v>
      </c>
      <c r="I328" s="8">
        <v>350.16</v>
      </c>
      <c r="J328" s="8">
        <v>1720.48</v>
      </c>
      <c r="K328" s="8">
        <v>20.350000000000001</v>
      </c>
      <c r="L328" s="8">
        <v>106</v>
      </c>
      <c r="M328" s="8">
        <v>11245971372.645006</v>
      </c>
      <c r="N328" s="8">
        <v>-11.66</v>
      </c>
      <c r="O328" s="8" t="str">
        <f>vw_scenario_analysis_dataset[[#This Row],[reporter_name]] &amp; "-" &amp; vw_scenario_analysis_dataset[[#This Row],[reference_year]]</f>
        <v>Cameroon-2023</v>
      </c>
    </row>
    <row r="329" spans="1:15" x14ac:dyDescent="0.3">
      <c r="A329" s="8" t="s">
        <v>84</v>
      </c>
      <c r="B329" s="8" t="s">
        <v>85</v>
      </c>
      <c r="C329" s="8">
        <v>2015</v>
      </c>
      <c r="D329" s="8">
        <v>17370104445.732002</v>
      </c>
      <c r="E329" s="8">
        <v>40179574490</v>
      </c>
      <c r="F329" s="8">
        <v>81035531</v>
      </c>
      <c r="G329" s="8">
        <v>6.3597375620000003</v>
      </c>
      <c r="H329" s="8">
        <v>57.753923620000002</v>
      </c>
      <c r="I329" s="8">
        <v>214.35</v>
      </c>
      <c r="J329" s="8">
        <v>495.83</v>
      </c>
      <c r="K329" s="8">
        <v>43.23</v>
      </c>
      <c r="L329" s="8">
        <v>83</v>
      </c>
      <c r="M329" s="8"/>
      <c r="N329" s="8"/>
      <c r="O329" s="8" t="str">
        <f>vw_scenario_analysis_dataset[[#This Row],[reporter_name]] &amp; "-" &amp; vw_scenario_analysis_dataset[[#This Row],[reference_year]]</f>
        <v>Dem. Rep. of the Congo-2015</v>
      </c>
    </row>
    <row r="330" spans="1:15" x14ac:dyDescent="0.3">
      <c r="A330" s="8" t="s">
        <v>84</v>
      </c>
      <c r="B330" s="8" t="s">
        <v>85</v>
      </c>
      <c r="C330" s="8">
        <v>2016</v>
      </c>
      <c r="D330" s="8">
        <v>14385693517.501997</v>
      </c>
      <c r="E330" s="8">
        <v>38600224214</v>
      </c>
      <c r="F330" s="8">
        <v>83956415</v>
      </c>
      <c r="G330" s="8">
        <v>0.39383279799999998</v>
      </c>
      <c r="H330" s="8">
        <v>68.008334289999993</v>
      </c>
      <c r="I330" s="8">
        <v>171.35</v>
      </c>
      <c r="J330" s="8">
        <v>459.77</v>
      </c>
      <c r="K330" s="8">
        <v>37.270000000000003</v>
      </c>
      <c r="L330" s="8">
        <v>89</v>
      </c>
      <c r="M330" s="8">
        <v>17370104445.732002</v>
      </c>
      <c r="N330" s="8">
        <v>-17.18</v>
      </c>
      <c r="O330" s="8" t="str">
        <f>vw_scenario_analysis_dataset[[#This Row],[reporter_name]] &amp; "-" &amp; vw_scenario_analysis_dataset[[#This Row],[reference_year]]</f>
        <v>Dem. Rep. of the Congo-2016</v>
      </c>
    </row>
    <row r="331" spans="1:15" x14ac:dyDescent="0.3">
      <c r="A331" s="8" t="s">
        <v>84</v>
      </c>
      <c r="B331" s="8" t="s">
        <v>85</v>
      </c>
      <c r="C331" s="8">
        <v>2017</v>
      </c>
      <c r="D331" s="8">
        <v>24591416887.221001</v>
      </c>
      <c r="E331" s="8">
        <v>37537521566</v>
      </c>
      <c r="F331" s="8">
        <v>87083398</v>
      </c>
      <c r="G331" s="8">
        <v>4.2412104729999998</v>
      </c>
      <c r="H331" s="8">
        <v>65.918452529999996</v>
      </c>
      <c r="I331" s="8">
        <v>282.39</v>
      </c>
      <c r="J331" s="8">
        <v>431.05</v>
      </c>
      <c r="K331" s="8">
        <v>65.510000000000005</v>
      </c>
      <c r="L331" s="8">
        <v>74</v>
      </c>
      <c r="M331" s="8">
        <v>14385693517.501997</v>
      </c>
      <c r="N331" s="8">
        <v>70.94</v>
      </c>
      <c r="O331" s="8" t="str">
        <f>vw_scenario_analysis_dataset[[#This Row],[reporter_name]] &amp; "-" &amp; vw_scenario_analysis_dataset[[#This Row],[reference_year]]</f>
        <v>Dem. Rep. of the Congo-2017</v>
      </c>
    </row>
    <row r="332" spans="1:15" x14ac:dyDescent="0.3">
      <c r="A332" s="8" t="s">
        <v>84</v>
      </c>
      <c r="B332" s="8" t="s">
        <v>85</v>
      </c>
      <c r="C332" s="8">
        <v>2018</v>
      </c>
      <c r="D332" s="8">
        <v>40008569374.188995</v>
      </c>
      <c r="E332" s="8">
        <v>46659954092</v>
      </c>
      <c r="F332" s="8">
        <v>90047644</v>
      </c>
      <c r="G332" s="8">
        <v>6.0716887059999998</v>
      </c>
      <c r="H332" s="8">
        <v>72.559173909999998</v>
      </c>
      <c r="I332" s="8">
        <v>444.3</v>
      </c>
      <c r="J332" s="8">
        <v>518.16999999999996</v>
      </c>
      <c r="K332" s="8">
        <v>85.74</v>
      </c>
      <c r="L332" s="8">
        <v>64</v>
      </c>
      <c r="M332" s="8">
        <v>24591416887.221001</v>
      </c>
      <c r="N332" s="8">
        <v>62.69</v>
      </c>
      <c r="O332" s="8" t="str">
        <f>vw_scenario_analysis_dataset[[#This Row],[reporter_name]] &amp; "-" &amp; vw_scenario_analysis_dataset[[#This Row],[reference_year]]</f>
        <v>Dem. Rep. of the Congo-2018</v>
      </c>
    </row>
    <row r="333" spans="1:15" x14ac:dyDescent="0.3">
      <c r="A333" s="8" t="s">
        <v>84</v>
      </c>
      <c r="B333" s="8" t="s">
        <v>85</v>
      </c>
      <c r="C333" s="8">
        <v>2019</v>
      </c>
      <c r="D333" s="8">
        <v>26764598338.611015</v>
      </c>
      <c r="E333" s="8">
        <v>46845900350</v>
      </c>
      <c r="F333" s="8">
        <v>92947442</v>
      </c>
      <c r="G333" s="8">
        <v>0.55538429499999997</v>
      </c>
      <c r="H333" s="8">
        <v>60.914352370000003</v>
      </c>
      <c r="I333" s="8">
        <v>287.95</v>
      </c>
      <c r="J333" s="8">
        <v>504</v>
      </c>
      <c r="K333" s="8">
        <v>57.13</v>
      </c>
      <c r="L333" s="8">
        <v>75</v>
      </c>
      <c r="M333" s="8">
        <v>40008569374.188995</v>
      </c>
      <c r="N333" s="8">
        <v>-33.1</v>
      </c>
      <c r="O333" s="8" t="str">
        <f>vw_scenario_analysis_dataset[[#This Row],[reporter_name]] &amp; "-" &amp; vw_scenario_analysis_dataset[[#This Row],[reference_year]]</f>
        <v>Dem. Rep. of the Congo-2019</v>
      </c>
    </row>
    <row r="334" spans="1:15" x14ac:dyDescent="0.3">
      <c r="A334" s="8" t="s">
        <v>84</v>
      </c>
      <c r="B334" s="8" t="s">
        <v>85</v>
      </c>
      <c r="C334" s="8">
        <v>2020</v>
      </c>
      <c r="D334" s="8">
        <v>28460494511.750008</v>
      </c>
      <c r="E334" s="8">
        <v>46691989749</v>
      </c>
      <c r="F334" s="8">
        <v>95989998</v>
      </c>
      <c r="G334" s="8">
        <v>0.77542799200000001</v>
      </c>
      <c r="H334" s="8">
        <v>61.028470769999998</v>
      </c>
      <c r="I334" s="8">
        <v>296.49</v>
      </c>
      <c r="J334" s="8">
        <v>486.43</v>
      </c>
      <c r="K334" s="8">
        <v>60.95</v>
      </c>
      <c r="L334" s="8">
        <v>68</v>
      </c>
      <c r="M334" s="8">
        <v>26764598338.611015</v>
      </c>
      <c r="N334" s="8">
        <v>6.34</v>
      </c>
      <c r="O334" s="8" t="str">
        <f>vw_scenario_analysis_dataset[[#This Row],[reporter_name]] &amp; "-" &amp; vw_scenario_analysis_dataset[[#This Row],[reference_year]]</f>
        <v>Dem. Rep. of the Congo-2020</v>
      </c>
    </row>
    <row r="335" spans="1:15" x14ac:dyDescent="0.3">
      <c r="A335" s="8" t="s">
        <v>84</v>
      </c>
      <c r="B335" s="8" t="s">
        <v>85</v>
      </c>
      <c r="C335" s="8">
        <v>2021</v>
      </c>
      <c r="D335" s="8">
        <v>42824833212.724983</v>
      </c>
      <c r="E335" s="8">
        <v>59067289574</v>
      </c>
      <c r="F335" s="8">
        <v>99148932</v>
      </c>
      <c r="G335" s="8">
        <v>6.4296100559999996</v>
      </c>
      <c r="H335" s="8">
        <v>75.387052389999994</v>
      </c>
      <c r="I335" s="8">
        <v>431.92</v>
      </c>
      <c r="J335" s="8">
        <v>595.74</v>
      </c>
      <c r="K335" s="8">
        <v>72.5</v>
      </c>
      <c r="L335" s="8">
        <v>66</v>
      </c>
      <c r="M335" s="8">
        <v>28460494511.750008</v>
      </c>
      <c r="N335" s="8">
        <v>50.47</v>
      </c>
      <c r="O335" s="8" t="str">
        <f>vw_scenario_analysis_dataset[[#This Row],[reporter_name]] &amp; "-" &amp; vw_scenario_analysis_dataset[[#This Row],[reference_year]]</f>
        <v>Dem. Rep. of the Congo-2021</v>
      </c>
    </row>
    <row r="336" spans="1:15" x14ac:dyDescent="0.3">
      <c r="A336" s="8" t="s">
        <v>84</v>
      </c>
      <c r="B336" s="8" t="s">
        <v>85</v>
      </c>
      <c r="C336" s="8">
        <v>2022</v>
      </c>
      <c r="D336" s="8">
        <v>31344958806.821014</v>
      </c>
      <c r="E336" s="8">
        <v>70422346142</v>
      </c>
      <c r="F336" s="8">
        <v>102396968</v>
      </c>
      <c r="G336" s="8">
        <v>9.3111694410000005</v>
      </c>
      <c r="H336" s="8">
        <v>85.822169189999997</v>
      </c>
      <c r="I336" s="8">
        <v>306.11</v>
      </c>
      <c r="J336" s="8">
        <v>687.74</v>
      </c>
      <c r="K336" s="8">
        <v>44.51</v>
      </c>
      <c r="L336" s="8">
        <v>73</v>
      </c>
      <c r="M336" s="8">
        <v>42824833212.724983</v>
      </c>
      <c r="N336" s="8">
        <v>-26.81</v>
      </c>
      <c r="O336" s="8" t="str">
        <f>vw_scenario_analysis_dataset[[#This Row],[reporter_name]] &amp; "-" &amp; vw_scenario_analysis_dataset[[#This Row],[reference_year]]</f>
        <v>Dem. Rep. of the Congo-2022</v>
      </c>
    </row>
    <row r="337" spans="1:15" x14ac:dyDescent="0.3">
      <c r="A337" s="8" t="s">
        <v>84</v>
      </c>
      <c r="B337" s="8" t="s">
        <v>85</v>
      </c>
      <c r="C337" s="8">
        <v>2023</v>
      </c>
      <c r="D337" s="8">
        <v>55453658745.677994</v>
      </c>
      <c r="E337" s="8">
        <v>69843655425</v>
      </c>
      <c r="F337" s="8">
        <v>105789731</v>
      </c>
      <c r="G337" s="8">
        <v>8.5334898320000008</v>
      </c>
      <c r="H337" s="8">
        <v>86.740058180000005</v>
      </c>
      <c r="I337" s="8">
        <v>524.19000000000005</v>
      </c>
      <c r="J337" s="8">
        <v>660.21</v>
      </c>
      <c r="K337" s="8">
        <v>79.400000000000006</v>
      </c>
      <c r="L337" s="8">
        <v>61</v>
      </c>
      <c r="M337" s="8">
        <v>31344958806.821014</v>
      </c>
      <c r="N337" s="8">
        <v>76.91</v>
      </c>
      <c r="O337" s="8" t="str">
        <f>vw_scenario_analysis_dataset[[#This Row],[reporter_name]] &amp; "-" &amp; vw_scenario_analysis_dataset[[#This Row],[reference_year]]</f>
        <v>Dem. Rep. of the Congo-2023</v>
      </c>
    </row>
    <row r="338" spans="1:15" x14ac:dyDescent="0.3">
      <c r="A338" s="8" t="s">
        <v>86</v>
      </c>
      <c r="B338" s="8" t="s">
        <v>87</v>
      </c>
      <c r="C338" s="8">
        <v>2015</v>
      </c>
      <c r="D338" s="8">
        <v>17245900891.187</v>
      </c>
      <c r="E338" s="8">
        <v>12434793867</v>
      </c>
      <c r="F338" s="8">
        <v>5097581</v>
      </c>
      <c r="G338" s="8">
        <v>0.41519306099999997</v>
      </c>
      <c r="H338" s="8">
        <v>117.3207216</v>
      </c>
      <c r="I338" s="8">
        <v>3383.15</v>
      </c>
      <c r="J338" s="8">
        <v>2439.35</v>
      </c>
      <c r="K338" s="8">
        <v>138.69</v>
      </c>
      <c r="L338" s="8">
        <v>84</v>
      </c>
      <c r="M338" s="8"/>
      <c r="N338" s="8"/>
      <c r="O338" s="8" t="str">
        <f>vw_scenario_analysis_dataset[[#This Row],[reporter_name]] &amp; "-" &amp; vw_scenario_analysis_dataset[[#This Row],[reference_year]]</f>
        <v>Congo-2015</v>
      </c>
    </row>
    <row r="339" spans="1:15" x14ac:dyDescent="0.3">
      <c r="A339" s="8" t="s">
        <v>86</v>
      </c>
      <c r="B339" s="8" t="s">
        <v>87</v>
      </c>
      <c r="C339" s="8">
        <v>2016</v>
      </c>
      <c r="D339" s="8">
        <v>15801184824.904007</v>
      </c>
      <c r="E339" s="8">
        <v>10931328151</v>
      </c>
      <c r="F339" s="8">
        <v>5222536</v>
      </c>
      <c r="G339" s="8">
        <v>-8.6852434390000006</v>
      </c>
      <c r="H339" s="8">
        <v>122.25981830000001</v>
      </c>
      <c r="I339" s="8">
        <v>3025.58</v>
      </c>
      <c r="J339" s="8">
        <v>2093.11</v>
      </c>
      <c r="K339" s="8">
        <v>144.55000000000001</v>
      </c>
      <c r="L339" s="8">
        <v>84</v>
      </c>
      <c r="M339" s="8">
        <v>17245900891.187</v>
      </c>
      <c r="N339" s="8">
        <v>-8.3800000000000008</v>
      </c>
      <c r="O339" s="8" t="str">
        <f>vw_scenario_analysis_dataset[[#This Row],[reporter_name]] &amp; "-" &amp; vw_scenario_analysis_dataset[[#This Row],[reference_year]]</f>
        <v>Congo-2016</v>
      </c>
    </row>
    <row r="340" spans="1:15" x14ac:dyDescent="0.3">
      <c r="A340" s="8" t="s">
        <v>86</v>
      </c>
      <c r="B340" s="8" t="s">
        <v>87</v>
      </c>
      <c r="C340" s="8">
        <v>2017</v>
      </c>
      <c r="D340" s="8">
        <v>16503968776.66</v>
      </c>
      <c r="E340" s="8">
        <v>11834473039</v>
      </c>
      <c r="F340" s="8">
        <v>5351011</v>
      </c>
      <c r="G340" s="8">
        <v>-5.594773719</v>
      </c>
      <c r="H340" s="8">
        <v>94.617095259999999</v>
      </c>
      <c r="I340" s="8">
        <v>3084.27</v>
      </c>
      <c r="J340" s="8">
        <v>2211.63</v>
      </c>
      <c r="K340" s="8">
        <v>139.46</v>
      </c>
      <c r="L340" s="8">
        <v>86</v>
      </c>
      <c r="M340" s="8">
        <v>15801184824.904007</v>
      </c>
      <c r="N340" s="8">
        <v>4.45</v>
      </c>
      <c r="O340" s="8" t="str">
        <f>vw_scenario_analysis_dataset[[#This Row],[reporter_name]] &amp; "-" &amp; vw_scenario_analysis_dataset[[#This Row],[reference_year]]</f>
        <v>Congo-2017</v>
      </c>
    </row>
    <row r="341" spans="1:15" x14ac:dyDescent="0.3">
      <c r="A341" s="8" t="s">
        <v>86</v>
      </c>
      <c r="B341" s="8" t="s">
        <v>87</v>
      </c>
      <c r="C341" s="8">
        <v>2018</v>
      </c>
      <c r="D341" s="8">
        <v>22310058649.666996</v>
      </c>
      <c r="E341" s="8">
        <v>14773900289</v>
      </c>
      <c r="F341" s="8">
        <v>5483118</v>
      </c>
      <c r="G341" s="8">
        <v>-2.3043178009999998</v>
      </c>
      <c r="H341" s="8">
        <v>100.5832168</v>
      </c>
      <c r="I341" s="8">
        <v>4068.86</v>
      </c>
      <c r="J341" s="8">
        <v>2694.43</v>
      </c>
      <c r="K341" s="8">
        <v>151.01</v>
      </c>
      <c r="L341" s="8">
        <v>78</v>
      </c>
      <c r="M341" s="8">
        <v>16503968776.66</v>
      </c>
      <c r="N341" s="8">
        <v>35.18</v>
      </c>
      <c r="O341" s="8" t="str">
        <f>vw_scenario_analysis_dataset[[#This Row],[reporter_name]] &amp; "-" &amp; vw_scenario_analysis_dataset[[#This Row],[reference_year]]</f>
        <v>Congo-2018</v>
      </c>
    </row>
    <row r="342" spans="1:15" x14ac:dyDescent="0.3">
      <c r="A342" s="8" t="s">
        <v>86</v>
      </c>
      <c r="B342" s="8" t="s">
        <v>87</v>
      </c>
      <c r="C342" s="8">
        <v>2019</v>
      </c>
      <c r="D342" s="8">
        <v>11151884640.395994</v>
      </c>
      <c r="E342" s="8">
        <v>13976637780</v>
      </c>
      <c r="F342" s="8">
        <v>5616661</v>
      </c>
      <c r="G342" s="8">
        <v>1.12447392</v>
      </c>
      <c r="H342" s="8">
        <v>91.575754790000005</v>
      </c>
      <c r="I342" s="8">
        <v>1985.5</v>
      </c>
      <c r="J342" s="8">
        <v>2488.42</v>
      </c>
      <c r="K342" s="8">
        <v>79.790000000000006</v>
      </c>
      <c r="L342" s="8">
        <v>96</v>
      </c>
      <c r="M342" s="8">
        <v>22310058649.666996</v>
      </c>
      <c r="N342" s="8">
        <v>-50.01</v>
      </c>
      <c r="O342" s="8" t="str">
        <f>vw_scenario_analysis_dataset[[#This Row],[reporter_name]] &amp; "-" &amp; vw_scenario_analysis_dataset[[#This Row],[reference_year]]</f>
        <v>Congo-2019</v>
      </c>
    </row>
    <row r="343" spans="1:15" x14ac:dyDescent="0.3">
      <c r="A343" s="8" t="s">
        <v>86</v>
      </c>
      <c r="B343" s="8" t="s">
        <v>87</v>
      </c>
      <c r="C343" s="8">
        <v>2020</v>
      </c>
      <c r="D343" s="8">
        <v>9786184973.4999981</v>
      </c>
      <c r="E343" s="8">
        <v>11468687464</v>
      </c>
      <c r="F343" s="8">
        <v>5752791</v>
      </c>
      <c r="G343" s="8">
        <v>-6.26777228</v>
      </c>
      <c r="H343" s="8">
        <v>69.306624720000002</v>
      </c>
      <c r="I343" s="8">
        <v>1701.12</v>
      </c>
      <c r="J343" s="8">
        <v>1993.59</v>
      </c>
      <c r="K343" s="8">
        <v>85.33</v>
      </c>
      <c r="L343" s="8">
        <v>96</v>
      </c>
      <c r="M343" s="8">
        <v>11151884640.395994</v>
      </c>
      <c r="N343" s="8">
        <v>-12.25</v>
      </c>
      <c r="O343" s="8" t="str">
        <f>vw_scenario_analysis_dataset[[#This Row],[reporter_name]] &amp; "-" &amp; vw_scenario_analysis_dataset[[#This Row],[reference_year]]</f>
        <v>Congo-2020</v>
      </c>
    </row>
    <row r="344" spans="1:15" x14ac:dyDescent="0.3">
      <c r="A344" s="8" t="s">
        <v>86</v>
      </c>
      <c r="B344" s="8" t="s">
        <v>87</v>
      </c>
      <c r="C344" s="8">
        <v>2021</v>
      </c>
      <c r="D344" s="8">
        <v>4724460322.0199976</v>
      </c>
      <c r="E344" s="8">
        <v>14825690211</v>
      </c>
      <c r="F344" s="8">
        <v>5892183</v>
      </c>
      <c r="G344" s="8">
        <v>1.0150703700000001</v>
      </c>
      <c r="H344" s="8">
        <v>85.546203160000005</v>
      </c>
      <c r="I344" s="8">
        <v>801.82</v>
      </c>
      <c r="J344" s="8">
        <v>2516.16</v>
      </c>
      <c r="K344" s="8">
        <v>31.87</v>
      </c>
      <c r="L344" s="8">
        <v>121</v>
      </c>
      <c r="M344" s="8">
        <v>9786184973.4999981</v>
      </c>
      <c r="N344" s="8">
        <v>-51.72</v>
      </c>
      <c r="O344" s="8" t="str">
        <f>vw_scenario_analysis_dataset[[#This Row],[reporter_name]] &amp; "-" &amp; vw_scenario_analysis_dataset[[#This Row],[reference_year]]</f>
        <v>Congo-2021</v>
      </c>
    </row>
    <row r="345" spans="1:15" x14ac:dyDescent="0.3">
      <c r="A345" s="8" t="s">
        <v>86</v>
      </c>
      <c r="B345" s="8" t="s">
        <v>87</v>
      </c>
      <c r="C345" s="8">
        <v>2022</v>
      </c>
      <c r="D345" s="8">
        <v>17739982931.686996</v>
      </c>
      <c r="E345" s="8">
        <v>15817030155</v>
      </c>
      <c r="F345" s="8">
        <v>6035104</v>
      </c>
      <c r="G345" s="8">
        <v>1.4753561319999999</v>
      </c>
      <c r="H345" s="8">
        <v>98.161336689999999</v>
      </c>
      <c r="I345" s="8">
        <v>2939.47</v>
      </c>
      <c r="J345" s="8">
        <v>2620.84</v>
      </c>
      <c r="K345" s="8">
        <v>112.16</v>
      </c>
      <c r="L345" s="8">
        <v>90</v>
      </c>
      <c r="M345" s="8">
        <v>4724460322.0199976</v>
      </c>
      <c r="N345" s="8">
        <v>275.49</v>
      </c>
      <c r="O345" s="8" t="str">
        <f>vw_scenario_analysis_dataset[[#This Row],[reporter_name]] &amp; "-" &amp; vw_scenario_analysis_dataset[[#This Row],[reference_year]]</f>
        <v>Congo-2022</v>
      </c>
    </row>
    <row r="346" spans="1:15" x14ac:dyDescent="0.3">
      <c r="A346" s="8" t="s">
        <v>86</v>
      </c>
      <c r="B346" s="8" t="s">
        <v>87</v>
      </c>
      <c r="C346" s="8">
        <v>2023</v>
      </c>
      <c r="D346" s="8">
        <v>18930065909.382996</v>
      </c>
      <c r="E346" s="8">
        <v>15321055823</v>
      </c>
      <c r="F346" s="8">
        <v>6182885</v>
      </c>
      <c r="G346" s="8">
        <v>1.9068642629999999</v>
      </c>
      <c r="H346" s="8">
        <v>96.210394399999998</v>
      </c>
      <c r="I346" s="8">
        <v>3061.69</v>
      </c>
      <c r="J346" s="8">
        <v>2477.98</v>
      </c>
      <c r="K346" s="8">
        <v>123.56</v>
      </c>
      <c r="L346" s="8">
        <v>85</v>
      </c>
      <c r="M346" s="8">
        <v>17739982931.686996</v>
      </c>
      <c r="N346" s="8">
        <v>6.71</v>
      </c>
      <c r="O346" s="8" t="str">
        <f>vw_scenario_analysis_dataset[[#This Row],[reporter_name]] &amp; "-" &amp; vw_scenario_analysis_dataset[[#This Row],[reference_year]]</f>
        <v>Congo-2023</v>
      </c>
    </row>
    <row r="347" spans="1:15" x14ac:dyDescent="0.3">
      <c r="A347" s="8" t="s">
        <v>88</v>
      </c>
      <c r="B347" s="8" t="s">
        <v>89</v>
      </c>
      <c r="C347" s="8">
        <v>2015</v>
      </c>
      <c r="D347" s="8">
        <v>71381533185</v>
      </c>
      <c r="E347" s="8">
        <v>293000000000</v>
      </c>
      <c r="F347" s="8">
        <v>46969940</v>
      </c>
      <c r="G347" s="8">
        <v>2.9559013749999998</v>
      </c>
      <c r="H347" s="8">
        <v>38.360764119999999</v>
      </c>
      <c r="I347" s="8">
        <v>1519.73</v>
      </c>
      <c r="J347" s="8">
        <v>6238.03</v>
      </c>
      <c r="K347" s="8">
        <v>24.36</v>
      </c>
      <c r="L347" s="8">
        <v>50</v>
      </c>
      <c r="M347" s="8"/>
      <c r="N347" s="8"/>
      <c r="O347" s="8" t="str">
        <f>vw_scenario_analysis_dataset[[#This Row],[reporter_name]] &amp; "-" &amp; vw_scenario_analysis_dataset[[#This Row],[reference_year]]</f>
        <v>Colombia-2015</v>
      </c>
    </row>
    <row r="348" spans="1:15" x14ac:dyDescent="0.3">
      <c r="A348" s="8" t="s">
        <v>88</v>
      </c>
      <c r="B348" s="8" t="s">
        <v>89</v>
      </c>
      <c r="C348" s="8">
        <v>2016</v>
      </c>
      <c r="D348" s="8">
        <v>62089982489</v>
      </c>
      <c r="E348" s="8">
        <v>283000000000</v>
      </c>
      <c r="F348" s="8">
        <v>47437512</v>
      </c>
      <c r="G348" s="8">
        <v>2.0873825020000001</v>
      </c>
      <c r="H348" s="8">
        <v>36.202652980000003</v>
      </c>
      <c r="I348" s="8">
        <v>1308.8800000000001</v>
      </c>
      <c r="J348" s="8">
        <v>5965.74</v>
      </c>
      <c r="K348" s="8">
        <v>21.94</v>
      </c>
      <c r="L348" s="8">
        <v>52</v>
      </c>
      <c r="M348" s="8">
        <v>71381533185</v>
      </c>
      <c r="N348" s="8">
        <v>-13.02</v>
      </c>
      <c r="O348" s="8" t="str">
        <f>vw_scenario_analysis_dataset[[#This Row],[reporter_name]] &amp; "-" &amp; vw_scenario_analysis_dataset[[#This Row],[reference_year]]</f>
        <v>Colombia-2016</v>
      </c>
    </row>
    <row r="349" spans="1:15" x14ac:dyDescent="0.3">
      <c r="A349" s="8" t="s">
        <v>88</v>
      </c>
      <c r="B349" s="8" t="s">
        <v>89</v>
      </c>
      <c r="C349" s="8">
        <v>2017</v>
      </c>
      <c r="D349" s="8">
        <v>75532642120.060043</v>
      </c>
      <c r="E349" s="8">
        <v>312000000000</v>
      </c>
      <c r="F349" s="8">
        <v>48131078</v>
      </c>
      <c r="G349" s="8">
        <v>1.359360868</v>
      </c>
      <c r="H349" s="8">
        <v>35.282914939999998</v>
      </c>
      <c r="I349" s="8">
        <v>1569.31</v>
      </c>
      <c r="J349" s="8">
        <v>6482.3</v>
      </c>
      <c r="K349" s="8">
        <v>24.21</v>
      </c>
      <c r="L349" s="8">
        <v>52</v>
      </c>
      <c r="M349" s="8">
        <v>62089982489</v>
      </c>
      <c r="N349" s="8">
        <v>21.65</v>
      </c>
      <c r="O349" s="8" t="str">
        <f>vw_scenario_analysis_dataset[[#This Row],[reporter_name]] &amp; "-" &amp; vw_scenario_analysis_dataset[[#This Row],[reference_year]]</f>
        <v>Colombia-2017</v>
      </c>
    </row>
    <row r="350" spans="1:15" x14ac:dyDescent="0.3">
      <c r="A350" s="8" t="s">
        <v>88</v>
      </c>
      <c r="B350" s="8" t="s">
        <v>89</v>
      </c>
      <c r="C350" s="8">
        <v>2018</v>
      </c>
      <c r="D350" s="8">
        <v>83663040441.579971</v>
      </c>
      <c r="E350" s="8">
        <v>334000000000</v>
      </c>
      <c r="F350" s="8">
        <v>49024465</v>
      </c>
      <c r="G350" s="8">
        <v>2.5643242829999999</v>
      </c>
      <c r="H350" s="8">
        <v>36.5347528</v>
      </c>
      <c r="I350" s="8">
        <v>1706.56</v>
      </c>
      <c r="J350" s="8">
        <v>6812.92</v>
      </c>
      <c r="K350" s="8">
        <v>25.05</v>
      </c>
      <c r="L350" s="8">
        <v>49</v>
      </c>
      <c r="M350" s="8">
        <v>75532642120.060043</v>
      </c>
      <c r="N350" s="8">
        <v>10.76</v>
      </c>
      <c r="O350" s="8" t="str">
        <f>vw_scenario_analysis_dataset[[#This Row],[reporter_name]] &amp; "-" &amp; vw_scenario_analysis_dataset[[#This Row],[reference_year]]</f>
        <v>Colombia-2018</v>
      </c>
    </row>
    <row r="351" spans="1:15" x14ac:dyDescent="0.3">
      <c r="A351" s="8" t="s">
        <v>88</v>
      </c>
      <c r="B351" s="8" t="s">
        <v>89</v>
      </c>
      <c r="C351" s="8">
        <v>2019</v>
      </c>
      <c r="D351" s="8">
        <v>78978718923.980011</v>
      </c>
      <c r="E351" s="8">
        <v>323000000000</v>
      </c>
      <c r="F351" s="8">
        <v>49907985</v>
      </c>
      <c r="G351" s="8">
        <v>3.186855392</v>
      </c>
      <c r="H351" s="8">
        <v>37.55853398</v>
      </c>
      <c r="I351" s="8">
        <v>1582.49</v>
      </c>
      <c r="J351" s="8">
        <v>6471.91</v>
      </c>
      <c r="K351" s="8">
        <v>24.45</v>
      </c>
      <c r="L351" s="8">
        <v>50</v>
      </c>
      <c r="M351" s="8">
        <v>83663040441.579971</v>
      </c>
      <c r="N351" s="8">
        <v>-5.6</v>
      </c>
      <c r="O351" s="8" t="str">
        <f>vw_scenario_analysis_dataset[[#This Row],[reporter_name]] &amp; "-" &amp; vw_scenario_analysis_dataset[[#This Row],[reference_year]]</f>
        <v>Colombia-2019</v>
      </c>
    </row>
    <row r="352" spans="1:15" x14ac:dyDescent="0.3">
      <c r="A352" s="8" t="s">
        <v>88</v>
      </c>
      <c r="B352" s="8" t="s">
        <v>89</v>
      </c>
      <c r="C352" s="8">
        <v>2020</v>
      </c>
      <c r="D352" s="8">
        <v>62111621319.38002</v>
      </c>
      <c r="E352" s="8">
        <v>270000000000</v>
      </c>
      <c r="F352" s="8">
        <v>50629997</v>
      </c>
      <c r="G352" s="8">
        <v>-7.1859141380000002</v>
      </c>
      <c r="H352" s="8">
        <v>34.055570969999998</v>
      </c>
      <c r="I352" s="8">
        <v>1226.78</v>
      </c>
      <c r="J352" s="8">
        <v>5332.81</v>
      </c>
      <c r="K352" s="8">
        <v>23</v>
      </c>
      <c r="L352" s="8">
        <v>55</v>
      </c>
      <c r="M352" s="8">
        <v>78978718923.980011</v>
      </c>
      <c r="N352" s="8">
        <v>-21.36</v>
      </c>
      <c r="O352" s="8" t="str">
        <f>vw_scenario_analysis_dataset[[#This Row],[reporter_name]] &amp; "-" &amp; vw_scenario_analysis_dataset[[#This Row],[reference_year]]</f>
        <v>Colombia-2020</v>
      </c>
    </row>
    <row r="353" spans="1:15" x14ac:dyDescent="0.3">
      <c r="A353" s="8" t="s">
        <v>88</v>
      </c>
      <c r="B353" s="8" t="s">
        <v>89</v>
      </c>
      <c r="C353" s="8">
        <v>2021</v>
      </c>
      <c r="D353" s="8">
        <v>82779978095.5</v>
      </c>
      <c r="E353" s="8">
        <v>319000000000</v>
      </c>
      <c r="F353" s="8">
        <v>51188173</v>
      </c>
      <c r="G353" s="8">
        <v>10.801198189999999</v>
      </c>
      <c r="H353" s="8">
        <v>40.059146390000002</v>
      </c>
      <c r="I353" s="8">
        <v>1617.17</v>
      </c>
      <c r="J353" s="8">
        <v>6231.91</v>
      </c>
      <c r="K353" s="8">
        <v>25.95</v>
      </c>
      <c r="L353" s="8">
        <v>54</v>
      </c>
      <c r="M353" s="8">
        <v>62111621319.38002</v>
      </c>
      <c r="N353" s="8">
        <v>33.28</v>
      </c>
      <c r="O353" s="8" t="str">
        <f>vw_scenario_analysis_dataset[[#This Row],[reporter_name]] &amp; "-" &amp; vw_scenario_analysis_dataset[[#This Row],[reference_year]]</f>
        <v>Colombia-2021</v>
      </c>
    </row>
    <row r="354" spans="1:15" x14ac:dyDescent="0.3">
      <c r="A354" s="8" t="s">
        <v>88</v>
      </c>
      <c r="B354" s="8" t="s">
        <v>89</v>
      </c>
      <c r="C354" s="8">
        <v>2022</v>
      </c>
      <c r="D354" s="8">
        <v>113820273295.43997</v>
      </c>
      <c r="E354" s="8">
        <v>346000000000</v>
      </c>
      <c r="F354" s="8">
        <v>51737944</v>
      </c>
      <c r="G354" s="8">
        <v>7.3282772940000003</v>
      </c>
      <c r="H354" s="8">
        <v>48.28265511</v>
      </c>
      <c r="I354" s="8">
        <v>2199.94</v>
      </c>
      <c r="J354" s="8">
        <v>6687.55</v>
      </c>
      <c r="K354" s="8">
        <v>32.9</v>
      </c>
      <c r="L354" s="8">
        <v>49</v>
      </c>
      <c r="M354" s="8">
        <v>82779978095.5</v>
      </c>
      <c r="N354" s="8">
        <v>37.5</v>
      </c>
      <c r="O354" s="8" t="str">
        <f>vw_scenario_analysis_dataset[[#This Row],[reporter_name]] &amp; "-" &amp; vw_scenario_analysis_dataset[[#This Row],[reference_year]]</f>
        <v>Colombia-2022</v>
      </c>
    </row>
    <row r="355" spans="1:15" x14ac:dyDescent="0.3">
      <c r="A355" s="8" t="s">
        <v>88</v>
      </c>
      <c r="B355" s="8" t="s">
        <v>89</v>
      </c>
      <c r="C355" s="8">
        <v>2023</v>
      </c>
      <c r="D355" s="8">
        <v>99538228864.760025</v>
      </c>
      <c r="E355" s="8">
        <v>367000000000</v>
      </c>
      <c r="F355" s="8">
        <v>52321152</v>
      </c>
      <c r="G355" s="8">
        <v>0.84181955600000002</v>
      </c>
      <c r="H355" s="8">
        <v>40.133316530000002</v>
      </c>
      <c r="I355" s="8">
        <v>1902.45</v>
      </c>
      <c r="J355" s="8">
        <v>7014.37</v>
      </c>
      <c r="K355" s="8">
        <v>27.12</v>
      </c>
      <c r="L355" s="8">
        <v>49</v>
      </c>
      <c r="M355" s="8">
        <v>113820273295.43997</v>
      </c>
      <c r="N355" s="8">
        <v>-12.55</v>
      </c>
      <c r="O355" s="8" t="str">
        <f>vw_scenario_analysis_dataset[[#This Row],[reporter_name]] &amp; "-" &amp; vw_scenario_analysis_dataset[[#This Row],[reference_year]]</f>
        <v>Colombia-2023</v>
      </c>
    </row>
    <row r="356" spans="1:15" x14ac:dyDescent="0.3">
      <c r="A356" s="8" t="s">
        <v>88</v>
      </c>
      <c r="B356" s="8" t="s">
        <v>89</v>
      </c>
      <c r="C356" s="8">
        <v>2024</v>
      </c>
      <c r="D356" s="8">
        <v>99113042368.460098</v>
      </c>
      <c r="E356" s="8">
        <v>421000000000</v>
      </c>
      <c r="F356" s="8">
        <v>52886363</v>
      </c>
      <c r="G356" s="8">
        <v>1.493307288</v>
      </c>
      <c r="H356" s="8">
        <v>36.317993880000003</v>
      </c>
      <c r="I356" s="8">
        <v>1874.08</v>
      </c>
      <c r="J356" s="8">
        <v>7960.46</v>
      </c>
      <c r="K356" s="8">
        <v>23.54</v>
      </c>
      <c r="L356" s="8">
        <v>49</v>
      </c>
      <c r="M356" s="8">
        <v>99538228864.760025</v>
      </c>
      <c r="N356" s="8">
        <v>-0.43</v>
      </c>
      <c r="O356" s="8" t="str">
        <f>vw_scenario_analysis_dataset[[#This Row],[reporter_name]] &amp; "-" &amp; vw_scenario_analysis_dataset[[#This Row],[reference_year]]</f>
        <v>Colombia-2024</v>
      </c>
    </row>
    <row r="357" spans="1:15" x14ac:dyDescent="0.3">
      <c r="A357" s="8" t="s">
        <v>90</v>
      </c>
      <c r="B357" s="8" t="s">
        <v>91</v>
      </c>
      <c r="C357" s="8">
        <v>2015</v>
      </c>
      <c r="D357" s="8">
        <v>32014926.561000004</v>
      </c>
      <c r="E357" s="8">
        <v>966029600.89999998</v>
      </c>
      <c r="F357" s="8">
        <v>726682</v>
      </c>
      <c r="G357" s="8">
        <v>1.1473563229999999</v>
      </c>
      <c r="H357" s="8">
        <v>37.804952069999999</v>
      </c>
      <c r="I357" s="8">
        <v>44.06</v>
      </c>
      <c r="J357" s="8">
        <v>1329.37</v>
      </c>
      <c r="K357" s="8">
        <v>3.31</v>
      </c>
      <c r="L357" s="8">
        <v>164</v>
      </c>
      <c r="M357" s="8"/>
      <c r="N357" s="8"/>
      <c r="O357" s="8" t="str">
        <f>vw_scenario_analysis_dataset[[#This Row],[reporter_name]] &amp; "-" &amp; vw_scenario_analysis_dataset[[#This Row],[reference_year]]</f>
        <v>Comoros-2015</v>
      </c>
    </row>
    <row r="358" spans="1:15" x14ac:dyDescent="0.3">
      <c r="A358" s="8" t="s">
        <v>90</v>
      </c>
      <c r="B358" s="8" t="s">
        <v>91</v>
      </c>
      <c r="C358" s="8">
        <v>2016</v>
      </c>
      <c r="D358" s="8">
        <v>66925501.343999997</v>
      </c>
      <c r="E358" s="8">
        <v>1012835493</v>
      </c>
      <c r="F358" s="8">
        <v>741741</v>
      </c>
      <c r="G358" s="8">
        <v>3.3204465550000002</v>
      </c>
      <c r="H358" s="8">
        <v>37.132879719999998</v>
      </c>
      <c r="I358" s="8">
        <v>90.23</v>
      </c>
      <c r="J358" s="8">
        <v>1365.48</v>
      </c>
      <c r="K358" s="8">
        <v>6.61</v>
      </c>
      <c r="L358" s="8">
        <v>166</v>
      </c>
      <c r="M358" s="8">
        <v>32014926.561000004</v>
      </c>
      <c r="N358" s="8">
        <v>109.04</v>
      </c>
      <c r="O358" s="8" t="str">
        <f>vw_scenario_analysis_dataset[[#This Row],[reporter_name]] &amp; "-" &amp; vw_scenario_analysis_dataset[[#This Row],[reference_year]]</f>
        <v>Comoros-2016</v>
      </c>
    </row>
    <row r="359" spans="1:15" x14ac:dyDescent="0.3">
      <c r="A359" s="8" t="s">
        <v>90</v>
      </c>
      <c r="B359" s="8" t="s">
        <v>91</v>
      </c>
      <c r="C359" s="8">
        <v>2017</v>
      </c>
      <c r="D359" s="8">
        <v>77449097.745999992</v>
      </c>
      <c r="E359" s="8">
        <v>1077439757</v>
      </c>
      <c r="F359" s="8">
        <v>756669</v>
      </c>
      <c r="G359" s="8">
        <v>3.8157628749999999</v>
      </c>
      <c r="H359" s="8">
        <v>40.164358919999998</v>
      </c>
      <c r="I359" s="8">
        <v>102.36</v>
      </c>
      <c r="J359" s="8">
        <v>1423.92</v>
      </c>
      <c r="K359" s="8">
        <v>7.19</v>
      </c>
      <c r="L359" s="8">
        <v>164</v>
      </c>
      <c r="M359" s="8">
        <v>66925501.343999997</v>
      </c>
      <c r="N359" s="8">
        <v>15.72</v>
      </c>
      <c r="O359" s="8" t="str">
        <f>vw_scenario_analysis_dataset[[#This Row],[reporter_name]] &amp; "-" &amp; vw_scenario_analysis_dataset[[#This Row],[reference_year]]</f>
        <v>Comoros-2017</v>
      </c>
    </row>
    <row r="360" spans="1:15" x14ac:dyDescent="0.3">
      <c r="A360" s="8" t="s">
        <v>90</v>
      </c>
      <c r="B360" s="8" t="s">
        <v>91</v>
      </c>
      <c r="C360" s="8">
        <v>2018</v>
      </c>
      <c r="D360" s="8">
        <v>91942475.170000017</v>
      </c>
      <c r="E360" s="8">
        <v>1188797449</v>
      </c>
      <c r="F360" s="8">
        <v>771590</v>
      </c>
      <c r="G360" s="8">
        <v>3.6424511470000001</v>
      </c>
      <c r="H360" s="8">
        <v>42.996153339999999</v>
      </c>
      <c r="I360" s="8">
        <v>119.16</v>
      </c>
      <c r="J360" s="8">
        <v>1540.71</v>
      </c>
      <c r="K360" s="8">
        <v>7.73</v>
      </c>
      <c r="L360" s="8">
        <v>159</v>
      </c>
      <c r="M360" s="8">
        <v>77449097.745999992</v>
      </c>
      <c r="N360" s="8">
        <v>18.71</v>
      </c>
      <c r="O360" s="8" t="str">
        <f>vw_scenario_analysis_dataset[[#This Row],[reporter_name]] &amp; "-" &amp; vw_scenario_analysis_dataset[[#This Row],[reference_year]]</f>
        <v>Comoros-2018</v>
      </c>
    </row>
    <row r="361" spans="1:15" x14ac:dyDescent="0.3">
      <c r="A361" s="8" t="s">
        <v>90</v>
      </c>
      <c r="B361" s="8" t="s">
        <v>91</v>
      </c>
      <c r="C361" s="8">
        <v>2019</v>
      </c>
      <c r="D361" s="8">
        <v>97924460.743000045</v>
      </c>
      <c r="E361" s="8">
        <v>1195019532</v>
      </c>
      <c r="F361" s="8">
        <v>786578</v>
      </c>
      <c r="G361" s="8">
        <v>1.760780236</v>
      </c>
      <c r="H361" s="8">
        <v>42.268078539999998</v>
      </c>
      <c r="I361" s="8">
        <v>124.49</v>
      </c>
      <c r="J361" s="8">
        <v>1519.26</v>
      </c>
      <c r="K361" s="8">
        <v>8.19</v>
      </c>
      <c r="L361" s="8">
        <v>156</v>
      </c>
      <c r="M361" s="8">
        <v>91942475.170000017</v>
      </c>
      <c r="N361" s="8">
        <v>6.51</v>
      </c>
      <c r="O361" s="8" t="str">
        <f>vw_scenario_analysis_dataset[[#This Row],[reporter_name]] &amp; "-" &amp; vw_scenario_analysis_dataset[[#This Row],[reference_year]]</f>
        <v>Comoros-2019</v>
      </c>
    </row>
    <row r="362" spans="1:15" x14ac:dyDescent="0.3">
      <c r="A362" s="8" t="s">
        <v>90</v>
      </c>
      <c r="B362" s="8" t="s">
        <v>91</v>
      </c>
      <c r="C362" s="8">
        <v>2020</v>
      </c>
      <c r="D362" s="8">
        <v>41366202.616999991</v>
      </c>
      <c r="E362" s="8">
        <v>1225039197</v>
      </c>
      <c r="F362" s="8">
        <v>802163</v>
      </c>
      <c r="G362" s="8">
        <v>-0.19555684200000001</v>
      </c>
      <c r="H362" s="8">
        <v>33.729934620000002</v>
      </c>
      <c r="I362" s="8">
        <v>51.57</v>
      </c>
      <c r="J362" s="8">
        <v>1527.17</v>
      </c>
      <c r="K362" s="8">
        <v>3.38</v>
      </c>
      <c r="L362" s="8">
        <v>157</v>
      </c>
      <c r="M362" s="8">
        <v>97924460.743000045</v>
      </c>
      <c r="N362" s="8">
        <v>-57.76</v>
      </c>
      <c r="O362" s="8" t="str">
        <f>vw_scenario_analysis_dataset[[#This Row],[reporter_name]] &amp; "-" &amp; vw_scenario_analysis_dataset[[#This Row],[reference_year]]</f>
        <v>Comoros-2020</v>
      </c>
    </row>
    <row r="363" spans="1:15" x14ac:dyDescent="0.3">
      <c r="A363" s="8" t="s">
        <v>90</v>
      </c>
      <c r="B363" s="8" t="s">
        <v>91</v>
      </c>
      <c r="C363" s="8">
        <v>2021</v>
      </c>
      <c r="D363" s="8">
        <v>68444557.366000012</v>
      </c>
      <c r="E363" s="8">
        <v>1299039312</v>
      </c>
      <c r="F363" s="8">
        <v>818174</v>
      </c>
      <c r="G363" s="8">
        <v>2.0424523830000001</v>
      </c>
      <c r="H363" s="8">
        <v>42.067723649999998</v>
      </c>
      <c r="I363" s="8">
        <v>83.66</v>
      </c>
      <c r="J363" s="8">
        <v>1587.73</v>
      </c>
      <c r="K363" s="8">
        <v>5.27</v>
      </c>
      <c r="L363" s="8">
        <v>153</v>
      </c>
      <c r="M363" s="8">
        <v>41366202.616999991</v>
      </c>
      <c r="N363" s="8">
        <v>65.459999999999994</v>
      </c>
      <c r="O363" s="8" t="str">
        <f>vw_scenario_analysis_dataset[[#This Row],[reporter_name]] &amp; "-" &amp; vw_scenario_analysis_dataset[[#This Row],[reference_year]]</f>
        <v>Comoros-2021</v>
      </c>
    </row>
    <row r="364" spans="1:15" x14ac:dyDescent="0.3">
      <c r="A364" s="8" t="s">
        <v>90</v>
      </c>
      <c r="B364" s="8" t="s">
        <v>91</v>
      </c>
      <c r="C364" s="8">
        <v>2022</v>
      </c>
      <c r="D364" s="8">
        <v>109275831.27700001</v>
      </c>
      <c r="E364" s="8">
        <v>1279542249</v>
      </c>
      <c r="F364" s="8">
        <v>834188</v>
      </c>
      <c r="G364" s="8">
        <v>2.453811746</v>
      </c>
      <c r="H364" s="8">
        <v>50.388770489999999</v>
      </c>
      <c r="I364" s="8">
        <v>131</v>
      </c>
      <c r="J364" s="8">
        <v>1533.88</v>
      </c>
      <c r="K364" s="8">
        <v>8.5399999999999991</v>
      </c>
      <c r="L364" s="8">
        <v>151</v>
      </c>
      <c r="M364" s="8">
        <v>68444557.366000012</v>
      </c>
      <c r="N364" s="8">
        <v>59.66</v>
      </c>
      <c r="O364" s="8" t="str">
        <f>vw_scenario_analysis_dataset[[#This Row],[reporter_name]] &amp; "-" &amp; vw_scenario_analysis_dataset[[#This Row],[reference_year]]</f>
        <v>Comoros-2022</v>
      </c>
    </row>
    <row r="365" spans="1:15" x14ac:dyDescent="0.3">
      <c r="A365" s="8" t="s">
        <v>90</v>
      </c>
      <c r="B365" s="8" t="s">
        <v>91</v>
      </c>
      <c r="C365" s="8">
        <v>2023</v>
      </c>
      <c r="D365" s="8">
        <v>57059595.518999994</v>
      </c>
      <c r="E365" s="8">
        <v>1465977684</v>
      </c>
      <c r="F365" s="8">
        <v>850387</v>
      </c>
      <c r="G365" s="8">
        <v>3.1866131800000002</v>
      </c>
      <c r="H365" s="8">
        <v>44.439863449999997</v>
      </c>
      <c r="I365" s="8">
        <v>67.099999999999994</v>
      </c>
      <c r="J365" s="8">
        <v>1723.89</v>
      </c>
      <c r="K365" s="8">
        <v>3.89</v>
      </c>
      <c r="L365" s="8">
        <v>153</v>
      </c>
      <c r="M365" s="8">
        <v>109275831.27700001</v>
      </c>
      <c r="N365" s="8">
        <v>-47.78</v>
      </c>
      <c r="O365" s="8" t="str">
        <f>vw_scenario_analysis_dataset[[#This Row],[reporter_name]] &amp; "-" &amp; vw_scenario_analysis_dataset[[#This Row],[reference_year]]</f>
        <v>Comoros-2023</v>
      </c>
    </row>
    <row r="366" spans="1:15" x14ac:dyDescent="0.3">
      <c r="A366" s="8" t="s">
        <v>92</v>
      </c>
      <c r="B366" s="8" t="s">
        <v>93</v>
      </c>
      <c r="C366" s="8">
        <v>2015</v>
      </c>
      <c r="D366" s="8">
        <v>133658554.45299996</v>
      </c>
      <c r="E366" s="8">
        <v>1749857620</v>
      </c>
      <c r="F366" s="8">
        <v>512394</v>
      </c>
      <c r="G366" s="8">
        <v>0.93602650799999998</v>
      </c>
      <c r="H366" s="8">
        <v>94.008487020000004</v>
      </c>
      <c r="I366" s="8">
        <v>260.85000000000002</v>
      </c>
      <c r="J366" s="8">
        <v>3415.06</v>
      </c>
      <c r="K366" s="8">
        <v>7.64</v>
      </c>
      <c r="L366" s="8">
        <v>158</v>
      </c>
      <c r="M366" s="8"/>
      <c r="N366" s="8"/>
      <c r="O366" s="8" t="str">
        <f>vw_scenario_analysis_dataset[[#This Row],[reporter_name]] &amp; "-" &amp; vw_scenario_analysis_dataset[[#This Row],[reference_year]]</f>
        <v>Cabo Verde-2015</v>
      </c>
    </row>
    <row r="367" spans="1:15" x14ac:dyDescent="0.3">
      <c r="A367" s="8" t="s">
        <v>92</v>
      </c>
      <c r="B367" s="8" t="s">
        <v>93</v>
      </c>
      <c r="C367" s="8">
        <v>2016</v>
      </c>
      <c r="D367" s="8">
        <v>120722162</v>
      </c>
      <c r="E367" s="8">
        <v>1849789986</v>
      </c>
      <c r="F367" s="8">
        <v>512554</v>
      </c>
      <c r="G367" s="8">
        <v>4.2807148269999997</v>
      </c>
      <c r="H367" s="8">
        <v>95.378139860000005</v>
      </c>
      <c r="I367" s="8">
        <v>235.53</v>
      </c>
      <c r="J367" s="8">
        <v>3608.97</v>
      </c>
      <c r="K367" s="8">
        <v>6.53</v>
      </c>
      <c r="L367" s="8">
        <v>160</v>
      </c>
      <c r="M367" s="8">
        <v>133658554.45299996</v>
      </c>
      <c r="N367" s="8">
        <v>-9.68</v>
      </c>
      <c r="O367" s="8" t="str">
        <f>vw_scenario_analysis_dataset[[#This Row],[reporter_name]] &amp; "-" &amp; vw_scenario_analysis_dataset[[#This Row],[reference_year]]</f>
        <v>Cabo Verde-2016</v>
      </c>
    </row>
    <row r="368" spans="1:15" x14ac:dyDescent="0.3">
      <c r="A368" s="8" t="s">
        <v>92</v>
      </c>
      <c r="B368" s="8" t="s">
        <v>93</v>
      </c>
      <c r="C368" s="8">
        <v>2017</v>
      </c>
      <c r="D368" s="8">
        <v>99870605.077999994</v>
      </c>
      <c r="E368" s="8">
        <v>1996741540</v>
      </c>
      <c r="F368" s="8">
        <v>512893</v>
      </c>
      <c r="G368" s="8">
        <v>4.55131481</v>
      </c>
      <c r="H368" s="8">
        <v>100.0521339</v>
      </c>
      <c r="I368" s="8">
        <v>194.72</v>
      </c>
      <c r="J368" s="8">
        <v>3893.1</v>
      </c>
      <c r="K368" s="8">
        <v>5</v>
      </c>
      <c r="L368" s="8">
        <v>161</v>
      </c>
      <c r="M368" s="8">
        <v>120722162</v>
      </c>
      <c r="N368" s="8">
        <v>-17.27</v>
      </c>
      <c r="O368" s="8" t="str">
        <f>vw_scenario_analysis_dataset[[#This Row],[reporter_name]] &amp; "-" &amp; vw_scenario_analysis_dataset[[#This Row],[reference_year]]</f>
        <v>Cabo Verde-2017</v>
      </c>
    </row>
    <row r="369" spans="1:15" x14ac:dyDescent="0.3">
      <c r="A369" s="8" t="s">
        <v>92</v>
      </c>
      <c r="B369" s="8" t="s">
        <v>93</v>
      </c>
      <c r="C369" s="8">
        <v>2018</v>
      </c>
      <c r="D369" s="8">
        <v>150541132.12</v>
      </c>
      <c r="E369" s="8">
        <v>2205099507</v>
      </c>
      <c r="F369" s="8">
        <v>513415</v>
      </c>
      <c r="G369" s="8">
        <v>3.706964583</v>
      </c>
      <c r="H369" s="8">
        <v>105.8675241</v>
      </c>
      <c r="I369" s="8">
        <v>293.22000000000003</v>
      </c>
      <c r="J369" s="8">
        <v>4294.97</v>
      </c>
      <c r="K369" s="8">
        <v>6.83</v>
      </c>
      <c r="L369" s="8">
        <v>155</v>
      </c>
      <c r="M369" s="8">
        <v>99870605.077999994</v>
      </c>
      <c r="N369" s="8">
        <v>50.74</v>
      </c>
      <c r="O369" s="8" t="str">
        <f>vw_scenario_analysis_dataset[[#This Row],[reporter_name]] &amp; "-" &amp; vw_scenario_analysis_dataset[[#This Row],[reference_year]]</f>
        <v>Cabo Verde-2018</v>
      </c>
    </row>
    <row r="370" spans="1:15" x14ac:dyDescent="0.3">
      <c r="A370" s="8" t="s">
        <v>92</v>
      </c>
      <c r="B370" s="8" t="s">
        <v>93</v>
      </c>
      <c r="C370" s="8">
        <v>2019</v>
      </c>
      <c r="D370" s="8">
        <v>689454263.36000013</v>
      </c>
      <c r="E370" s="8">
        <v>2252177124</v>
      </c>
      <c r="F370" s="8">
        <v>514104</v>
      </c>
      <c r="G370" s="8">
        <v>6.9478263409999999</v>
      </c>
      <c r="H370" s="8">
        <v>103.60265649999999</v>
      </c>
      <c r="I370" s="8">
        <v>1341.08</v>
      </c>
      <c r="J370" s="8">
        <v>4380.78</v>
      </c>
      <c r="K370" s="8">
        <v>30.61</v>
      </c>
      <c r="L370" s="8">
        <v>144</v>
      </c>
      <c r="M370" s="8">
        <v>150541132.12</v>
      </c>
      <c r="N370" s="8">
        <v>357.98</v>
      </c>
      <c r="O370" s="8" t="str">
        <f>vw_scenario_analysis_dataset[[#This Row],[reporter_name]] &amp; "-" &amp; vw_scenario_analysis_dataset[[#This Row],[reference_year]]</f>
        <v>Cabo Verde-2019</v>
      </c>
    </row>
    <row r="371" spans="1:15" x14ac:dyDescent="0.3">
      <c r="A371" s="8" t="s">
        <v>92</v>
      </c>
      <c r="B371" s="8" t="s">
        <v>93</v>
      </c>
      <c r="C371" s="8">
        <v>2020</v>
      </c>
      <c r="D371" s="8">
        <v>106181586.78300001</v>
      </c>
      <c r="E371" s="8">
        <v>1821565614</v>
      </c>
      <c r="F371" s="8">
        <v>514679</v>
      </c>
      <c r="G371" s="8">
        <v>-20.805275900000002</v>
      </c>
      <c r="H371" s="8">
        <v>78.393454590000005</v>
      </c>
      <c r="I371" s="8">
        <v>206.31</v>
      </c>
      <c r="J371" s="8">
        <v>3539.23</v>
      </c>
      <c r="K371" s="8">
        <v>5.83</v>
      </c>
      <c r="L371" s="8">
        <v>151</v>
      </c>
      <c r="M371" s="8">
        <v>689454263.36000013</v>
      </c>
      <c r="N371" s="8">
        <v>-84.6</v>
      </c>
      <c r="O371" s="8" t="str">
        <f>vw_scenario_analysis_dataset[[#This Row],[reporter_name]] &amp; "-" &amp; vw_scenario_analysis_dataset[[#This Row],[reference_year]]</f>
        <v>Cabo Verde-2020</v>
      </c>
    </row>
    <row r="372" spans="1:15" x14ac:dyDescent="0.3">
      <c r="A372" s="8" t="s">
        <v>92</v>
      </c>
      <c r="B372" s="8" t="s">
        <v>93</v>
      </c>
      <c r="C372" s="8">
        <v>2021</v>
      </c>
      <c r="D372" s="8">
        <v>469823995.58200002</v>
      </c>
      <c r="E372" s="8">
        <v>2051842619</v>
      </c>
      <c r="F372" s="8">
        <v>516649</v>
      </c>
      <c r="G372" s="8">
        <v>7.0335301069999998</v>
      </c>
      <c r="H372" s="8">
        <v>77.455058629999996</v>
      </c>
      <c r="I372" s="8">
        <v>909.37</v>
      </c>
      <c r="J372" s="8">
        <v>3971.44</v>
      </c>
      <c r="K372" s="8">
        <v>22.9</v>
      </c>
      <c r="L372" s="8">
        <v>144</v>
      </c>
      <c r="M372" s="8">
        <v>106181586.78300001</v>
      </c>
      <c r="N372" s="8">
        <v>342.47</v>
      </c>
      <c r="O372" s="8" t="str">
        <f>vw_scenario_analysis_dataset[[#This Row],[reporter_name]] &amp; "-" &amp; vw_scenario_analysis_dataset[[#This Row],[reference_year]]</f>
        <v>Cabo Verde-2021</v>
      </c>
    </row>
    <row r="373" spans="1:15" x14ac:dyDescent="0.3">
      <c r="A373" s="8" t="s">
        <v>92</v>
      </c>
      <c r="B373" s="8" t="s">
        <v>93</v>
      </c>
      <c r="C373" s="8">
        <v>2022</v>
      </c>
      <c r="D373" s="8">
        <v>619611673.98399973</v>
      </c>
      <c r="E373" s="8">
        <v>2247003344</v>
      </c>
      <c r="F373" s="8">
        <v>519741</v>
      </c>
      <c r="G373" s="8">
        <v>15.84367568</v>
      </c>
      <c r="H373" s="8">
        <v>96.994136850000004</v>
      </c>
      <c r="I373" s="8">
        <v>1192.1500000000001</v>
      </c>
      <c r="J373" s="8">
        <v>4323.3100000000004</v>
      </c>
      <c r="K373" s="8">
        <v>27.58</v>
      </c>
      <c r="L373" s="8">
        <v>142</v>
      </c>
      <c r="M373" s="8">
        <v>469823995.58200002</v>
      </c>
      <c r="N373" s="8">
        <v>31.88</v>
      </c>
      <c r="O373" s="8" t="str">
        <f>vw_scenario_analysis_dataset[[#This Row],[reporter_name]] &amp; "-" &amp; vw_scenario_analysis_dataset[[#This Row],[reference_year]]</f>
        <v>Cabo Verde-2022</v>
      </c>
    </row>
    <row r="374" spans="1:15" x14ac:dyDescent="0.3">
      <c r="A374" s="8" t="s">
        <v>92</v>
      </c>
      <c r="B374" s="8" t="s">
        <v>93</v>
      </c>
      <c r="C374" s="8">
        <v>2023</v>
      </c>
      <c r="D374" s="8">
        <v>563368134.76599991</v>
      </c>
      <c r="E374" s="8">
        <v>2504525538</v>
      </c>
      <c r="F374" s="8">
        <v>522331</v>
      </c>
      <c r="G374" s="8">
        <v>4.7947613909999998</v>
      </c>
      <c r="H374" s="8">
        <v>95.032494330000006</v>
      </c>
      <c r="I374" s="8">
        <v>1078.57</v>
      </c>
      <c r="J374" s="8">
        <v>4794.8999999999996</v>
      </c>
      <c r="K374" s="8">
        <v>22.49</v>
      </c>
      <c r="L374" s="8">
        <v>138</v>
      </c>
      <c r="M374" s="8">
        <v>619611673.98399973</v>
      </c>
      <c r="N374" s="8">
        <v>-9.08</v>
      </c>
      <c r="O374" s="8" t="str">
        <f>vw_scenario_analysis_dataset[[#This Row],[reporter_name]] &amp; "-" &amp; vw_scenario_analysis_dataset[[#This Row],[reference_year]]</f>
        <v>Cabo Verde-2023</v>
      </c>
    </row>
    <row r="375" spans="1:15" x14ac:dyDescent="0.3">
      <c r="A375" s="8" t="s">
        <v>92</v>
      </c>
      <c r="B375" s="8" t="s">
        <v>93</v>
      </c>
      <c r="C375" s="8">
        <v>2024</v>
      </c>
      <c r="D375" s="8">
        <v>136490197.903</v>
      </c>
      <c r="E375" s="8">
        <v>2713721857</v>
      </c>
      <c r="F375" s="8">
        <v>524877</v>
      </c>
      <c r="G375" s="8">
        <v>6.9888828099999998</v>
      </c>
      <c r="H375" s="8">
        <v>96.902256159999993</v>
      </c>
      <c r="I375" s="8">
        <v>260.04000000000002</v>
      </c>
      <c r="J375" s="8">
        <v>5170.21</v>
      </c>
      <c r="K375" s="8">
        <v>5.03</v>
      </c>
      <c r="L375" s="8">
        <v>125</v>
      </c>
      <c r="M375" s="8">
        <v>563368134.76599991</v>
      </c>
      <c r="N375" s="8">
        <v>-75.77</v>
      </c>
      <c r="O375" s="8" t="str">
        <f>vw_scenario_analysis_dataset[[#This Row],[reporter_name]] &amp; "-" &amp; vw_scenario_analysis_dataset[[#This Row],[reference_year]]</f>
        <v>Cabo Verde-2024</v>
      </c>
    </row>
    <row r="376" spans="1:15" x14ac:dyDescent="0.3">
      <c r="A376" s="8" t="s">
        <v>94</v>
      </c>
      <c r="B376" s="8" t="s">
        <v>95</v>
      </c>
      <c r="C376" s="8">
        <v>2015</v>
      </c>
      <c r="D376" s="8">
        <v>19156675562</v>
      </c>
      <c r="E376" s="8">
        <v>56441920888</v>
      </c>
      <c r="F376" s="8">
        <v>4818038</v>
      </c>
      <c r="G376" s="8">
        <v>3.6520809299999999</v>
      </c>
      <c r="H376" s="8">
        <v>60.75356215</v>
      </c>
      <c r="I376" s="8">
        <v>3976.03</v>
      </c>
      <c r="J376" s="8">
        <v>11714.71</v>
      </c>
      <c r="K376" s="8">
        <v>33.94</v>
      </c>
      <c r="L376" s="8">
        <v>80</v>
      </c>
      <c r="M376" s="8"/>
      <c r="N376" s="8"/>
      <c r="O376" s="8" t="str">
        <f>vw_scenario_analysis_dataset[[#This Row],[reporter_name]] &amp; "-" &amp; vw_scenario_analysis_dataset[[#This Row],[reference_year]]</f>
        <v>Costa Rica-2015</v>
      </c>
    </row>
    <row r="377" spans="1:15" x14ac:dyDescent="0.3">
      <c r="A377" s="8" t="s">
        <v>94</v>
      </c>
      <c r="B377" s="8" t="s">
        <v>95</v>
      </c>
      <c r="C377" s="8">
        <v>2016</v>
      </c>
      <c r="D377" s="8">
        <v>19815747639</v>
      </c>
      <c r="E377" s="8">
        <v>58847019588</v>
      </c>
      <c r="F377" s="8">
        <v>4866998</v>
      </c>
      <c r="G377" s="8">
        <v>4.2043232079999999</v>
      </c>
      <c r="H377" s="8">
        <v>62.178478290000001</v>
      </c>
      <c r="I377" s="8">
        <v>4071.45</v>
      </c>
      <c r="J377" s="8">
        <v>12091.03</v>
      </c>
      <c r="K377" s="8">
        <v>33.67</v>
      </c>
      <c r="L377" s="8">
        <v>80</v>
      </c>
      <c r="M377" s="8">
        <v>19156675562</v>
      </c>
      <c r="N377" s="8">
        <v>3.44</v>
      </c>
      <c r="O377" s="8" t="str">
        <f>vw_scenario_analysis_dataset[[#This Row],[reporter_name]] &amp; "-" &amp; vw_scenario_analysis_dataset[[#This Row],[reference_year]]</f>
        <v>Costa Rica-2016</v>
      </c>
    </row>
    <row r="378" spans="1:15" x14ac:dyDescent="0.3">
      <c r="A378" s="8" t="s">
        <v>94</v>
      </c>
      <c r="B378" s="8" t="s">
        <v>95</v>
      </c>
      <c r="C378" s="8">
        <v>2017</v>
      </c>
      <c r="D378" s="8">
        <v>22593280857.479004</v>
      </c>
      <c r="E378" s="8">
        <v>60516044661</v>
      </c>
      <c r="F378" s="8">
        <v>4913177</v>
      </c>
      <c r="G378" s="8">
        <v>4.1576991469999998</v>
      </c>
      <c r="H378" s="8">
        <v>65.071953699999995</v>
      </c>
      <c r="I378" s="8">
        <v>4598.51</v>
      </c>
      <c r="J378" s="8">
        <v>12317.09</v>
      </c>
      <c r="K378" s="8">
        <v>37.33</v>
      </c>
      <c r="L378" s="8">
        <v>77</v>
      </c>
      <c r="M378" s="8">
        <v>19815747639</v>
      </c>
      <c r="N378" s="8">
        <v>14.02</v>
      </c>
      <c r="O378" s="8" t="str">
        <f>vw_scenario_analysis_dataset[[#This Row],[reporter_name]] &amp; "-" &amp; vw_scenario_analysis_dataset[[#This Row],[reference_year]]</f>
        <v>Costa Rica-2017</v>
      </c>
    </row>
    <row r="379" spans="1:15" x14ac:dyDescent="0.3">
      <c r="A379" s="8" t="s">
        <v>94</v>
      </c>
      <c r="B379" s="8" t="s">
        <v>95</v>
      </c>
      <c r="C379" s="8">
        <v>2018</v>
      </c>
      <c r="D379" s="8">
        <v>22503562896.380001</v>
      </c>
      <c r="E379" s="8">
        <v>62567765946</v>
      </c>
      <c r="F379" s="8">
        <v>4957818</v>
      </c>
      <c r="G379" s="8">
        <v>2.8528595980000002</v>
      </c>
      <c r="H379" s="8">
        <v>66.787413790000002</v>
      </c>
      <c r="I379" s="8">
        <v>4539.01</v>
      </c>
      <c r="J379" s="8">
        <v>12620.02</v>
      </c>
      <c r="K379" s="8">
        <v>35.97</v>
      </c>
      <c r="L379" s="8">
        <v>77</v>
      </c>
      <c r="M379" s="8">
        <v>22593280857.479004</v>
      </c>
      <c r="N379" s="8">
        <v>-0.4</v>
      </c>
      <c r="O379" s="8" t="str">
        <f>vw_scenario_analysis_dataset[[#This Row],[reporter_name]] &amp; "-" &amp; vw_scenario_analysis_dataset[[#This Row],[reference_year]]</f>
        <v>Costa Rica-2018</v>
      </c>
    </row>
    <row r="380" spans="1:15" x14ac:dyDescent="0.3">
      <c r="A380" s="8" t="s">
        <v>94</v>
      </c>
      <c r="B380" s="8" t="s">
        <v>95</v>
      </c>
      <c r="C380" s="8">
        <v>2019</v>
      </c>
      <c r="D380" s="8">
        <v>22903986153.740002</v>
      </c>
      <c r="E380" s="8">
        <v>64753504730</v>
      </c>
      <c r="F380" s="8">
        <v>4999553</v>
      </c>
      <c r="G380" s="8">
        <v>2.7081391290000001</v>
      </c>
      <c r="H380" s="8">
        <v>65.419473249999996</v>
      </c>
      <c r="I380" s="8">
        <v>4581.21</v>
      </c>
      <c r="J380" s="8">
        <v>12951.86</v>
      </c>
      <c r="K380" s="8">
        <v>35.369999999999997</v>
      </c>
      <c r="L380" s="8">
        <v>77</v>
      </c>
      <c r="M380" s="8">
        <v>22503562896.380001</v>
      </c>
      <c r="N380" s="8">
        <v>1.78</v>
      </c>
      <c r="O380" s="8" t="str">
        <f>vw_scenario_analysis_dataset[[#This Row],[reporter_name]] &amp; "-" &amp; vw_scenario_analysis_dataset[[#This Row],[reference_year]]</f>
        <v>Costa Rica-2019</v>
      </c>
    </row>
    <row r="381" spans="1:15" x14ac:dyDescent="0.3">
      <c r="A381" s="8" t="s">
        <v>94</v>
      </c>
      <c r="B381" s="8" t="s">
        <v>95</v>
      </c>
      <c r="C381" s="8">
        <v>2020</v>
      </c>
      <c r="D381" s="8">
        <v>23245510306.840008</v>
      </c>
      <c r="E381" s="8">
        <v>62806591555</v>
      </c>
      <c r="F381" s="8">
        <v>5034320</v>
      </c>
      <c r="G381" s="8">
        <v>-4.1415934060000001</v>
      </c>
      <c r="H381" s="8">
        <v>59.74635507</v>
      </c>
      <c r="I381" s="8">
        <v>4617.41</v>
      </c>
      <c r="J381" s="8">
        <v>12475.69</v>
      </c>
      <c r="K381" s="8">
        <v>37.01</v>
      </c>
      <c r="L381" s="8">
        <v>74</v>
      </c>
      <c r="M381" s="8">
        <v>22903986153.740002</v>
      </c>
      <c r="N381" s="8">
        <v>1.49</v>
      </c>
      <c r="O381" s="8" t="str">
        <f>vw_scenario_analysis_dataset[[#This Row],[reporter_name]] &amp; "-" &amp; vw_scenario_analysis_dataset[[#This Row],[reference_year]]</f>
        <v>Costa Rica-2020</v>
      </c>
    </row>
    <row r="382" spans="1:15" x14ac:dyDescent="0.3">
      <c r="A382" s="8" t="s">
        <v>94</v>
      </c>
      <c r="B382" s="8" t="s">
        <v>95</v>
      </c>
      <c r="C382" s="8">
        <v>2021</v>
      </c>
      <c r="D382" s="8">
        <v>28690791130.439987</v>
      </c>
      <c r="E382" s="8">
        <v>65588938787</v>
      </c>
      <c r="F382" s="8">
        <v>5059988</v>
      </c>
      <c r="G382" s="8">
        <v>8.2181795399999995</v>
      </c>
      <c r="H382" s="8">
        <v>70.103693309999997</v>
      </c>
      <c r="I382" s="8">
        <v>5670.13</v>
      </c>
      <c r="J382" s="8">
        <v>12962.27</v>
      </c>
      <c r="K382" s="8">
        <v>43.74</v>
      </c>
      <c r="L382" s="8">
        <v>74</v>
      </c>
      <c r="M382" s="8">
        <v>23245510306.840008</v>
      </c>
      <c r="N382" s="8">
        <v>23.43</v>
      </c>
      <c r="O382" s="8" t="str">
        <f>vw_scenario_analysis_dataset[[#This Row],[reporter_name]] &amp; "-" &amp; vw_scenario_analysis_dataset[[#This Row],[reference_year]]</f>
        <v>Costa Rica-2021</v>
      </c>
    </row>
    <row r="383" spans="1:15" x14ac:dyDescent="0.3">
      <c r="A383" s="8" t="s">
        <v>94</v>
      </c>
      <c r="B383" s="8" t="s">
        <v>95</v>
      </c>
      <c r="C383" s="8">
        <v>2022</v>
      </c>
      <c r="D383" s="8">
        <v>30639390138.935005</v>
      </c>
      <c r="E383" s="8">
        <v>71001226361</v>
      </c>
      <c r="F383" s="8">
        <v>5081765</v>
      </c>
      <c r="G383" s="8">
        <v>5.4611945520000003</v>
      </c>
      <c r="H383" s="8">
        <v>79.052390320000001</v>
      </c>
      <c r="I383" s="8">
        <v>6029.28</v>
      </c>
      <c r="J383" s="8">
        <v>13971.76</v>
      </c>
      <c r="K383" s="8">
        <v>43.15</v>
      </c>
      <c r="L383" s="8">
        <v>74</v>
      </c>
      <c r="M383" s="8">
        <v>28690791130.439987</v>
      </c>
      <c r="N383" s="8">
        <v>6.79</v>
      </c>
      <c r="O383" s="8" t="str">
        <f>vw_scenario_analysis_dataset[[#This Row],[reporter_name]] &amp; "-" &amp; vw_scenario_analysis_dataset[[#This Row],[reference_year]]</f>
        <v>Costa Rica-2022</v>
      </c>
    </row>
    <row r="384" spans="1:15" x14ac:dyDescent="0.3">
      <c r="A384" s="8" t="s">
        <v>94</v>
      </c>
      <c r="B384" s="8" t="s">
        <v>95</v>
      </c>
      <c r="C384" s="8">
        <v>2023</v>
      </c>
      <c r="D384" s="8">
        <v>36211809347.332001</v>
      </c>
      <c r="E384" s="8">
        <v>87512637056</v>
      </c>
      <c r="F384" s="8">
        <v>5105525</v>
      </c>
      <c r="G384" s="8">
        <v>4.7918773239999997</v>
      </c>
      <c r="H384" s="8">
        <v>71.438031030000005</v>
      </c>
      <c r="I384" s="8">
        <v>7092.67</v>
      </c>
      <c r="J384" s="8">
        <v>17140.77</v>
      </c>
      <c r="K384" s="8">
        <v>41.38</v>
      </c>
      <c r="L384" s="8">
        <v>68</v>
      </c>
      <c r="M384" s="8">
        <v>30639390138.935005</v>
      </c>
      <c r="N384" s="8">
        <v>18.190000000000001</v>
      </c>
      <c r="O384" s="8" t="str">
        <f>vw_scenario_analysis_dataset[[#This Row],[reporter_name]] &amp; "-" &amp; vw_scenario_analysis_dataset[[#This Row],[reference_year]]</f>
        <v>Costa Rica-2023</v>
      </c>
    </row>
    <row r="385" spans="1:15" x14ac:dyDescent="0.3">
      <c r="A385" s="8" t="s">
        <v>94</v>
      </c>
      <c r="B385" s="8" t="s">
        <v>95</v>
      </c>
      <c r="C385" s="8">
        <v>2024</v>
      </c>
      <c r="D385" s="8">
        <v>39764631714.825996</v>
      </c>
      <c r="E385" s="8">
        <v>96715644331</v>
      </c>
      <c r="F385" s="8">
        <v>5129910</v>
      </c>
      <c r="G385" s="8">
        <v>4.0829244420000004</v>
      </c>
      <c r="H385" s="8">
        <v>69.853378640000003</v>
      </c>
      <c r="I385" s="8">
        <v>7751.53</v>
      </c>
      <c r="J385" s="8">
        <v>18853.28</v>
      </c>
      <c r="K385" s="8">
        <v>41.11</v>
      </c>
      <c r="L385" s="8">
        <v>64</v>
      </c>
      <c r="M385" s="8">
        <v>36211809347.332001</v>
      </c>
      <c r="N385" s="8">
        <v>9.81</v>
      </c>
      <c r="O385" s="8" t="str">
        <f>vw_scenario_analysis_dataset[[#This Row],[reporter_name]] &amp; "-" &amp; vw_scenario_analysis_dataset[[#This Row],[reference_year]]</f>
        <v>Costa Rica-2024</v>
      </c>
    </row>
    <row r="386" spans="1:15" x14ac:dyDescent="0.3">
      <c r="A386" s="8" t="s">
        <v>96</v>
      </c>
      <c r="B386" s="8" t="s">
        <v>97</v>
      </c>
      <c r="C386" s="8">
        <v>2016</v>
      </c>
      <c r="D386" s="8">
        <v>4312214558.1400003</v>
      </c>
      <c r="E386" s="8">
        <v>91370407900</v>
      </c>
      <c r="F386" s="8">
        <v>11265612</v>
      </c>
      <c r="G386" s="8">
        <v>0.512843096</v>
      </c>
      <c r="H386" s="8">
        <v>27.269113239999999</v>
      </c>
      <c r="I386" s="8">
        <v>382.78</v>
      </c>
      <c r="J386" s="8">
        <v>8110.56</v>
      </c>
      <c r="K386" s="8">
        <v>4.72</v>
      </c>
      <c r="L386" s="8">
        <v>117</v>
      </c>
      <c r="M386" s="8"/>
      <c r="N386" s="8"/>
      <c r="O386" s="8" t="str">
        <f>vw_scenario_analysis_dataset[[#This Row],[reporter_name]] &amp; "-" &amp; vw_scenario_analysis_dataset[[#This Row],[reference_year]]</f>
        <v>Cuba-2016</v>
      </c>
    </row>
    <row r="387" spans="1:15" x14ac:dyDescent="0.3">
      <c r="A387" s="8" t="s">
        <v>96</v>
      </c>
      <c r="B387" s="8" t="s">
        <v>97</v>
      </c>
      <c r="C387" s="8">
        <v>2017</v>
      </c>
      <c r="D387" s="8">
        <v>4688376071.2000008</v>
      </c>
      <c r="E387" s="8">
        <v>96850649700</v>
      </c>
      <c r="F387" s="8">
        <v>11247829</v>
      </c>
      <c r="G387" s="8">
        <v>1.809791784</v>
      </c>
      <c r="H387" s="8">
        <v>26.222436380000001</v>
      </c>
      <c r="I387" s="8">
        <v>416.82</v>
      </c>
      <c r="J387" s="8">
        <v>8610.61</v>
      </c>
      <c r="K387" s="8">
        <v>4.84</v>
      </c>
      <c r="L387" s="8">
        <v>118</v>
      </c>
      <c r="M387" s="8">
        <v>4312214558.1400003</v>
      </c>
      <c r="N387" s="8">
        <v>8.7200000000000006</v>
      </c>
      <c r="O387" s="8" t="str">
        <f>vw_scenario_analysis_dataset[[#This Row],[reporter_name]] &amp; "-" &amp; vw_scenario_analysis_dataset[[#This Row],[reference_year]]</f>
        <v>Cuba-2017</v>
      </c>
    </row>
    <row r="388" spans="1:15" x14ac:dyDescent="0.3">
      <c r="A388" s="8" t="s">
        <v>96</v>
      </c>
      <c r="B388" s="8" t="s">
        <v>97</v>
      </c>
      <c r="C388" s="8">
        <v>2018</v>
      </c>
      <c r="D388" s="8">
        <v>4627173455.3999996</v>
      </c>
      <c r="E388" s="8">
        <v>100000000000</v>
      </c>
      <c r="F388" s="8">
        <v>11227118</v>
      </c>
      <c r="G388" s="8">
        <v>2.2479485289999999</v>
      </c>
      <c r="H388" s="8">
        <v>27.083548449999999</v>
      </c>
      <c r="I388" s="8">
        <v>412.14</v>
      </c>
      <c r="J388" s="8">
        <v>8907.01</v>
      </c>
      <c r="K388" s="8">
        <v>4.63</v>
      </c>
      <c r="L388" s="8">
        <v>118</v>
      </c>
      <c r="M388" s="8">
        <v>4688376071.2000008</v>
      </c>
      <c r="N388" s="8">
        <v>-1.31</v>
      </c>
      <c r="O388" s="8" t="str">
        <f>vw_scenario_analysis_dataset[[#This Row],[reporter_name]] &amp; "-" &amp; vw_scenario_analysis_dataset[[#This Row],[reference_year]]</f>
        <v>Cuba-2018</v>
      </c>
    </row>
    <row r="389" spans="1:15" x14ac:dyDescent="0.3">
      <c r="A389" s="8" t="s">
        <v>96</v>
      </c>
      <c r="B389" s="8" t="s">
        <v>97</v>
      </c>
      <c r="C389" s="8">
        <v>2019</v>
      </c>
      <c r="D389" s="8">
        <v>4124937756.3400011</v>
      </c>
      <c r="E389" s="8">
        <v>103000000000</v>
      </c>
      <c r="F389" s="8">
        <v>11202846</v>
      </c>
      <c r="G389" s="8">
        <v>-0.163087224</v>
      </c>
      <c r="H389" s="8">
        <v>22.820891140000001</v>
      </c>
      <c r="I389" s="8">
        <v>368.2</v>
      </c>
      <c r="J389" s="8">
        <v>9194.09</v>
      </c>
      <c r="K389" s="8">
        <v>4</v>
      </c>
      <c r="L389" s="8">
        <v>121</v>
      </c>
      <c r="M389" s="8">
        <v>4627173455.3999996</v>
      </c>
      <c r="N389" s="8">
        <v>-10.85</v>
      </c>
      <c r="O389" s="8" t="str">
        <f>vw_scenario_analysis_dataset[[#This Row],[reporter_name]] &amp; "-" &amp; vw_scenario_analysis_dataset[[#This Row],[reference_year]]</f>
        <v>Cuba-2019</v>
      </c>
    </row>
    <row r="390" spans="1:15" x14ac:dyDescent="0.3">
      <c r="A390" s="8" t="s">
        <v>96</v>
      </c>
      <c r="B390" s="8" t="s">
        <v>97</v>
      </c>
      <c r="C390" s="8">
        <v>2020</v>
      </c>
      <c r="D390" s="8">
        <v>3405623890.2799997</v>
      </c>
      <c r="E390" s="8">
        <v>107000000000</v>
      </c>
      <c r="F390" s="8">
        <v>11176354</v>
      </c>
      <c r="G390" s="8">
        <v>-10.949435899999999</v>
      </c>
      <c r="H390" s="8">
        <v>15.682986809999999</v>
      </c>
      <c r="I390" s="8">
        <v>304.72000000000003</v>
      </c>
      <c r="J390" s="8">
        <v>9573.7800000000007</v>
      </c>
      <c r="K390" s="8">
        <v>3.18</v>
      </c>
      <c r="L390" s="8">
        <v>122</v>
      </c>
      <c r="M390" s="8">
        <v>4124937756.3400011</v>
      </c>
      <c r="N390" s="8">
        <v>-17.440000000000001</v>
      </c>
      <c r="O390" s="8" t="str">
        <f>vw_scenario_analysis_dataset[[#This Row],[reporter_name]] &amp; "-" &amp; vw_scenario_analysis_dataset[[#This Row],[reference_year]]</f>
        <v>Cuba-2020</v>
      </c>
    </row>
    <row r="391" spans="1:15" x14ac:dyDescent="0.3">
      <c r="A391" s="8" t="s">
        <v>96</v>
      </c>
      <c r="B391" s="8" t="s">
        <v>97</v>
      </c>
      <c r="C391" s="8">
        <v>2021</v>
      </c>
      <c r="D391" s="8">
        <v>3932079990.6400008</v>
      </c>
      <c r="E391" s="8"/>
      <c r="F391" s="8">
        <v>11122168</v>
      </c>
      <c r="G391" s="8">
        <v>1.2544873569999999</v>
      </c>
      <c r="H391" s="8">
        <v>80.023770310000003</v>
      </c>
      <c r="I391" s="8">
        <v>353.54</v>
      </c>
      <c r="J391" s="8"/>
      <c r="K391" s="8"/>
      <c r="L391" s="8">
        <v>124</v>
      </c>
      <c r="M391" s="8">
        <v>3405623890.2799997</v>
      </c>
      <c r="N391" s="8">
        <v>15.46</v>
      </c>
      <c r="O391" s="8" t="str">
        <f>vw_scenario_analysis_dataset[[#This Row],[reporter_name]] &amp; "-" &amp; vw_scenario_analysis_dataset[[#This Row],[reference_year]]</f>
        <v>Cuba-2021</v>
      </c>
    </row>
    <row r="392" spans="1:15" x14ac:dyDescent="0.3">
      <c r="A392" s="8" t="s">
        <v>96</v>
      </c>
      <c r="B392" s="8" t="s">
        <v>97</v>
      </c>
      <c r="C392" s="8">
        <v>2022</v>
      </c>
      <c r="D392" s="8">
        <v>4340017995.9000015</v>
      </c>
      <c r="E392" s="8"/>
      <c r="F392" s="8">
        <v>11059820</v>
      </c>
      <c r="G392" s="8">
        <v>1.7746522769999999</v>
      </c>
      <c r="H392" s="8">
        <v>93.860775590000003</v>
      </c>
      <c r="I392" s="8">
        <v>392.41</v>
      </c>
      <c r="J392" s="8"/>
      <c r="K392" s="8"/>
      <c r="L392" s="8">
        <v>120</v>
      </c>
      <c r="M392" s="8">
        <v>3932079990.6400008</v>
      </c>
      <c r="N392" s="8">
        <v>10.37</v>
      </c>
      <c r="O392" s="8" t="str">
        <f>vw_scenario_analysis_dataset[[#This Row],[reporter_name]] &amp; "-" &amp; vw_scenario_analysis_dataset[[#This Row],[reference_year]]</f>
        <v>Cuba-2022</v>
      </c>
    </row>
    <row r="393" spans="1:15" x14ac:dyDescent="0.3">
      <c r="A393" s="8" t="s">
        <v>98</v>
      </c>
      <c r="B393" s="8" t="s">
        <v>99</v>
      </c>
      <c r="C393" s="8">
        <v>2017</v>
      </c>
      <c r="D393" s="8">
        <v>210027277.21299994</v>
      </c>
      <c r="E393" s="8">
        <v>3033433240</v>
      </c>
      <c r="F393" s="8">
        <v>160175</v>
      </c>
      <c r="G393" s="8">
        <v>-1.2762081009999999</v>
      </c>
      <c r="H393" s="8">
        <v>139.81244950000001</v>
      </c>
      <c r="I393" s="8">
        <v>1311.24</v>
      </c>
      <c r="J393" s="8">
        <v>18938.240000000002</v>
      </c>
      <c r="K393" s="8">
        <v>6.92</v>
      </c>
      <c r="L393" s="8">
        <v>157</v>
      </c>
      <c r="M393" s="8"/>
      <c r="N393" s="8"/>
      <c r="O393" s="8" t="str">
        <f>vw_scenario_analysis_dataset[[#This Row],[reporter_name]] &amp; "-" &amp; vw_scenario_analysis_dataset[[#This Row],[reference_year]]</f>
        <v>Curaçao-2017</v>
      </c>
    </row>
    <row r="394" spans="1:15" x14ac:dyDescent="0.3">
      <c r="A394" s="8" t="s">
        <v>98</v>
      </c>
      <c r="B394" s="8" t="s">
        <v>99</v>
      </c>
      <c r="C394" s="8">
        <v>2018</v>
      </c>
      <c r="D394" s="8">
        <v>230480021.86900005</v>
      </c>
      <c r="E394" s="8">
        <v>3046364804</v>
      </c>
      <c r="F394" s="8">
        <v>159336</v>
      </c>
      <c r="G394" s="8">
        <v>-2.1041113309999999</v>
      </c>
      <c r="H394" s="8">
        <v>155.2688588</v>
      </c>
      <c r="I394" s="8">
        <v>1446.5</v>
      </c>
      <c r="J394" s="8">
        <v>19119.12</v>
      </c>
      <c r="K394" s="8">
        <v>7.57</v>
      </c>
      <c r="L394" s="8">
        <v>154</v>
      </c>
      <c r="M394" s="8">
        <v>210027277.21299994</v>
      </c>
      <c r="N394" s="8">
        <v>9.74</v>
      </c>
      <c r="O394" s="8" t="str">
        <f>vw_scenario_analysis_dataset[[#This Row],[reporter_name]] &amp; "-" &amp; vw_scenario_analysis_dataset[[#This Row],[reference_year]]</f>
        <v>Curaçao-2018</v>
      </c>
    </row>
    <row r="395" spans="1:15" x14ac:dyDescent="0.3">
      <c r="A395" s="8" t="s">
        <v>98</v>
      </c>
      <c r="B395" s="8" t="s">
        <v>99</v>
      </c>
      <c r="C395" s="8">
        <v>2019</v>
      </c>
      <c r="D395" s="8">
        <v>192672051.00799993</v>
      </c>
      <c r="E395" s="8">
        <v>3026124134</v>
      </c>
      <c r="F395" s="8">
        <v>157441</v>
      </c>
      <c r="G395" s="8">
        <v>-3.206132303</v>
      </c>
      <c r="H395" s="8"/>
      <c r="I395" s="8">
        <v>1223.77</v>
      </c>
      <c r="J395" s="8">
        <v>19220.689999999999</v>
      </c>
      <c r="K395" s="8">
        <v>6.37</v>
      </c>
      <c r="L395" s="8">
        <v>153</v>
      </c>
      <c r="M395" s="8">
        <v>230480021.86900005</v>
      </c>
      <c r="N395" s="8">
        <v>-16.399999999999999</v>
      </c>
      <c r="O395" s="8" t="str">
        <f>vw_scenario_analysis_dataset[[#This Row],[reporter_name]] &amp; "-" &amp; vw_scenario_analysis_dataset[[#This Row],[reference_year]]</f>
        <v>Curaçao-2019</v>
      </c>
    </row>
    <row r="396" spans="1:15" x14ac:dyDescent="0.3">
      <c r="A396" s="8" t="s">
        <v>98</v>
      </c>
      <c r="B396" s="8" t="s">
        <v>99</v>
      </c>
      <c r="C396" s="8">
        <v>2020</v>
      </c>
      <c r="D396" s="8">
        <v>164286975.04199997</v>
      </c>
      <c r="E396" s="8">
        <v>2534327598</v>
      </c>
      <c r="F396" s="8">
        <v>155482</v>
      </c>
      <c r="G396" s="8">
        <v>-18.438469609999999</v>
      </c>
      <c r="H396" s="8"/>
      <c r="I396" s="8">
        <v>1056.6300000000001</v>
      </c>
      <c r="J396" s="8">
        <v>16299.81</v>
      </c>
      <c r="K396" s="8">
        <v>6.48</v>
      </c>
      <c r="L396" s="8">
        <v>147</v>
      </c>
      <c r="M396" s="8">
        <v>192672051.00799993</v>
      </c>
      <c r="N396" s="8">
        <v>-14.73</v>
      </c>
      <c r="O396" s="8" t="str">
        <f>vw_scenario_analysis_dataset[[#This Row],[reporter_name]] &amp; "-" &amp; vw_scenario_analysis_dataset[[#This Row],[reference_year]]</f>
        <v>Curaçao-2020</v>
      </c>
    </row>
    <row r="397" spans="1:15" x14ac:dyDescent="0.3">
      <c r="A397" s="8" t="s">
        <v>100</v>
      </c>
      <c r="B397" s="8" t="s">
        <v>101</v>
      </c>
      <c r="C397" s="8">
        <v>2020</v>
      </c>
      <c r="D397" s="8">
        <v>44275514.104000002</v>
      </c>
      <c r="E397" s="8">
        <v>5655357984</v>
      </c>
      <c r="F397" s="8">
        <v>68684</v>
      </c>
      <c r="G397" s="8">
        <v>-4.9548069650000004</v>
      </c>
      <c r="H397" s="8">
        <v>105.47279020000001</v>
      </c>
      <c r="I397" s="8">
        <v>644.63</v>
      </c>
      <c r="J397" s="8">
        <v>82338.8</v>
      </c>
      <c r="K397" s="8">
        <v>0.78</v>
      </c>
      <c r="L397" s="8">
        <v>156</v>
      </c>
      <c r="M397" s="8"/>
      <c r="N397" s="8"/>
      <c r="O397" s="8" t="str">
        <f>vw_scenario_analysis_dataset[[#This Row],[reporter_name]] &amp; "-" &amp; vw_scenario_analysis_dataset[[#This Row],[reference_year]]</f>
        <v>Cayman Isds-2020</v>
      </c>
    </row>
    <row r="398" spans="1:15" x14ac:dyDescent="0.3">
      <c r="A398" s="8" t="s">
        <v>100</v>
      </c>
      <c r="B398" s="8" t="s">
        <v>101</v>
      </c>
      <c r="C398" s="8">
        <v>2021</v>
      </c>
      <c r="D398" s="8">
        <v>34164522.482999995</v>
      </c>
      <c r="E398" s="8">
        <v>6060813808</v>
      </c>
      <c r="F398" s="8">
        <v>70108</v>
      </c>
      <c r="G398" s="8">
        <v>4.8694165539999998</v>
      </c>
      <c r="H398" s="8"/>
      <c r="I398" s="8">
        <v>487.31</v>
      </c>
      <c r="J398" s="8">
        <v>86449.67</v>
      </c>
      <c r="K398" s="8">
        <v>0.56000000000000005</v>
      </c>
      <c r="L398" s="8">
        <v>159</v>
      </c>
      <c r="M398" s="8">
        <v>44275514.104000002</v>
      </c>
      <c r="N398" s="8">
        <v>-22.84</v>
      </c>
      <c r="O398" s="8" t="str">
        <f>vw_scenario_analysis_dataset[[#This Row],[reporter_name]] &amp; "-" &amp; vw_scenario_analysis_dataset[[#This Row],[reference_year]]</f>
        <v>Cayman Isds-2021</v>
      </c>
    </row>
    <row r="399" spans="1:15" x14ac:dyDescent="0.3">
      <c r="A399" s="8" t="s">
        <v>100</v>
      </c>
      <c r="B399" s="8" t="s">
        <v>101</v>
      </c>
      <c r="C399" s="8">
        <v>2022</v>
      </c>
      <c r="D399" s="8">
        <v>75829649.011000007</v>
      </c>
      <c r="E399" s="8">
        <v>6653516041</v>
      </c>
      <c r="F399" s="8">
        <v>71591</v>
      </c>
      <c r="G399" s="8">
        <v>5.6607936690000002</v>
      </c>
      <c r="H399" s="8"/>
      <c r="I399" s="8">
        <v>1059.21</v>
      </c>
      <c r="J399" s="8">
        <v>92937.88</v>
      </c>
      <c r="K399" s="8">
        <v>1.1399999999999999</v>
      </c>
      <c r="L399" s="8">
        <v>154</v>
      </c>
      <c r="M399" s="8">
        <v>34164522.482999995</v>
      </c>
      <c r="N399" s="8">
        <v>121.95</v>
      </c>
      <c r="O399" s="8" t="str">
        <f>vw_scenario_analysis_dataset[[#This Row],[reporter_name]] &amp; "-" &amp; vw_scenario_analysis_dataset[[#This Row],[reference_year]]</f>
        <v>Cayman Isds-2022</v>
      </c>
    </row>
    <row r="400" spans="1:15" x14ac:dyDescent="0.3">
      <c r="A400" s="8" t="s">
        <v>100</v>
      </c>
      <c r="B400" s="8" t="s">
        <v>101</v>
      </c>
      <c r="C400" s="8">
        <v>2023</v>
      </c>
      <c r="D400" s="8">
        <v>90652560.392000005</v>
      </c>
      <c r="E400" s="8">
        <v>7308564549</v>
      </c>
      <c r="F400" s="8">
        <v>73038</v>
      </c>
      <c r="G400" s="8">
        <v>5.8043696120000003</v>
      </c>
      <c r="H400" s="8"/>
      <c r="I400" s="8">
        <v>1241.17</v>
      </c>
      <c r="J400" s="8">
        <v>100065.23</v>
      </c>
      <c r="K400" s="8">
        <v>1.24</v>
      </c>
      <c r="L400" s="8">
        <v>149</v>
      </c>
      <c r="M400" s="8">
        <v>75829649.011000007</v>
      </c>
      <c r="N400" s="8">
        <v>19.55</v>
      </c>
      <c r="O400" s="8" t="str">
        <f>vw_scenario_analysis_dataset[[#This Row],[reporter_name]] &amp; "-" &amp; vw_scenario_analysis_dataset[[#This Row],[reference_year]]</f>
        <v>Cayman Isds-2023</v>
      </c>
    </row>
    <row r="401" spans="1:15" x14ac:dyDescent="0.3">
      <c r="A401" s="8" t="s">
        <v>100</v>
      </c>
      <c r="B401" s="8" t="s">
        <v>101</v>
      </c>
      <c r="C401" s="8">
        <v>2024</v>
      </c>
      <c r="D401" s="8">
        <v>112793691.736</v>
      </c>
      <c r="E401" s="8">
        <v>7765336505</v>
      </c>
      <c r="F401" s="8">
        <v>74457</v>
      </c>
      <c r="G401" s="8">
        <v>3.756411972</v>
      </c>
      <c r="H401" s="8"/>
      <c r="I401" s="8">
        <v>1514.88</v>
      </c>
      <c r="J401" s="8">
        <v>104292.9</v>
      </c>
      <c r="K401" s="8">
        <v>1.45</v>
      </c>
      <c r="L401" s="8">
        <v>126</v>
      </c>
      <c r="M401" s="8">
        <v>90652560.392000005</v>
      </c>
      <c r="N401" s="8">
        <v>24.42</v>
      </c>
      <c r="O401" s="8" t="str">
        <f>vw_scenario_analysis_dataset[[#This Row],[reporter_name]] &amp; "-" &amp; vw_scenario_analysis_dataset[[#This Row],[reference_year]]</f>
        <v>Cayman Isds-2024</v>
      </c>
    </row>
    <row r="402" spans="1:15" x14ac:dyDescent="0.3">
      <c r="A402" s="8" t="s">
        <v>102</v>
      </c>
      <c r="B402" s="8" t="s">
        <v>103</v>
      </c>
      <c r="C402" s="8">
        <v>2015</v>
      </c>
      <c r="D402" s="8">
        <v>6717719935.3010006</v>
      </c>
      <c r="E402" s="8">
        <v>19909269065</v>
      </c>
      <c r="F402" s="8">
        <v>1219502</v>
      </c>
      <c r="G402" s="8">
        <v>3.4189203890000002</v>
      </c>
      <c r="H402" s="8">
        <v>137.27642650000001</v>
      </c>
      <c r="I402" s="8">
        <v>5508.58</v>
      </c>
      <c r="J402" s="8">
        <v>16325.74</v>
      </c>
      <c r="K402" s="8">
        <v>33.74</v>
      </c>
      <c r="L402" s="8">
        <v>106</v>
      </c>
      <c r="M402" s="8"/>
      <c r="N402" s="8"/>
      <c r="O402" s="8" t="str">
        <f>vw_scenario_analysis_dataset[[#This Row],[reporter_name]] &amp; "-" &amp; vw_scenario_analysis_dataset[[#This Row],[reference_year]]</f>
        <v>Cyprus-2015</v>
      </c>
    </row>
    <row r="403" spans="1:15" x14ac:dyDescent="0.3">
      <c r="A403" s="8" t="s">
        <v>102</v>
      </c>
      <c r="B403" s="8" t="s">
        <v>103</v>
      </c>
      <c r="C403" s="8">
        <v>2016</v>
      </c>
      <c r="D403" s="8">
        <v>6008677678.8319998</v>
      </c>
      <c r="E403" s="8">
        <v>21046452117</v>
      </c>
      <c r="F403" s="8">
        <v>1237112</v>
      </c>
      <c r="G403" s="8">
        <v>6.5735908089999997</v>
      </c>
      <c r="H403" s="8">
        <v>139.0220985</v>
      </c>
      <c r="I403" s="8">
        <v>4857.0200000000004</v>
      </c>
      <c r="J403" s="8">
        <v>17012.57</v>
      </c>
      <c r="K403" s="8">
        <v>28.55</v>
      </c>
      <c r="L403" s="8">
        <v>108</v>
      </c>
      <c r="M403" s="8">
        <v>6717719935.3010006</v>
      </c>
      <c r="N403" s="8">
        <v>-10.55</v>
      </c>
      <c r="O403" s="8" t="str">
        <f>vw_scenario_analysis_dataset[[#This Row],[reporter_name]] &amp; "-" &amp; vw_scenario_analysis_dataset[[#This Row],[reference_year]]</f>
        <v>Cyprus-2016</v>
      </c>
    </row>
    <row r="404" spans="1:15" x14ac:dyDescent="0.3">
      <c r="A404" s="8" t="s">
        <v>102</v>
      </c>
      <c r="B404" s="8" t="s">
        <v>103</v>
      </c>
      <c r="C404" s="8">
        <v>2017</v>
      </c>
      <c r="D404" s="8">
        <v>6706648753.4750004</v>
      </c>
      <c r="E404" s="8">
        <v>22946583376</v>
      </c>
      <c r="F404" s="8">
        <v>1254275</v>
      </c>
      <c r="G404" s="8">
        <v>5.750832366</v>
      </c>
      <c r="H404" s="8">
        <v>148.01335560000001</v>
      </c>
      <c r="I404" s="8">
        <v>5347.03</v>
      </c>
      <c r="J404" s="8">
        <v>18294.7</v>
      </c>
      <c r="K404" s="8">
        <v>29.23</v>
      </c>
      <c r="L404" s="8">
        <v>109</v>
      </c>
      <c r="M404" s="8">
        <v>6008677678.8319998</v>
      </c>
      <c r="N404" s="8">
        <v>11.62</v>
      </c>
      <c r="O404" s="8" t="str">
        <f>vw_scenario_analysis_dataset[[#This Row],[reporter_name]] &amp; "-" &amp; vw_scenario_analysis_dataset[[#This Row],[reference_year]]</f>
        <v>Cyprus-2017</v>
      </c>
    </row>
    <row r="405" spans="1:15" x14ac:dyDescent="0.3">
      <c r="A405" s="8" t="s">
        <v>102</v>
      </c>
      <c r="B405" s="8" t="s">
        <v>103</v>
      </c>
      <c r="C405" s="8">
        <v>2018</v>
      </c>
      <c r="D405" s="8">
        <v>10179547594.976992</v>
      </c>
      <c r="E405" s="8">
        <v>25754011492</v>
      </c>
      <c r="F405" s="8">
        <v>1270737</v>
      </c>
      <c r="G405" s="8">
        <v>6.2716636010000002</v>
      </c>
      <c r="H405" s="8">
        <v>147.62356740000001</v>
      </c>
      <c r="I405" s="8">
        <v>8010.74</v>
      </c>
      <c r="J405" s="8">
        <v>20266.990000000002</v>
      </c>
      <c r="K405" s="8">
        <v>39.53</v>
      </c>
      <c r="L405" s="8">
        <v>100</v>
      </c>
      <c r="M405" s="8">
        <v>6706648753.4750004</v>
      </c>
      <c r="N405" s="8">
        <v>51.78</v>
      </c>
      <c r="O405" s="8" t="str">
        <f>vw_scenario_analysis_dataset[[#This Row],[reporter_name]] &amp; "-" &amp; vw_scenario_analysis_dataset[[#This Row],[reference_year]]</f>
        <v>Cyprus-2018</v>
      </c>
    </row>
    <row r="406" spans="1:15" x14ac:dyDescent="0.3">
      <c r="A406" s="8" t="s">
        <v>102</v>
      </c>
      <c r="B406" s="8" t="s">
        <v>103</v>
      </c>
      <c r="C406" s="8">
        <v>2019</v>
      </c>
      <c r="D406" s="8">
        <v>7041797703.4130011</v>
      </c>
      <c r="E406" s="8">
        <v>26196660680</v>
      </c>
      <c r="F406" s="8">
        <v>1286671</v>
      </c>
      <c r="G406" s="8">
        <v>5.8755958340000003</v>
      </c>
      <c r="H406" s="8">
        <v>150.50616310000001</v>
      </c>
      <c r="I406" s="8">
        <v>5472.88</v>
      </c>
      <c r="J406" s="8">
        <v>20360.03</v>
      </c>
      <c r="K406" s="8">
        <v>26.88</v>
      </c>
      <c r="L406" s="8">
        <v>111</v>
      </c>
      <c r="M406" s="8">
        <v>10179547594.976992</v>
      </c>
      <c r="N406" s="8">
        <v>-30.82</v>
      </c>
      <c r="O406" s="8" t="str">
        <f>vw_scenario_analysis_dataset[[#This Row],[reporter_name]] &amp; "-" &amp; vw_scenario_analysis_dataset[[#This Row],[reference_year]]</f>
        <v>Cyprus-2019</v>
      </c>
    </row>
    <row r="407" spans="1:15" x14ac:dyDescent="0.3">
      <c r="A407" s="8" t="s">
        <v>102</v>
      </c>
      <c r="B407" s="8" t="s">
        <v>103</v>
      </c>
      <c r="C407" s="8">
        <v>2020</v>
      </c>
      <c r="D407" s="8">
        <v>6274191616.3439999</v>
      </c>
      <c r="E407" s="8">
        <v>25555082267</v>
      </c>
      <c r="F407" s="8">
        <v>1302247</v>
      </c>
      <c r="G407" s="8">
        <v>-3.2206301860000002</v>
      </c>
      <c r="H407" s="8">
        <v>160.66871649999999</v>
      </c>
      <c r="I407" s="8">
        <v>4817.97</v>
      </c>
      <c r="J407" s="8">
        <v>19623.84</v>
      </c>
      <c r="K407" s="8">
        <v>24.55</v>
      </c>
      <c r="L407" s="8">
        <v>111</v>
      </c>
      <c r="M407" s="8">
        <v>7041797703.4130011</v>
      </c>
      <c r="N407" s="8">
        <v>-10.9</v>
      </c>
      <c r="O407" s="8" t="str">
        <f>vw_scenario_analysis_dataset[[#This Row],[reporter_name]] &amp; "-" &amp; vw_scenario_analysis_dataset[[#This Row],[reference_year]]</f>
        <v>Cyprus-2020</v>
      </c>
    </row>
    <row r="408" spans="1:15" x14ac:dyDescent="0.3">
      <c r="A408" s="8" t="s">
        <v>102</v>
      </c>
      <c r="B408" s="8" t="s">
        <v>103</v>
      </c>
      <c r="C408" s="8">
        <v>2021</v>
      </c>
      <c r="D408" s="8">
        <v>8013534225.6089964</v>
      </c>
      <c r="E408" s="8">
        <v>30372637513</v>
      </c>
      <c r="F408" s="8">
        <v>1317309</v>
      </c>
      <c r="G408" s="8">
        <v>11.397559080000001</v>
      </c>
      <c r="H408" s="8">
        <v>176.8277368</v>
      </c>
      <c r="I408" s="8">
        <v>6083.26</v>
      </c>
      <c r="J408" s="8">
        <v>23056.58</v>
      </c>
      <c r="K408" s="8">
        <v>26.38</v>
      </c>
      <c r="L408" s="8">
        <v>109</v>
      </c>
      <c r="M408" s="8">
        <v>6274191616.3439999</v>
      </c>
      <c r="N408" s="8">
        <v>27.72</v>
      </c>
      <c r="O408" s="8" t="str">
        <f>vw_scenario_analysis_dataset[[#This Row],[reporter_name]] &amp; "-" &amp; vw_scenario_analysis_dataset[[#This Row],[reference_year]]</f>
        <v>Cyprus-2021</v>
      </c>
    </row>
    <row r="409" spans="1:15" x14ac:dyDescent="0.3">
      <c r="A409" s="8" t="s">
        <v>102</v>
      </c>
      <c r="B409" s="8" t="s">
        <v>103</v>
      </c>
      <c r="C409" s="8">
        <v>2022</v>
      </c>
      <c r="D409" s="8">
        <v>8822507602.0309963</v>
      </c>
      <c r="E409" s="8">
        <v>31218047044</v>
      </c>
      <c r="F409" s="8">
        <v>1331370</v>
      </c>
      <c r="G409" s="8">
        <v>8.7385468490000004</v>
      </c>
      <c r="H409" s="8">
        <v>205.75353029999999</v>
      </c>
      <c r="I409" s="8">
        <v>6626.64</v>
      </c>
      <c r="J409" s="8">
        <v>23448.06</v>
      </c>
      <c r="K409" s="8">
        <v>28.26</v>
      </c>
      <c r="L409" s="8">
        <v>107</v>
      </c>
      <c r="M409" s="8">
        <v>8013534225.6089964</v>
      </c>
      <c r="N409" s="8">
        <v>10.1</v>
      </c>
      <c r="O409" s="8" t="str">
        <f>vw_scenario_analysis_dataset[[#This Row],[reporter_name]] &amp; "-" &amp; vw_scenario_analysis_dataset[[#This Row],[reference_year]]</f>
        <v>Cyprus-2022</v>
      </c>
    </row>
    <row r="410" spans="1:15" x14ac:dyDescent="0.3">
      <c r="A410" s="8" t="s">
        <v>102</v>
      </c>
      <c r="B410" s="8" t="s">
        <v>103</v>
      </c>
      <c r="C410" s="8">
        <v>2023</v>
      </c>
      <c r="D410" s="8">
        <v>10264752392.603001</v>
      </c>
      <c r="E410" s="8">
        <v>35075440603</v>
      </c>
      <c r="F410" s="8">
        <v>1344976</v>
      </c>
      <c r="G410" s="8">
        <v>3.620453682</v>
      </c>
      <c r="H410" s="8">
        <v>190.74095800000001</v>
      </c>
      <c r="I410" s="8">
        <v>7631.92</v>
      </c>
      <c r="J410" s="8">
        <v>26078.86</v>
      </c>
      <c r="K410" s="8">
        <v>29.26</v>
      </c>
      <c r="L410" s="8">
        <v>105</v>
      </c>
      <c r="M410" s="8">
        <v>8822507602.0309963</v>
      </c>
      <c r="N410" s="8">
        <v>16.350000000000001</v>
      </c>
      <c r="O410" s="8" t="str">
        <f>vw_scenario_analysis_dataset[[#This Row],[reporter_name]] &amp; "-" &amp; vw_scenario_analysis_dataset[[#This Row],[reference_year]]</f>
        <v>Cyprus-2023</v>
      </c>
    </row>
    <row r="411" spans="1:15" x14ac:dyDescent="0.3">
      <c r="A411" s="8" t="s">
        <v>102</v>
      </c>
      <c r="B411" s="8" t="s">
        <v>103</v>
      </c>
      <c r="C411" s="8">
        <v>2024</v>
      </c>
      <c r="D411" s="8">
        <v>11227375085.834999</v>
      </c>
      <c r="E411" s="8">
        <v>37634551821</v>
      </c>
      <c r="F411" s="8">
        <v>1358282</v>
      </c>
      <c r="G411" s="8">
        <v>3.940769344</v>
      </c>
      <c r="H411" s="8">
        <v>190.40287090000001</v>
      </c>
      <c r="I411" s="8">
        <v>8265.86</v>
      </c>
      <c r="J411" s="8">
        <v>27707.47</v>
      </c>
      <c r="K411" s="8">
        <v>29.83</v>
      </c>
      <c r="L411" s="8">
        <v>97</v>
      </c>
      <c r="M411" s="8">
        <v>10264752392.603001</v>
      </c>
      <c r="N411" s="8">
        <v>9.3800000000000008</v>
      </c>
      <c r="O411" s="8" t="str">
        <f>vw_scenario_analysis_dataset[[#This Row],[reporter_name]] &amp; "-" &amp; vw_scenario_analysis_dataset[[#This Row],[reference_year]]</f>
        <v>Cyprus-2024</v>
      </c>
    </row>
    <row r="412" spans="1:15" x14ac:dyDescent="0.3">
      <c r="A412" s="8" t="s">
        <v>104</v>
      </c>
      <c r="B412" s="8" t="s">
        <v>105</v>
      </c>
      <c r="C412" s="8">
        <v>2015</v>
      </c>
      <c r="D412" s="8">
        <v>314388245202</v>
      </c>
      <c r="E412" s="8">
        <v>189000000000</v>
      </c>
      <c r="F412" s="8">
        <v>10546059</v>
      </c>
      <c r="G412" s="8">
        <v>4.958758489</v>
      </c>
      <c r="H412" s="8">
        <v>154.01840100000001</v>
      </c>
      <c r="I412" s="8">
        <v>29810.97</v>
      </c>
      <c r="J412" s="8">
        <v>17921.39</v>
      </c>
      <c r="K412" s="8">
        <v>166.34</v>
      </c>
      <c r="L412" s="8">
        <v>25</v>
      </c>
      <c r="M412" s="8"/>
      <c r="N412" s="8"/>
      <c r="O412" s="8" t="str">
        <f>vw_scenario_analysis_dataset[[#This Row],[reporter_name]] &amp; "-" &amp; vw_scenario_analysis_dataset[[#This Row],[reference_year]]</f>
        <v>Czechia-2015</v>
      </c>
    </row>
    <row r="413" spans="1:15" x14ac:dyDescent="0.3">
      <c r="A413" s="8" t="s">
        <v>104</v>
      </c>
      <c r="B413" s="8" t="s">
        <v>105</v>
      </c>
      <c r="C413" s="8">
        <v>2016</v>
      </c>
      <c r="D413" s="8">
        <v>324174664380</v>
      </c>
      <c r="E413" s="8">
        <v>198000000000</v>
      </c>
      <c r="F413" s="8">
        <v>10566332</v>
      </c>
      <c r="G413" s="8">
        <v>2.580870139</v>
      </c>
      <c r="H413" s="8">
        <v>148.5470047</v>
      </c>
      <c r="I413" s="8">
        <v>30679.96</v>
      </c>
      <c r="J413" s="8">
        <v>18738.759999999998</v>
      </c>
      <c r="K413" s="8">
        <v>163.72</v>
      </c>
      <c r="L413" s="8">
        <v>25</v>
      </c>
      <c r="M413" s="8">
        <v>314388245202</v>
      </c>
      <c r="N413" s="8">
        <v>3.11</v>
      </c>
      <c r="O413" s="8" t="str">
        <f>vw_scenario_analysis_dataset[[#This Row],[reporter_name]] &amp; "-" &amp; vw_scenario_analysis_dataset[[#This Row],[reference_year]]</f>
        <v>Czechia-2016</v>
      </c>
    </row>
    <row r="414" spans="1:15" x14ac:dyDescent="0.3">
      <c r="A414" s="8" t="s">
        <v>104</v>
      </c>
      <c r="B414" s="8" t="s">
        <v>105</v>
      </c>
      <c r="C414" s="8">
        <v>2017</v>
      </c>
      <c r="D414" s="8">
        <v>364462721046</v>
      </c>
      <c r="E414" s="8">
        <v>222000000000</v>
      </c>
      <c r="F414" s="8">
        <v>10594438</v>
      </c>
      <c r="G414" s="8">
        <v>5.1735652999999999</v>
      </c>
      <c r="H414" s="8">
        <v>147.7508349</v>
      </c>
      <c r="I414" s="8">
        <v>34401.33</v>
      </c>
      <c r="J414" s="8">
        <v>20954.39</v>
      </c>
      <c r="K414" s="8">
        <v>164.17</v>
      </c>
      <c r="L414" s="8">
        <v>25</v>
      </c>
      <c r="M414" s="8">
        <v>324174664380</v>
      </c>
      <c r="N414" s="8">
        <v>12.43</v>
      </c>
      <c r="O414" s="8" t="str">
        <f>vw_scenario_analysis_dataset[[#This Row],[reporter_name]] &amp; "-" &amp; vw_scenario_analysis_dataset[[#This Row],[reference_year]]</f>
        <v>Czechia-2017</v>
      </c>
    </row>
    <row r="415" spans="1:15" x14ac:dyDescent="0.3">
      <c r="A415" s="8" t="s">
        <v>104</v>
      </c>
      <c r="B415" s="8" t="s">
        <v>105</v>
      </c>
      <c r="C415" s="8">
        <v>2018</v>
      </c>
      <c r="D415" s="8">
        <v>405043155418</v>
      </c>
      <c r="E415" s="8">
        <v>252000000000</v>
      </c>
      <c r="F415" s="8">
        <v>10629928</v>
      </c>
      <c r="G415" s="8">
        <v>2.8303058829999999</v>
      </c>
      <c r="H415" s="8">
        <v>145.1417179</v>
      </c>
      <c r="I415" s="8">
        <v>38104.04</v>
      </c>
      <c r="J415" s="8">
        <v>23706.65</v>
      </c>
      <c r="K415" s="8">
        <v>160.72999999999999</v>
      </c>
      <c r="L415" s="8">
        <v>25</v>
      </c>
      <c r="M415" s="8">
        <v>364462721046</v>
      </c>
      <c r="N415" s="8">
        <v>11.13</v>
      </c>
      <c r="O415" s="8" t="str">
        <f>vw_scenario_analysis_dataset[[#This Row],[reporter_name]] &amp; "-" &amp; vw_scenario_analysis_dataset[[#This Row],[reference_year]]</f>
        <v>Czechia-2018</v>
      </c>
    </row>
    <row r="416" spans="1:15" x14ac:dyDescent="0.3">
      <c r="A416" s="8" t="s">
        <v>104</v>
      </c>
      <c r="B416" s="8" t="s">
        <v>105</v>
      </c>
      <c r="C416" s="8">
        <v>2019</v>
      </c>
      <c r="D416" s="8">
        <v>398939420670</v>
      </c>
      <c r="E416" s="8">
        <v>257000000000</v>
      </c>
      <c r="F416" s="8">
        <v>10671870</v>
      </c>
      <c r="G416" s="8">
        <v>3.5657765810000002</v>
      </c>
      <c r="H416" s="8">
        <v>138.15460999999999</v>
      </c>
      <c r="I416" s="8">
        <v>37382.339999999997</v>
      </c>
      <c r="J416" s="8">
        <v>24082</v>
      </c>
      <c r="K416" s="8">
        <v>155.22999999999999</v>
      </c>
      <c r="L416" s="8">
        <v>25</v>
      </c>
      <c r="M416" s="8">
        <v>405043155418</v>
      </c>
      <c r="N416" s="8">
        <v>-1.51</v>
      </c>
      <c r="O416" s="8" t="str">
        <f>vw_scenario_analysis_dataset[[#This Row],[reporter_name]] &amp; "-" &amp; vw_scenario_analysis_dataset[[#This Row],[reference_year]]</f>
        <v>Czechia-2019</v>
      </c>
    </row>
    <row r="417" spans="1:15" x14ac:dyDescent="0.3">
      <c r="A417" s="8" t="s">
        <v>104</v>
      </c>
      <c r="B417" s="8" t="s">
        <v>105</v>
      </c>
      <c r="C417" s="8">
        <v>2020</v>
      </c>
      <c r="D417" s="8">
        <v>384614759610</v>
      </c>
      <c r="E417" s="8">
        <v>251000000000</v>
      </c>
      <c r="F417" s="8">
        <v>10697858</v>
      </c>
      <c r="G417" s="8">
        <v>-5.3048795550000003</v>
      </c>
      <c r="H417" s="8">
        <v>128.78043030000001</v>
      </c>
      <c r="I417" s="8">
        <v>35952.5</v>
      </c>
      <c r="J417" s="8">
        <v>23462.639999999999</v>
      </c>
      <c r="K417" s="8">
        <v>153.22999999999999</v>
      </c>
      <c r="L417" s="8">
        <v>24</v>
      </c>
      <c r="M417" s="8">
        <v>398939420670</v>
      </c>
      <c r="N417" s="8">
        <v>-3.59</v>
      </c>
      <c r="O417" s="8" t="str">
        <f>vw_scenario_analysis_dataset[[#This Row],[reporter_name]] &amp; "-" &amp; vw_scenario_analysis_dataset[[#This Row],[reference_year]]</f>
        <v>Czechia-2020</v>
      </c>
    </row>
    <row r="418" spans="1:15" x14ac:dyDescent="0.3">
      <c r="A418" s="8" t="s">
        <v>104</v>
      </c>
      <c r="B418" s="8" t="s">
        <v>105</v>
      </c>
      <c r="C418" s="8">
        <v>2021</v>
      </c>
      <c r="D418" s="8">
        <v>454336822044</v>
      </c>
      <c r="E418" s="8">
        <v>291000000000</v>
      </c>
      <c r="F418" s="8">
        <v>10505772</v>
      </c>
      <c r="G418" s="8">
        <v>4.0290183209999997</v>
      </c>
      <c r="H418" s="8">
        <v>137.37811629999999</v>
      </c>
      <c r="I418" s="8">
        <v>43246.400000000001</v>
      </c>
      <c r="J418" s="8">
        <v>27699.06</v>
      </c>
      <c r="K418" s="8">
        <v>156.13</v>
      </c>
      <c r="L418" s="8">
        <v>26</v>
      </c>
      <c r="M418" s="8">
        <v>384614759610</v>
      </c>
      <c r="N418" s="8">
        <v>18.13</v>
      </c>
      <c r="O418" s="8" t="str">
        <f>vw_scenario_analysis_dataset[[#This Row],[reporter_name]] &amp; "-" &amp; vw_scenario_analysis_dataset[[#This Row],[reference_year]]</f>
        <v>Czechia-2021</v>
      </c>
    </row>
    <row r="419" spans="1:15" x14ac:dyDescent="0.3">
      <c r="A419" s="8" t="s">
        <v>104</v>
      </c>
      <c r="B419" s="8" t="s">
        <v>105</v>
      </c>
      <c r="C419" s="8">
        <v>2022</v>
      </c>
      <c r="D419" s="8">
        <v>483378262234</v>
      </c>
      <c r="E419" s="8">
        <v>302000000000</v>
      </c>
      <c r="F419" s="8">
        <v>10672118</v>
      </c>
      <c r="G419" s="8">
        <v>2.847170658</v>
      </c>
      <c r="H419" s="8">
        <v>144.01149409999999</v>
      </c>
      <c r="I419" s="8">
        <v>45293.56</v>
      </c>
      <c r="J419" s="8">
        <v>28298.04</v>
      </c>
      <c r="K419" s="8">
        <v>160.06</v>
      </c>
      <c r="L419" s="8">
        <v>26</v>
      </c>
      <c r="M419" s="8">
        <v>454336822044</v>
      </c>
      <c r="N419" s="8">
        <v>6.39</v>
      </c>
      <c r="O419" s="8" t="str">
        <f>vw_scenario_analysis_dataset[[#This Row],[reporter_name]] &amp; "-" &amp; vw_scenario_analysis_dataset[[#This Row],[reference_year]]</f>
        <v>Czechia-2022</v>
      </c>
    </row>
    <row r="420" spans="1:15" x14ac:dyDescent="0.3">
      <c r="A420" s="8" t="s">
        <v>104</v>
      </c>
      <c r="B420" s="8" t="s">
        <v>105</v>
      </c>
      <c r="C420" s="8">
        <v>2023</v>
      </c>
      <c r="D420" s="8">
        <v>506655042436</v>
      </c>
      <c r="E420" s="8">
        <v>345000000000</v>
      </c>
      <c r="F420" s="8">
        <v>10864042</v>
      </c>
      <c r="G420" s="8">
        <v>4.7580330999999997E-2</v>
      </c>
      <c r="H420" s="8">
        <v>131.8925983</v>
      </c>
      <c r="I420" s="8">
        <v>46635.96</v>
      </c>
      <c r="J420" s="8">
        <v>31756.14</v>
      </c>
      <c r="K420" s="8">
        <v>146.86000000000001</v>
      </c>
      <c r="L420" s="8">
        <v>26</v>
      </c>
      <c r="M420" s="8">
        <v>483378262234</v>
      </c>
      <c r="N420" s="8">
        <v>4.82</v>
      </c>
      <c r="O420" s="8" t="str">
        <f>vw_scenario_analysis_dataset[[#This Row],[reporter_name]] &amp; "-" &amp; vw_scenario_analysis_dataset[[#This Row],[reference_year]]</f>
        <v>Czechia-2023</v>
      </c>
    </row>
    <row r="421" spans="1:15" x14ac:dyDescent="0.3">
      <c r="A421" s="8" t="s">
        <v>104</v>
      </c>
      <c r="B421" s="8" t="s">
        <v>105</v>
      </c>
      <c r="C421" s="8">
        <v>2024</v>
      </c>
      <c r="D421" s="8">
        <v>518584864890</v>
      </c>
      <c r="E421" s="8">
        <v>347000000000</v>
      </c>
      <c r="F421" s="8">
        <v>10905028</v>
      </c>
      <c r="G421" s="8">
        <v>1.251310962</v>
      </c>
      <c r="H421" s="8">
        <v>131.4666081</v>
      </c>
      <c r="I421" s="8">
        <v>47554.66</v>
      </c>
      <c r="J421" s="8">
        <v>31820.18</v>
      </c>
      <c r="K421" s="8">
        <v>149.44999999999999</v>
      </c>
      <c r="L421" s="8">
        <v>24</v>
      </c>
      <c r="M421" s="8">
        <v>506655042436</v>
      </c>
      <c r="N421" s="8">
        <v>2.35</v>
      </c>
      <c r="O421" s="8" t="str">
        <f>vw_scenario_analysis_dataset[[#This Row],[reporter_name]] &amp; "-" &amp; vw_scenario_analysis_dataset[[#This Row],[reference_year]]</f>
        <v>Czechia-2024</v>
      </c>
    </row>
    <row r="422" spans="1:15" x14ac:dyDescent="0.3">
      <c r="A422" s="8" t="s">
        <v>106</v>
      </c>
      <c r="B422" s="8" t="s">
        <v>107</v>
      </c>
      <c r="C422" s="8">
        <v>2021</v>
      </c>
      <c r="D422" s="8">
        <v>7658600080.5089951</v>
      </c>
      <c r="E422" s="8">
        <v>3392796953</v>
      </c>
      <c r="F422" s="8">
        <v>1121248</v>
      </c>
      <c r="G422" s="8">
        <v>4.4071566759999996</v>
      </c>
      <c r="H422" s="8">
        <v>263.4777287</v>
      </c>
      <c r="I422" s="8">
        <v>6830.42</v>
      </c>
      <c r="J422" s="8">
        <v>3025.91</v>
      </c>
      <c r="K422" s="8">
        <v>225.73</v>
      </c>
      <c r="L422" s="8">
        <v>111</v>
      </c>
      <c r="M422" s="8"/>
      <c r="N422" s="8"/>
      <c r="O422" s="8" t="str">
        <f>vw_scenario_analysis_dataset[[#This Row],[reporter_name]] &amp; "-" &amp; vw_scenario_analysis_dataset[[#This Row],[reference_year]]</f>
        <v>Djibouti-2021</v>
      </c>
    </row>
    <row r="423" spans="1:15" x14ac:dyDescent="0.3">
      <c r="A423" s="8" t="s">
        <v>106</v>
      </c>
      <c r="B423" s="8" t="s">
        <v>107</v>
      </c>
      <c r="C423" s="8">
        <v>2022</v>
      </c>
      <c r="D423" s="8">
        <v>9216604759.7199936</v>
      </c>
      <c r="E423" s="8">
        <v>3562814909</v>
      </c>
      <c r="F423" s="8">
        <v>1137096</v>
      </c>
      <c r="G423" s="8">
        <v>5.1665370289999997</v>
      </c>
      <c r="H423" s="8">
        <v>302.2854092</v>
      </c>
      <c r="I423" s="8">
        <v>8105.39</v>
      </c>
      <c r="J423" s="8">
        <v>3133.26</v>
      </c>
      <c r="K423" s="8">
        <v>258.69</v>
      </c>
      <c r="L423" s="8">
        <v>105</v>
      </c>
      <c r="M423" s="8">
        <v>7658600080.5089951</v>
      </c>
      <c r="N423" s="8">
        <v>20.34</v>
      </c>
      <c r="O423" s="8" t="str">
        <f>vw_scenario_analysis_dataset[[#This Row],[reporter_name]] &amp; "-" &amp; vw_scenario_analysis_dataset[[#This Row],[reference_year]]</f>
        <v>Djibouti-2022</v>
      </c>
    </row>
    <row r="424" spans="1:15" x14ac:dyDescent="0.3">
      <c r="A424" s="8" t="s">
        <v>106</v>
      </c>
      <c r="B424" s="8" t="s">
        <v>107</v>
      </c>
      <c r="C424" s="8">
        <v>2023</v>
      </c>
      <c r="D424" s="8">
        <v>9569431364.6420021</v>
      </c>
      <c r="E424" s="8">
        <v>3898447007</v>
      </c>
      <c r="F424" s="8">
        <v>1152944</v>
      </c>
      <c r="G424" s="8">
        <v>6.8073352939999996</v>
      </c>
      <c r="H424" s="8">
        <v>285.9020438</v>
      </c>
      <c r="I424" s="8">
        <v>8300</v>
      </c>
      <c r="J424" s="8">
        <v>3381.3</v>
      </c>
      <c r="K424" s="8">
        <v>245.47</v>
      </c>
      <c r="L424" s="8">
        <v>107</v>
      </c>
      <c r="M424" s="8">
        <v>9216604759.7199936</v>
      </c>
      <c r="N424" s="8">
        <v>3.83</v>
      </c>
      <c r="O424" s="8" t="str">
        <f>vw_scenario_analysis_dataset[[#This Row],[reporter_name]] &amp; "-" &amp; vw_scenario_analysis_dataset[[#This Row],[reference_year]]</f>
        <v>Djibouti-2023</v>
      </c>
    </row>
    <row r="425" spans="1:15" x14ac:dyDescent="0.3">
      <c r="A425" s="8" t="s">
        <v>108</v>
      </c>
      <c r="B425" s="8" t="s">
        <v>109</v>
      </c>
      <c r="C425" s="8">
        <v>2016</v>
      </c>
      <c r="D425" s="8">
        <v>35450300.103000015</v>
      </c>
      <c r="E425" s="8">
        <v>612711111.10000002</v>
      </c>
      <c r="F425" s="8">
        <v>69606</v>
      </c>
      <c r="G425" s="8">
        <v>1.447245565</v>
      </c>
      <c r="H425" s="8"/>
      <c r="I425" s="8">
        <v>509.3</v>
      </c>
      <c r="J425" s="8">
        <v>8802.56</v>
      </c>
      <c r="K425" s="8">
        <v>5.79</v>
      </c>
      <c r="L425" s="8">
        <v>167</v>
      </c>
      <c r="M425" s="8"/>
      <c r="N425" s="8"/>
      <c r="O425" s="8" t="str">
        <f>vw_scenario_analysis_dataset[[#This Row],[reporter_name]] &amp; "-" &amp; vw_scenario_analysis_dataset[[#This Row],[reference_year]]</f>
        <v>Dominica-2016</v>
      </c>
    </row>
    <row r="426" spans="1:15" x14ac:dyDescent="0.3">
      <c r="A426" s="8" t="s">
        <v>108</v>
      </c>
      <c r="B426" s="8" t="s">
        <v>109</v>
      </c>
      <c r="C426" s="8">
        <v>2017</v>
      </c>
      <c r="D426" s="8">
        <v>23452782.252000012</v>
      </c>
      <c r="E426" s="8">
        <v>563355555.60000002</v>
      </c>
      <c r="F426" s="8">
        <v>68496</v>
      </c>
      <c r="G426" s="8">
        <v>-7.544363755</v>
      </c>
      <c r="H426" s="8"/>
      <c r="I426" s="8">
        <v>342.4</v>
      </c>
      <c r="J426" s="8">
        <v>8224.65</v>
      </c>
      <c r="K426" s="8">
        <v>4.16</v>
      </c>
      <c r="L426" s="8">
        <v>172</v>
      </c>
      <c r="M426" s="8">
        <v>35450300.103000015</v>
      </c>
      <c r="N426" s="8">
        <v>-33.840000000000003</v>
      </c>
      <c r="O426" s="8" t="str">
        <f>vw_scenario_analysis_dataset[[#This Row],[reporter_name]] &amp; "-" &amp; vw_scenario_analysis_dataset[[#This Row],[reference_year]]</f>
        <v>Dominica-2017</v>
      </c>
    </row>
    <row r="427" spans="1:15" x14ac:dyDescent="0.3">
      <c r="A427" s="8" t="s">
        <v>108</v>
      </c>
      <c r="B427" s="8" t="s">
        <v>109</v>
      </c>
      <c r="C427" s="8">
        <v>2018</v>
      </c>
      <c r="D427" s="8">
        <v>20630418.065000001</v>
      </c>
      <c r="E427" s="8">
        <v>628244444.39999998</v>
      </c>
      <c r="F427" s="8">
        <v>68174</v>
      </c>
      <c r="G427" s="8">
        <v>2.9640106099999999</v>
      </c>
      <c r="H427" s="8"/>
      <c r="I427" s="8">
        <v>302.61</v>
      </c>
      <c r="J427" s="8">
        <v>9215.31</v>
      </c>
      <c r="K427" s="8">
        <v>3.28</v>
      </c>
      <c r="L427" s="8">
        <v>169</v>
      </c>
      <c r="M427" s="8">
        <v>23452782.252000012</v>
      </c>
      <c r="N427" s="8">
        <v>-12.03</v>
      </c>
      <c r="O427" s="8" t="str">
        <f>vw_scenario_analysis_dataset[[#This Row],[reporter_name]] &amp; "-" &amp; vw_scenario_analysis_dataset[[#This Row],[reference_year]]</f>
        <v>Dominica-2018</v>
      </c>
    </row>
    <row r="428" spans="1:15" x14ac:dyDescent="0.3">
      <c r="A428" s="8" t="s">
        <v>108</v>
      </c>
      <c r="B428" s="8" t="s">
        <v>109</v>
      </c>
      <c r="C428" s="8">
        <v>2019</v>
      </c>
      <c r="D428" s="8">
        <v>26424863.739000008</v>
      </c>
      <c r="E428" s="8">
        <v>644259259.29999995</v>
      </c>
      <c r="F428" s="8">
        <v>67880</v>
      </c>
      <c r="G428" s="8">
        <v>3.9480975790000001</v>
      </c>
      <c r="H428" s="8"/>
      <c r="I428" s="8">
        <v>389.29</v>
      </c>
      <c r="J428" s="8">
        <v>9491.15</v>
      </c>
      <c r="K428" s="8">
        <v>4.0999999999999996</v>
      </c>
      <c r="L428" s="8">
        <v>164</v>
      </c>
      <c r="M428" s="8">
        <v>20630418.065000001</v>
      </c>
      <c r="N428" s="8">
        <v>28.09</v>
      </c>
      <c r="O428" s="8" t="str">
        <f>vw_scenario_analysis_dataset[[#This Row],[reporter_name]] &amp; "-" &amp; vw_scenario_analysis_dataset[[#This Row],[reference_year]]</f>
        <v>Dominica-2019</v>
      </c>
    </row>
    <row r="429" spans="1:15" x14ac:dyDescent="0.3">
      <c r="A429" s="8" t="s">
        <v>108</v>
      </c>
      <c r="B429" s="8" t="s">
        <v>109</v>
      </c>
      <c r="C429" s="8">
        <v>2020</v>
      </c>
      <c r="D429" s="8">
        <v>26289230.011</v>
      </c>
      <c r="E429" s="8">
        <v>528944444.39999998</v>
      </c>
      <c r="F429" s="8">
        <v>67573</v>
      </c>
      <c r="G429" s="8">
        <v>-15.706402450000001</v>
      </c>
      <c r="H429" s="8"/>
      <c r="I429" s="8">
        <v>389.05</v>
      </c>
      <c r="J429" s="8">
        <v>7827.75</v>
      </c>
      <c r="K429" s="8">
        <v>4.97</v>
      </c>
      <c r="L429" s="8">
        <v>160</v>
      </c>
      <c r="M429" s="8">
        <v>26424863.739000008</v>
      </c>
      <c r="N429" s="8">
        <v>-0.51</v>
      </c>
      <c r="O429" s="8" t="str">
        <f>vw_scenario_analysis_dataset[[#This Row],[reporter_name]] &amp; "-" &amp; vw_scenario_analysis_dataset[[#This Row],[reference_year]]</f>
        <v>Dominica-2020</v>
      </c>
    </row>
    <row r="430" spans="1:15" x14ac:dyDescent="0.3">
      <c r="A430" s="8" t="s">
        <v>108</v>
      </c>
      <c r="B430" s="8" t="s">
        <v>109</v>
      </c>
      <c r="C430" s="8">
        <v>2021</v>
      </c>
      <c r="D430" s="8">
        <v>28290383.559999995</v>
      </c>
      <c r="E430" s="8">
        <v>562911111.10000002</v>
      </c>
      <c r="F430" s="8">
        <v>67202</v>
      </c>
      <c r="G430" s="8">
        <v>5.3798383899999997</v>
      </c>
      <c r="H430" s="8"/>
      <c r="I430" s="8">
        <v>420.98</v>
      </c>
      <c r="J430" s="8">
        <v>8376.4</v>
      </c>
      <c r="K430" s="8">
        <v>5.03</v>
      </c>
      <c r="L430" s="8">
        <v>160</v>
      </c>
      <c r="M430" s="8">
        <v>26289230.011</v>
      </c>
      <c r="N430" s="8">
        <v>7.61</v>
      </c>
      <c r="O430" s="8" t="str">
        <f>vw_scenario_analysis_dataset[[#This Row],[reporter_name]] &amp; "-" &amp; vw_scenario_analysis_dataset[[#This Row],[reference_year]]</f>
        <v>Dominica-2021</v>
      </c>
    </row>
    <row r="431" spans="1:15" x14ac:dyDescent="0.3">
      <c r="A431" s="8" t="s">
        <v>108</v>
      </c>
      <c r="B431" s="8" t="s">
        <v>109</v>
      </c>
      <c r="C431" s="8">
        <v>2022</v>
      </c>
      <c r="D431" s="8">
        <v>44808568.522999994</v>
      </c>
      <c r="E431" s="8">
        <v>623062963</v>
      </c>
      <c r="F431" s="8">
        <v>66826</v>
      </c>
      <c r="G431" s="8">
        <v>10.39680766</v>
      </c>
      <c r="H431" s="8"/>
      <c r="I431" s="8">
        <v>670.53</v>
      </c>
      <c r="J431" s="8">
        <v>9323.66</v>
      </c>
      <c r="K431" s="8">
        <v>7.19</v>
      </c>
      <c r="L431" s="8">
        <v>158</v>
      </c>
      <c r="M431" s="8">
        <v>28290383.559999995</v>
      </c>
      <c r="N431" s="8">
        <v>58.39</v>
      </c>
      <c r="O431" s="8" t="str">
        <f>vw_scenario_analysis_dataset[[#This Row],[reporter_name]] &amp; "-" &amp; vw_scenario_analysis_dataset[[#This Row],[reference_year]]</f>
        <v>Dominica-2022</v>
      </c>
    </row>
    <row r="432" spans="1:15" x14ac:dyDescent="0.3">
      <c r="A432" s="8" t="s">
        <v>108</v>
      </c>
      <c r="B432" s="8" t="s">
        <v>109</v>
      </c>
      <c r="C432" s="8">
        <v>2023</v>
      </c>
      <c r="D432" s="8">
        <v>44084460.361000016</v>
      </c>
      <c r="E432" s="8">
        <v>659311111.10000002</v>
      </c>
      <c r="F432" s="8">
        <v>66510</v>
      </c>
      <c r="G432" s="8">
        <v>3.6522101220000001</v>
      </c>
      <c r="H432" s="8"/>
      <c r="I432" s="8">
        <v>662.82</v>
      </c>
      <c r="J432" s="8">
        <v>9912.9599999999991</v>
      </c>
      <c r="K432" s="8">
        <v>6.69</v>
      </c>
      <c r="L432" s="8">
        <v>155</v>
      </c>
      <c r="M432" s="8">
        <v>44808568.522999994</v>
      </c>
      <c r="N432" s="8">
        <v>-1.62</v>
      </c>
      <c r="O432" s="8" t="str">
        <f>vw_scenario_analysis_dataset[[#This Row],[reporter_name]] &amp; "-" &amp; vw_scenario_analysis_dataset[[#This Row],[reference_year]]</f>
        <v>Dominica-2023</v>
      </c>
    </row>
    <row r="433" spans="1:15" x14ac:dyDescent="0.3">
      <c r="A433" s="8" t="s">
        <v>110</v>
      </c>
      <c r="B433" s="8" t="s">
        <v>111</v>
      </c>
      <c r="C433" s="8">
        <v>2015</v>
      </c>
      <c r="D433" s="8">
        <v>189237633371</v>
      </c>
      <c r="E433" s="8">
        <v>302000000000</v>
      </c>
      <c r="F433" s="8">
        <v>5683483</v>
      </c>
      <c r="G433" s="8">
        <v>2.1044145639999998</v>
      </c>
      <c r="H433" s="8">
        <v>105.1303625</v>
      </c>
      <c r="I433" s="8">
        <v>33296.07</v>
      </c>
      <c r="J433" s="8">
        <v>53136.43</v>
      </c>
      <c r="K433" s="8">
        <v>62.66</v>
      </c>
      <c r="L433" s="8">
        <v>32</v>
      </c>
      <c r="M433" s="8"/>
      <c r="N433" s="8"/>
      <c r="O433" s="8" t="str">
        <f>vw_scenario_analysis_dataset[[#This Row],[reporter_name]] &amp; "-" &amp; vw_scenario_analysis_dataset[[#This Row],[reference_year]]</f>
        <v>Denmark-2015</v>
      </c>
    </row>
    <row r="434" spans="1:15" x14ac:dyDescent="0.3">
      <c r="A434" s="8" t="s">
        <v>110</v>
      </c>
      <c r="B434" s="8" t="s">
        <v>111</v>
      </c>
      <c r="C434" s="8">
        <v>2016</v>
      </c>
      <c r="D434" s="8">
        <v>189458026119.44293</v>
      </c>
      <c r="E434" s="8">
        <v>312000000000</v>
      </c>
      <c r="F434" s="8">
        <v>5728010</v>
      </c>
      <c r="G434" s="8">
        <v>3.0730454919999999</v>
      </c>
      <c r="H434" s="8">
        <v>101.45278380000001</v>
      </c>
      <c r="I434" s="8">
        <v>33075.71</v>
      </c>
      <c r="J434" s="8">
        <v>54469.18</v>
      </c>
      <c r="K434" s="8">
        <v>60.72</v>
      </c>
      <c r="L434" s="8">
        <v>32</v>
      </c>
      <c r="M434" s="8">
        <v>189237633371</v>
      </c>
      <c r="N434" s="8">
        <v>0.12</v>
      </c>
      <c r="O434" s="8" t="str">
        <f>vw_scenario_analysis_dataset[[#This Row],[reporter_name]] &amp; "-" &amp; vw_scenario_analysis_dataset[[#This Row],[reference_year]]</f>
        <v>Denmark-2016</v>
      </c>
    </row>
    <row r="435" spans="1:15" x14ac:dyDescent="0.3">
      <c r="A435" s="8" t="s">
        <v>110</v>
      </c>
      <c r="B435" s="8" t="s">
        <v>111</v>
      </c>
      <c r="C435" s="8">
        <v>2017</v>
      </c>
      <c r="D435" s="8">
        <v>202696982628.93997</v>
      </c>
      <c r="E435" s="8">
        <v>332000000000</v>
      </c>
      <c r="F435" s="8">
        <v>5764980</v>
      </c>
      <c r="G435" s="8">
        <v>3.0564772389999999</v>
      </c>
      <c r="H435" s="8">
        <v>104.21567690000001</v>
      </c>
      <c r="I435" s="8">
        <v>35160.050000000003</v>
      </c>
      <c r="J435" s="8">
        <v>57589.1</v>
      </c>
      <c r="K435" s="8">
        <v>61.05</v>
      </c>
      <c r="L435" s="8">
        <v>33</v>
      </c>
      <c r="M435" s="8">
        <v>189458026119.44293</v>
      </c>
      <c r="N435" s="8">
        <v>6.99</v>
      </c>
      <c r="O435" s="8" t="str">
        <f>vw_scenario_analysis_dataset[[#This Row],[reporter_name]] &amp; "-" &amp; vw_scenario_analysis_dataset[[#This Row],[reference_year]]</f>
        <v>Denmark-2017</v>
      </c>
    </row>
    <row r="436" spans="1:15" x14ac:dyDescent="0.3">
      <c r="A436" s="8" t="s">
        <v>110</v>
      </c>
      <c r="B436" s="8" t="s">
        <v>111</v>
      </c>
      <c r="C436" s="8">
        <v>2018</v>
      </c>
      <c r="D436" s="8">
        <v>217042898828.03</v>
      </c>
      <c r="E436" s="8">
        <v>355000000000</v>
      </c>
      <c r="F436" s="8">
        <v>5793636</v>
      </c>
      <c r="G436" s="8">
        <v>1.8600074900000001</v>
      </c>
      <c r="H436" s="8">
        <v>108.8139855</v>
      </c>
      <c r="I436" s="8">
        <v>37462.29</v>
      </c>
      <c r="J436" s="8">
        <v>61274.13</v>
      </c>
      <c r="K436" s="8">
        <v>61.14</v>
      </c>
      <c r="L436" s="8">
        <v>32</v>
      </c>
      <c r="M436" s="8">
        <v>202696982628.93997</v>
      </c>
      <c r="N436" s="8">
        <v>7.08</v>
      </c>
      <c r="O436" s="8" t="str">
        <f>vw_scenario_analysis_dataset[[#This Row],[reporter_name]] &amp; "-" &amp; vw_scenario_analysis_dataset[[#This Row],[reference_year]]</f>
        <v>Denmark-2018</v>
      </c>
    </row>
    <row r="437" spans="1:15" x14ac:dyDescent="0.3">
      <c r="A437" s="8" t="s">
        <v>110</v>
      </c>
      <c r="B437" s="8" t="s">
        <v>111</v>
      </c>
      <c r="C437" s="8">
        <v>2019</v>
      </c>
      <c r="D437" s="8">
        <v>219758168898.93005</v>
      </c>
      <c r="E437" s="8">
        <v>345000000000</v>
      </c>
      <c r="F437" s="8">
        <v>5814422</v>
      </c>
      <c r="G437" s="8">
        <v>1.711400939</v>
      </c>
      <c r="H437" s="8">
        <v>111.89147509999999</v>
      </c>
      <c r="I437" s="8">
        <v>37795.360000000001</v>
      </c>
      <c r="J437" s="8">
        <v>59335.22</v>
      </c>
      <c r="K437" s="8">
        <v>63.7</v>
      </c>
      <c r="L437" s="8">
        <v>32</v>
      </c>
      <c r="M437" s="8">
        <v>217042898828.03</v>
      </c>
      <c r="N437" s="8">
        <v>1.25</v>
      </c>
      <c r="O437" s="8" t="str">
        <f>vw_scenario_analysis_dataset[[#This Row],[reporter_name]] &amp; "-" &amp; vw_scenario_analysis_dataset[[#This Row],[reference_year]]</f>
        <v>Denmark-2019</v>
      </c>
    </row>
    <row r="438" spans="1:15" x14ac:dyDescent="0.3">
      <c r="A438" s="8" t="s">
        <v>110</v>
      </c>
      <c r="B438" s="8" t="s">
        <v>111</v>
      </c>
      <c r="C438" s="8">
        <v>2020</v>
      </c>
      <c r="D438" s="8">
        <v>213742308538.51624</v>
      </c>
      <c r="E438" s="8">
        <v>356000000000</v>
      </c>
      <c r="F438" s="8">
        <v>5831404</v>
      </c>
      <c r="G438" s="8">
        <v>-1.7801060179999999</v>
      </c>
      <c r="H438" s="8">
        <v>104.4334327</v>
      </c>
      <c r="I438" s="8">
        <v>36653.660000000003</v>
      </c>
      <c r="J438" s="8">
        <v>61048.76</v>
      </c>
      <c r="K438" s="8">
        <v>60.04</v>
      </c>
      <c r="L438" s="8">
        <v>32</v>
      </c>
      <c r="M438" s="8">
        <v>219758168898.93005</v>
      </c>
      <c r="N438" s="8">
        <v>-2.74</v>
      </c>
      <c r="O438" s="8" t="str">
        <f>vw_scenario_analysis_dataset[[#This Row],[reporter_name]] &amp; "-" &amp; vw_scenario_analysis_dataset[[#This Row],[reference_year]]</f>
        <v>Denmark-2020</v>
      </c>
    </row>
    <row r="439" spans="1:15" x14ac:dyDescent="0.3">
      <c r="A439" s="8" t="s">
        <v>110</v>
      </c>
      <c r="B439" s="8" t="s">
        <v>111</v>
      </c>
      <c r="C439" s="8">
        <v>2021</v>
      </c>
      <c r="D439" s="8">
        <v>248527381842.0928</v>
      </c>
      <c r="E439" s="8">
        <v>406000000000</v>
      </c>
      <c r="F439" s="8">
        <v>5856733</v>
      </c>
      <c r="G439" s="8">
        <v>6.5002544579999997</v>
      </c>
      <c r="H439" s="8">
        <v>112.3214727</v>
      </c>
      <c r="I439" s="8">
        <v>42434.47</v>
      </c>
      <c r="J439" s="8">
        <v>69321.919999999998</v>
      </c>
      <c r="K439" s="8">
        <v>61.21</v>
      </c>
      <c r="L439" s="8">
        <v>32</v>
      </c>
      <c r="M439" s="8">
        <v>213742308538.51624</v>
      </c>
      <c r="N439" s="8">
        <v>16.27</v>
      </c>
      <c r="O439" s="8" t="str">
        <f>vw_scenario_analysis_dataset[[#This Row],[reporter_name]] &amp; "-" &amp; vw_scenario_analysis_dataset[[#This Row],[reference_year]]</f>
        <v>Denmark-2021</v>
      </c>
    </row>
    <row r="440" spans="1:15" x14ac:dyDescent="0.3">
      <c r="A440" s="8" t="s">
        <v>110</v>
      </c>
      <c r="B440" s="8" t="s">
        <v>111</v>
      </c>
      <c r="C440" s="8">
        <v>2022</v>
      </c>
      <c r="D440" s="8">
        <v>258354709909.85007</v>
      </c>
      <c r="E440" s="8">
        <v>400000000000</v>
      </c>
      <c r="F440" s="8">
        <v>5903037</v>
      </c>
      <c r="G440" s="8">
        <v>0.44383261499999999</v>
      </c>
      <c r="H440" s="8">
        <v>131.9958249</v>
      </c>
      <c r="I440" s="8">
        <v>43766.41</v>
      </c>
      <c r="J440" s="8">
        <v>67761.73</v>
      </c>
      <c r="K440" s="8">
        <v>64.59</v>
      </c>
      <c r="L440" s="8">
        <v>32</v>
      </c>
      <c r="M440" s="8">
        <v>248527381842.0928</v>
      </c>
      <c r="N440" s="8">
        <v>3.95</v>
      </c>
      <c r="O440" s="8" t="str">
        <f>vw_scenario_analysis_dataset[[#This Row],[reporter_name]] &amp; "-" &amp; vw_scenario_analysis_dataset[[#This Row],[reference_year]]</f>
        <v>Denmark-2022</v>
      </c>
    </row>
    <row r="441" spans="1:15" x14ac:dyDescent="0.3">
      <c r="A441" s="8" t="s">
        <v>110</v>
      </c>
      <c r="B441" s="8" t="s">
        <v>111</v>
      </c>
      <c r="C441" s="8">
        <v>2023</v>
      </c>
      <c r="D441" s="8">
        <v>256848763022.51968</v>
      </c>
      <c r="E441" s="8">
        <v>405000000000</v>
      </c>
      <c r="F441" s="8">
        <v>5946952</v>
      </c>
      <c r="G441" s="8">
        <v>0.60458776599999997</v>
      </c>
      <c r="H441" s="8">
        <v>129.62533740000001</v>
      </c>
      <c r="I441" s="8">
        <v>43189.98</v>
      </c>
      <c r="J441" s="8">
        <v>68102.11</v>
      </c>
      <c r="K441" s="8">
        <v>63.42</v>
      </c>
      <c r="L441" s="8">
        <v>31</v>
      </c>
      <c r="M441" s="8">
        <v>258354709909.85007</v>
      </c>
      <c r="N441" s="8">
        <v>-0.57999999999999996</v>
      </c>
      <c r="O441" s="8" t="str">
        <f>vw_scenario_analysis_dataset[[#This Row],[reporter_name]] &amp; "-" &amp; vw_scenario_analysis_dataset[[#This Row],[reference_year]]</f>
        <v>Denmark-2023</v>
      </c>
    </row>
    <row r="442" spans="1:15" x14ac:dyDescent="0.3">
      <c r="A442" s="8" t="s">
        <v>110</v>
      </c>
      <c r="B442" s="8" t="s">
        <v>111</v>
      </c>
      <c r="C442" s="8">
        <v>2024</v>
      </c>
      <c r="D442" s="8">
        <v>267590308215.76886</v>
      </c>
      <c r="E442" s="8">
        <v>425000000000</v>
      </c>
      <c r="F442" s="8">
        <v>5976992</v>
      </c>
      <c r="G442" s="8">
        <v>3.477835931</v>
      </c>
      <c r="H442" s="8">
        <v>131.76503099999999</v>
      </c>
      <c r="I442" s="8">
        <v>44770.06</v>
      </c>
      <c r="J442" s="8">
        <v>71106</v>
      </c>
      <c r="K442" s="8">
        <v>62.96</v>
      </c>
      <c r="L442" s="8">
        <v>29</v>
      </c>
      <c r="M442" s="8">
        <v>256848763022.51968</v>
      </c>
      <c r="N442" s="8">
        <v>4.18</v>
      </c>
      <c r="O442" s="8" t="str">
        <f>vw_scenario_analysis_dataset[[#This Row],[reporter_name]] &amp; "-" &amp; vw_scenario_analysis_dataset[[#This Row],[reference_year]]</f>
        <v>Denmark-2024</v>
      </c>
    </row>
    <row r="443" spans="1:15" x14ac:dyDescent="0.3">
      <c r="A443" s="8" t="s">
        <v>112</v>
      </c>
      <c r="B443" s="8" t="s">
        <v>113</v>
      </c>
      <c r="C443" s="8">
        <v>2015</v>
      </c>
      <c r="D443" s="8">
        <v>18777473144.399994</v>
      </c>
      <c r="E443" s="8">
        <v>70966782572</v>
      </c>
      <c r="F443" s="8">
        <v>10434829</v>
      </c>
      <c r="G443" s="8">
        <v>6.9877113120000001</v>
      </c>
      <c r="H443" s="8">
        <v>52.347123869999997</v>
      </c>
      <c r="I443" s="8">
        <v>1799.5</v>
      </c>
      <c r="J443" s="8">
        <v>6800.95</v>
      </c>
      <c r="K443" s="8">
        <v>26.46</v>
      </c>
      <c r="L443" s="8">
        <v>81</v>
      </c>
      <c r="M443" s="8"/>
      <c r="N443" s="8"/>
      <c r="O443" s="8" t="str">
        <f>vw_scenario_analysis_dataset[[#This Row],[reporter_name]] &amp; "-" &amp; vw_scenario_analysis_dataset[[#This Row],[reference_year]]</f>
        <v>Dominican Rep.-2015</v>
      </c>
    </row>
    <row r="444" spans="1:15" x14ac:dyDescent="0.3">
      <c r="A444" s="8" t="s">
        <v>112</v>
      </c>
      <c r="B444" s="8" t="s">
        <v>113</v>
      </c>
      <c r="C444" s="8">
        <v>2016</v>
      </c>
      <c r="D444" s="8">
        <v>19570372479.476006</v>
      </c>
      <c r="E444" s="8">
        <v>75552902636</v>
      </c>
      <c r="F444" s="8">
        <v>10551430</v>
      </c>
      <c r="G444" s="8">
        <v>6.7197407870000001</v>
      </c>
      <c r="H444" s="8">
        <v>51.730657119999996</v>
      </c>
      <c r="I444" s="8">
        <v>1854.76</v>
      </c>
      <c r="J444" s="8">
        <v>7160.44</v>
      </c>
      <c r="K444" s="8">
        <v>25.9</v>
      </c>
      <c r="L444" s="8">
        <v>81</v>
      </c>
      <c r="M444" s="8">
        <v>18777473144.399994</v>
      </c>
      <c r="N444" s="8">
        <v>4.22</v>
      </c>
      <c r="O444" s="8" t="str">
        <f>vw_scenario_analysis_dataset[[#This Row],[reporter_name]] &amp; "-" &amp; vw_scenario_analysis_dataset[[#This Row],[reference_year]]</f>
        <v>Dominican Rep.-2016</v>
      </c>
    </row>
    <row r="445" spans="1:15" x14ac:dyDescent="0.3">
      <c r="A445" s="8" t="s">
        <v>112</v>
      </c>
      <c r="B445" s="8" t="s">
        <v>113</v>
      </c>
      <c r="C445" s="8">
        <v>2017</v>
      </c>
      <c r="D445" s="8">
        <v>20449316800.17601</v>
      </c>
      <c r="E445" s="8">
        <v>79070274743</v>
      </c>
      <c r="F445" s="8">
        <v>10666843</v>
      </c>
      <c r="G445" s="8">
        <v>3.933861764</v>
      </c>
      <c r="H445" s="8">
        <v>50.759535550000003</v>
      </c>
      <c r="I445" s="8">
        <v>1917.09</v>
      </c>
      <c r="J445" s="8">
        <v>7412.72</v>
      </c>
      <c r="K445" s="8">
        <v>25.86</v>
      </c>
      <c r="L445" s="8">
        <v>81</v>
      </c>
      <c r="M445" s="8">
        <v>19570372479.476006</v>
      </c>
      <c r="N445" s="8">
        <v>4.49</v>
      </c>
      <c r="O445" s="8" t="str">
        <f>vw_scenario_analysis_dataset[[#This Row],[reporter_name]] &amp; "-" &amp; vw_scenario_analysis_dataset[[#This Row],[reference_year]]</f>
        <v>Dominican Rep.-2017</v>
      </c>
    </row>
    <row r="446" spans="1:15" x14ac:dyDescent="0.3">
      <c r="A446" s="8" t="s">
        <v>112</v>
      </c>
      <c r="B446" s="8" t="s">
        <v>113</v>
      </c>
      <c r="C446" s="8">
        <v>2018</v>
      </c>
      <c r="D446" s="8">
        <v>21516021487.137001</v>
      </c>
      <c r="E446" s="8">
        <v>84994732049</v>
      </c>
      <c r="F446" s="8">
        <v>10782053</v>
      </c>
      <c r="G446" s="8">
        <v>7.0975164020000001</v>
      </c>
      <c r="H446" s="8">
        <v>52.335170959999999</v>
      </c>
      <c r="I446" s="8">
        <v>1995.54</v>
      </c>
      <c r="J446" s="8">
        <v>7882.98</v>
      </c>
      <c r="K446" s="8">
        <v>25.31</v>
      </c>
      <c r="L446" s="8">
        <v>81</v>
      </c>
      <c r="M446" s="8">
        <v>20449316800.17601</v>
      </c>
      <c r="N446" s="8">
        <v>5.22</v>
      </c>
      <c r="O446" s="8" t="str">
        <f>vw_scenario_analysis_dataset[[#This Row],[reporter_name]] &amp; "-" &amp; vw_scenario_analysis_dataset[[#This Row],[reference_year]]</f>
        <v>Dominican Rep.-2018</v>
      </c>
    </row>
    <row r="447" spans="1:15" x14ac:dyDescent="0.3">
      <c r="A447" s="8" t="s">
        <v>112</v>
      </c>
      <c r="B447" s="8" t="s">
        <v>113</v>
      </c>
      <c r="C447" s="8">
        <v>2019</v>
      </c>
      <c r="D447" s="8">
        <v>22574398663.794998</v>
      </c>
      <c r="E447" s="8">
        <v>89146130745</v>
      </c>
      <c r="F447" s="8">
        <v>10894043</v>
      </c>
      <c r="G447" s="8">
        <v>4.8940301149999996</v>
      </c>
      <c r="H447" s="8">
        <v>50.912982200000002</v>
      </c>
      <c r="I447" s="8">
        <v>2072.1799999999998</v>
      </c>
      <c r="J447" s="8">
        <v>8183.02</v>
      </c>
      <c r="K447" s="8">
        <v>25.32</v>
      </c>
      <c r="L447" s="8">
        <v>79</v>
      </c>
      <c r="M447" s="8">
        <v>21516021487.137001</v>
      </c>
      <c r="N447" s="8">
        <v>4.92</v>
      </c>
      <c r="O447" s="8" t="str">
        <f>vw_scenario_analysis_dataset[[#This Row],[reporter_name]] &amp; "-" &amp; vw_scenario_analysis_dataset[[#This Row],[reference_year]]</f>
        <v>Dominican Rep.-2019</v>
      </c>
    </row>
    <row r="448" spans="1:15" x14ac:dyDescent="0.3">
      <c r="A448" s="8" t="s">
        <v>112</v>
      </c>
      <c r="B448" s="8" t="s">
        <v>113</v>
      </c>
      <c r="C448" s="8">
        <v>2020</v>
      </c>
      <c r="D448" s="8">
        <v>19688142311.450993</v>
      </c>
      <c r="E448" s="8">
        <v>78546672407</v>
      </c>
      <c r="F448" s="8">
        <v>11008300</v>
      </c>
      <c r="G448" s="8">
        <v>-7.9290523420000003</v>
      </c>
      <c r="H448" s="8">
        <v>44.733161350000003</v>
      </c>
      <c r="I448" s="8">
        <v>1788.48</v>
      </c>
      <c r="J448" s="8">
        <v>7135.22</v>
      </c>
      <c r="K448" s="8">
        <v>25.07</v>
      </c>
      <c r="L448" s="8">
        <v>78</v>
      </c>
      <c r="M448" s="8">
        <v>22574398663.794998</v>
      </c>
      <c r="N448" s="8">
        <v>-12.79</v>
      </c>
      <c r="O448" s="8" t="str">
        <f>vw_scenario_analysis_dataset[[#This Row],[reporter_name]] &amp; "-" &amp; vw_scenario_analysis_dataset[[#This Row],[reference_year]]</f>
        <v>Dominican Rep.-2020</v>
      </c>
    </row>
    <row r="449" spans="1:15" x14ac:dyDescent="0.3">
      <c r="A449" s="8" t="s">
        <v>112</v>
      </c>
      <c r="B449" s="8" t="s">
        <v>113</v>
      </c>
      <c r="C449" s="8">
        <v>2021</v>
      </c>
      <c r="D449" s="8">
        <v>23286440008.37801</v>
      </c>
      <c r="E449" s="8">
        <v>94850719517</v>
      </c>
      <c r="F449" s="8">
        <v>11123476</v>
      </c>
      <c r="G449" s="8">
        <v>14.012428910000001</v>
      </c>
      <c r="H449" s="8">
        <v>51.950022730000001</v>
      </c>
      <c r="I449" s="8">
        <v>2093.4499999999998</v>
      </c>
      <c r="J449" s="8">
        <v>8527.08</v>
      </c>
      <c r="K449" s="8">
        <v>24.55</v>
      </c>
      <c r="L449" s="8">
        <v>78</v>
      </c>
      <c r="M449" s="8">
        <v>19688142311.450993</v>
      </c>
      <c r="N449" s="8">
        <v>18.28</v>
      </c>
      <c r="O449" s="8" t="str">
        <f>vw_scenario_analysis_dataset[[#This Row],[reporter_name]] &amp; "-" &amp; vw_scenario_analysis_dataset[[#This Row],[reference_year]]</f>
        <v>Dominican Rep.-2021</v>
      </c>
    </row>
    <row r="450" spans="1:15" x14ac:dyDescent="0.3">
      <c r="A450" s="8" t="s">
        <v>112</v>
      </c>
      <c r="B450" s="8" t="s">
        <v>113</v>
      </c>
      <c r="C450" s="8">
        <v>2022</v>
      </c>
      <c r="D450" s="8">
        <v>19672694477.309002</v>
      </c>
      <c r="E450" s="8">
        <v>113000000000</v>
      </c>
      <c r="F450" s="8">
        <v>11230734</v>
      </c>
      <c r="G450" s="8">
        <v>5.2379565289999999</v>
      </c>
      <c r="H450" s="8">
        <v>54.378197669999999</v>
      </c>
      <c r="I450" s="8">
        <v>1751.68</v>
      </c>
      <c r="J450" s="8">
        <v>10061.68</v>
      </c>
      <c r="K450" s="8">
        <v>17.41</v>
      </c>
      <c r="L450" s="8">
        <v>87</v>
      </c>
      <c r="M450" s="8">
        <v>23286440008.37801</v>
      </c>
      <c r="N450" s="8">
        <v>-15.52</v>
      </c>
      <c r="O450" s="8" t="str">
        <f>vw_scenario_analysis_dataset[[#This Row],[reporter_name]] &amp; "-" &amp; vw_scenario_analysis_dataset[[#This Row],[reference_year]]</f>
        <v>Dominican Rep.-2022</v>
      </c>
    </row>
    <row r="451" spans="1:15" x14ac:dyDescent="0.3">
      <c r="A451" s="8" t="s">
        <v>112</v>
      </c>
      <c r="B451" s="8" t="s">
        <v>113</v>
      </c>
      <c r="C451" s="8">
        <v>2023</v>
      </c>
      <c r="D451" s="8">
        <v>23863907572.090004</v>
      </c>
      <c r="E451" s="8">
        <v>120000000000</v>
      </c>
      <c r="F451" s="8">
        <v>11331265</v>
      </c>
      <c r="G451" s="8">
        <v>2.192298482</v>
      </c>
      <c r="H451" s="8">
        <v>49.843613179999998</v>
      </c>
      <c r="I451" s="8">
        <v>2106.02</v>
      </c>
      <c r="J451" s="8">
        <v>10590.17</v>
      </c>
      <c r="K451" s="8">
        <v>19.89</v>
      </c>
      <c r="L451" s="8">
        <v>78</v>
      </c>
      <c r="M451" s="8">
        <v>19672694477.309002</v>
      </c>
      <c r="N451" s="8">
        <v>21.3</v>
      </c>
      <c r="O451" s="8" t="str">
        <f>vw_scenario_analysis_dataset[[#This Row],[reporter_name]] &amp; "-" &amp; vw_scenario_analysis_dataset[[#This Row],[reference_year]]</f>
        <v>Dominican Rep.-2023</v>
      </c>
    </row>
    <row r="452" spans="1:15" x14ac:dyDescent="0.3">
      <c r="A452" s="8" t="s">
        <v>112</v>
      </c>
      <c r="B452" s="8" t="s">
        <v>113</v>
      </c>
      <c r="C452" s="8">
        <v>2024</v>
      </c>
      <c r="D452" s="8">
        <v>25847890994.663994</v>
      </c>
      <c r="E452" s="8">
        <v>124000000000</v>
      </c>
      <c r="F452" s="8">
        <v>11427557</v>
      </c>
      <c r="G452" s="8">
        <v>4.9535220449999997</v>
      </c>
      <c r="H452" s="8">
        <v>51.783514400000001</v>
      </c>
      <c r="I452" s="8">
        <v>2261.89</v>
      </c>
      <c r="J452" s="8">
        <v>10850.96</v>
      </c>
      <c r="K452" s="8">
        <v>20.85</v>
      </c>
      <c r="L452" s="8">
        <v>73</v>
      </c>
      <c r="M452" s="8">
        <v>23863907572.090004</v>
      </c>
      <c r="N452" s="8">
        <v>8.31</v>
      </c>
      <c r="O452" s="8" t="str">
        <f>vw_scenario_analysis_dataset[[#This Row],[reporter_name]] &amp; "-" &amp; vw_scenario_analysis_dataset[[#This Row],[reference_year]]</f>
        <v>Dominican Rep.-2024</v>
      </c>
    </row>
    <row r="453" spans="1:15" x14ac:dyDescent="0.3">
      <c r="A453" s="8" t="s">
        <v>114</v>
      </c>
      <c r="B453" s="8" t="s">
        <v>115</v>
      </c>
      <c r="C453" s="8">
        <v>2015</v>
      </c>
      <c r="D453" s="8">
        <v>69591902982</v>
      </c>
      <c r="E453" s="8">
        <v>187000000000</v>
      </c>
      <c r="F453" s="8">
        <v>40019529</v>
      </c>
      <c r="G453" s="8">
        <v>3.2000000009999998</v>
      </c>
      <c r="H453" s="8">
        <v>53.20462259</v>
      </c>
      <c r="I453" s="8">
        <v>1738.95</v>
      </c>
      <c r="J453" s="8">
        <v>4672.72</v>
      </c>
      <c r="K453" s="8">
        <v>37.21</v>
      </c>
      <c r="L453" s="8">
        <v>52</v>
      </c>
      <c r="M453" s="8"/>
      <c r="N453" s="8"/>
      <c r="O453" s="8" t="str">
        <f>vw_scenario_analysis_dataset[[#This Row],[reporter_name]] &amp; "-" &amp; vw_scenario_analysis_dataset[[#This Row],[reference_year]]</f>
        <v>Algeria-2015</v>
      </c>
    </row>
    <row r="454" spans="1:15" x14ac:dyDescent="0.3">
      <c r="A454" s="8" t="s">
        <v>114</v>
      </c>
      <c r="B454" s="8" t="s">
        <v>115</v>
      </c>
      <c r="C454" s="8">
        <v>2016</v>
      </c>
      <c r="D454" s="8">
        <v>59984202943</v>
      </c>
      <c r="E454" s="8">
        <v>181000000000</v>
      </c>
      <c r="F454" s="8">
        <v>40850721</v>
      </c>
      <c r="G454" s="8">
        <v>3.9</v>
      </c>
      <c r="H454" s="8">
        <v>49.760932789999998</v>
      </c>
      <c r="I454" s="8">
        <v>1468.38</v>
      </c>
      <c r="J454" s="8">
        <v>4430.7700000000004</v>
      </c>
      <c r="K454" s="8">
        <v>33.14</v>
      </c>
      <c r="L454" s="8">
        <v>54</v>
      </c>
      <c r="M454" s="8">
        <v>69591902982</v>
      </c>
      <c r="N454" s="8">
        <v>-13.81</v>
      </c>
      <c r="O454" s="8" t="str">
        <f>vw_scenario_analysis_dataset[[#This Row],[reporter_name]] &amp; "-" &amp; vw_scenario_analysis_dataset[[#This Row],[reference_year]]</f>
        <v>Algeria-2016</v>
      </c>
    </row>
    <row r="455" spans="1:15" x14ac:dyDescent="0.3">
      <c r="A455" s="8" t="s">
        <v>114</v>
      </c>
      <c r="B455" s="8" t="s">
        <v>115</v>
      </c>
      <c r="C455" s="8">
        <v>2017</v>
      </c>
      <c r="D455" s="8">
        <v>70382234832.200073</v>
      </c>
      <c r="E455" s="8">
        <v>190000000000</v>
      </c>
      <c r="F455" s="8">
        <v>41689299</v>
      </c>
      <c r="G455" s="8">
        <v>1.4999999989999999</v>
      </c>
      <c r="H455" s="8">
        <v>49.820816170000001</v>
      </c>
      <c r="I455" s="8">
        <v>1688.26</v>
      </c>
      <c r="J455" s="8">
        <v>4557.5200000000004</v>
      </c>
      <c r="K455" s="8">
        <v>37.04</v>
      </c>
      <c r="L455" s="8">
        <v>53</v>
      </c>
      <c r="M455" s="8">
        <v>59984202943</v>
      </c>
      <c r="N455" s="8">
        <v>17.329999999999998</v>
      </c>
      <c r="O455" s="8" t="str">
        <f>vw_scenario_analysis_dataset[[#This Row],[reporter_name]] &amp; "-" &amp; vw_scenario_analysis_dataset[[#This Row],[reference_year]]</f>
        <v>Algeria-2017</v>
      </c>
    </row>
    <row r="456" spans="1:15" x14ac:dyDescent="0.3">
      <c r="A456" s="8" t="s">
        <v>114</v>
      </c>
      <c r="B456" s="8" t="s">
        <v>115</v>
      </c>
      <c r="C456" s="8">
        <v>2024</v>
      </c>
      <c r="D456" s="8">
        <v>103714850221.95</v>
      </c>
      <c r="E456" s="8">
        <v>269000000000</v>
      </c>
      <c r="F456" s="8">
        <v>46814308</v>
      </c>
      <c r="G456" s="8">
        <v>3.6999999990000001</v>
      </c>
      <c r="H456" s="8">
        <v>40.134574120000003</v>
      </c>
      <c r="I456" s="8">
        <v>2215.4499999999998</v>
      </c>
      <c r="J456" s="8">
        <v>5746.11</v>
      </c>
      <c r="K456" s="8">
        <v>38.56</v>
      </c>
      <c r="L456" s="8">
        <v>48</v>
      </c>
      <c r="M456" s="8">
        <v>70382234832.200073</v>
      </c>
      <c r="N456" s="8">
        <v>47.36</v>
      </c>
      <c r="O456" s="8" t="str">
        <f>vw_scenario_analysis_dataset[[#This Row],[reporter_name]] &amp; "-" &amp; vw_scenario_analysis_dataset[[#This Row],[reference_year]]</f>
        <v>Algeria-2024</v>
      </c>
    </row>
    <row r="457" spans="1:15" x14ac:dyDescent="0.3">
      <c r="A457" s="8" t="s">
        <v>116</v>
      </c>
      <c r="B457" s="8" t="s">
        <v>117</v>
      </c>
      <c r="C457" s="8">
        <v>2015</v>
      </c>
      <c r="D457" s="8">
        <v>36661215391</v>
      </c>
      <c r="E457" s="8">
        <v>97209558000</v>
      </c>
      <c r="F457" s="8">
        <v>16266225</v>
      </c>
      <c r="G457" s="8">
        <v>0.119692109</v>
      </c>
      <c r="H457" s="8">
        <v>47.828039709999999</v>
      </c>
      <c r="I457" s="8">
        <v>2253.8200000000002</v>
      </c>
      <c r="J457" s="8">
        <v>5976.16</v>
      </c>
      <c r="K457" s="8">
        <v>37.71</v>
      </c>
      <c r="L457" s="8">
        <v>64</v>
      </c>
      <c r="M457" s="8"/>
      <c r="N457" s="8"/>
      <c r="O457" s="8" t="str">
        <f>vw_scenario_analysis_dataset[[#This Row],[reporter_name]] &amp; "-" &amp; vw_scenario_analysis_dataset[[#This Row],[reference_year]]</f>
        <v>Ecuador-2015</v>
      </c>
    </row>
    <row r="458" spans="1:15" x14ac:dyDescent="0.3">
      <c r="A458" s="8" t="s">
        <v>116</v>
      </c>
      <c r="B458" s="8" t="s">
        <v>117</v>
      </c>
      <c r="C458" s="8">
        <v>2016</v>
      </c>
      <c r="D458" s="8">
        <v>33595329246</v>
      </c>
      <c r="E458" s="8">
        <v>97671433000</v>
      </c>
      <c r="F458" s="8">
        <v>16505139</v>
      </c>
      <c r="G458" s="8">
        <v>-0.68795424599999999</v>
      </c>
      <c r="H458" s="8">
        <v>40.534491799999998</v>
      </c>
      <c r="I458" s="8">
        <v>2035.45</v>
      </c>
      <c r="J458" s="8">
        <v>5917.64</v>
      </c>
      <c r="K458" s="8">
        <v>34.4</v>
      </c>
      <c r="L458" s="8">
        <v>65</v>
      </c>
      <c r="M458" s="8">
        <v>36661215391</v>
      </c>
      <c r="N458" s="8">
        <v>-8.36</v>
      </c>
      <c r="O458" s="8" t="str">
        <f>vw_scenario_analysis_dataset[[#This Row],[reporter_name]] &amp; "-" &amp; vw_scenario_analysis_dataset[[#This Row],[reference_year]]</f>
        <v>Ecuador-2016</v>
      </c>
    </row>
    <row r="459" spans="1:15" x14ac:dyDescent="0.3">
      <c r="A459" s="8" t="s">
        <v>116</v>
      </c>
      <c r="B459" s="8" t="s">
        <v>117</v>
      </c>
      <c r="C459" s="8">
        <v>2017</v>
      </c>
      <c r="D459" s="8">
        <v>38184704485.122009</v>
      </c>
      <c r="E459" s="8">
        <v>104000000000</v>
      </c>
      <c r="F459" s="8">
        <v>16759519</v>
      </c>
      <c r="G459" s="8">
        <v>5.9703988099999998</v>
      </c>
      <c r="H459" s="8">
        <v>43.617723320000003</v>
      </c>
      <c r="I459" s="8">
        <v>2278.39</v>
      </c>
      <c r="J459" s="8">
        <v>6205.43</v>
      </c>
      <c r="K459" s="8">
        <v>36.72</v>
      </c>
      <c r="L459" s="8">
        <v>64</v>
      </c>
      <c r="M459" s="8">
        <v>33595329246</v>
      </c>
      <c r="N459" s="8">
        <v>13.66</v>
      </c>
      <c r="O459" s="8" t="str">
        <f>vw_scenario_analysis_dataset[[#This Row],[reporter_name]] &amp; "-" &amp; vw_scenario_analysis_dataset[[#This Row],[reference_year]]</f>
        <v>Ecuador-2017</v>
      </c>
    </row>
    <row r="460" spans="1:15" x14ac:dyDescent="0.3">
      <c r="A460" s="8" t="s">
        <v>116</v>
      </c>
      <c r="B460" s="8" t="s">
        <v>117</v>
      </c>
      <c r="C460" s="8">
        <v>2018</v>
      </c>
      <c r="D460" s="8">
        <v>43303911100.812004</v>
      </c>
      <c r="E460" s="8">
        <v>107000000000</v>
      </c>
      <c r="F460" s="8">
        <v>17049547</v>
      </c>
      <c r="G460" s="8">
        <v>1.0442946070000001</v>
      </c>
      <c r="H460" s="8">
        <v>48.00934762</v>
      </c>
      <c r="I460" s="8">
        <v>2539.89</v>
      </c>
      <c r="J460" s="8">
        <v>6275.83</v>
      </c>
      <c r="K460" s="8">
        <v>40.47</v>
      </c>
      <c r="L460" s="8">
        <v>63</v>
      </c>
      <c r="M460" s="8">
        <v>38184704485.122009</v>
      </c>
      <c r="N460" s="8">
        <v>13.41</v>
      </c>
      <c r="O460" s="8" t="str">
        <f>vw_scenario_analysis_dataset[[#This Row],[reporter_name]] &amp; "-" &amp; vw_scenario_analysis_dataset[[#This Row],[reference_year]]</f>
        <v>Ecuador-2018</v>
      </c>
    </row>
    <row r="461" spans="1:15" x14ac:dyDescent="0.3">
      <c r="A461" s="8" t="s">
        <v>116</v>
      </c>
      <c r="B461" s="8" t="s">
        <v>117</v>
      </c>
      <c r="C461" s="8">
        <v>2019</v>
      </c>
      <c r="D461" s="8">
        <v>44658757437.035995</v>
      </c>
      <c r="E461" s="8">
        <v>108000000000</v>
      </c>
      <c r="F461" s="8">
        <v>17340021</v>
      </c>
      <c r="G461" s="8">
        <v>0.165404465</v>
      </c>
      <c r="H461" s="8">
        <v>48.082849490000001</v>
      </c>
      <c r="I461" s="8">
        <v>2575.4699999999998</v>
      </c>
      <c r="J461" s="8">
        <v>6228.37</v>
      </c>
      <c r="K461" s="8">
        <v>41.35</v>
      </c>
      <c r="L461" s="8">
        <v>62</v>
      </c>
      <c r="M461" s="8">
        <v>43303911100.812004</v>
      </c>
      <c r="N461" s="8">
        <v>3.13</v>
      </c>
      <c r="O461" s="8" t="str">
        <f>vw_scenario_analysis_dataset[[#This Row],[reporter_name]] &amp; "-" &amp; vw_scenario_analysis_dataset[[#This Row],[reference_year]]</f>
        <v>Ecuador-2019</v>
      </c>
    </row>
    <row r="462" spans="1:15" x14ac:dyDescent="0.3">
      <c r="A462" s="8" t="s">
        <v>116</v>
      </c>
      <c r="B462" s="8" t="s">
        <v>117</v>
      </c>
      <c r="C462" s="8">
        <v>2020</v>
      </c>
      <c r="D462" s="8">
        <v>40710722877.387985</v>
      </c>
      <c r="E462" s="8">
        <v>95865473000</v>
      </c>
      <c r="F462" s="8">
        <v>17546065</v>
      </c>
      <c r="G462" s="8">
        <v>-9.2450961920000001</v>
      </c>
      <c r="H462" s="8">
        <v>43.989310940000003</v>
      </c>
      <c r="I462" s="8">
        <v>2320.2199999999998</v>
      </c>
      <c r="J462" s="8">
        <v>5463.65</v>
      </c>
      <c r="K462" s="8">
        <v>42.47</v>
      </c>
      <c r="L462" s="8">
        <v>61</v>
      </c>
      <c r="M462" s="8">
        <v>44658757437.035995</v>
      </c>
      <c r="N462" s="8">
        <v>-8.84</v>
      </c>
      <c r="O462" s="8" t="str">
        <f>vw_scenario_analysis_dataset[[#This Row],[reporter_name]] &amp; "-" &amp; vw_scenario_analysis_dataset[[#This Row],[reference_year]]</f>
        <v>Ecuador-2020</v>
      </c>
    </row>
    <row r="463" spans="1:15" x14ac:dyDescent="0.3">
      <c r="A463" s="8" t="s">
        <v>116</v>
      </c>
      <c r="B463" s="8" t="s">
        <v>117</v>
      </c>
      <c r="C463" s="8">
        <v>2021</v>
      </c>
      <c r="D463" s="8">
        <v>53398399688.74398</v>
      </c>
      <c r="E463" s="8">
        <v>107000000000</v>
      </c>
      <c r="F463" s="8">
        <v>17682454</v>
      </c>
      <c r="G463" s="8">
        <v>9.42189269</v>
      </c>
      <c r="H463" s="8">
        <v>53.261275609999998</v>
      </c>
      <c r="I463" s="8">
        <v>3019.85</v>
      </c>
      <c r="J463" s="8">
        <v>6051.2</v>
      </c>
      <c r="K463" s="8">
        <v>49.91</v>
      </c>
      <c r="L463" s="8">
        <v>61</v>
      </c>
      <c r="M463" s="8">
        <v>40710722877.387985</v>
      </c>
      <c r="N463" s="8">
        <v>31.17</v>
      </c>
      <c r="O463" s="8" t="str">
        <f>vw_scenario_analysis_dataset[[#This Row],[reporter_name]] &amp; "-" &amp; vw_scenario_analysis_dataset[[#This Row],[reference_year]]</f>
        <v>Ecuador-2021</v>
      </c>
    </row>
    <row r="464" spans="1:15" x14ac:dyDescent="0.3">
      <c r="A464" s="8" t="s">
        <v>116</v>
      </c>
      <c r="B464" s="8" t="s">
        <v>117</v>
      </c>
      <c r="C464" s="8">
        <v>2022</v>
      </c>
      <c r="D464" s="8">
        <v>70760723413.999985</v>
      </c>
      <c r="E464" s="8">
        <v>116000000000</v>
      </c>
      <c r="F464" s="8">
        <v>17823897</v>
      </c>
      <c r="G464" s="8">
        <v>5.8684235490000001</v>
      </c>
      <c r="H464" s="8">
        <v>61.880792820000003</v>
      </c>
      <c r="I464" s="8">
        <v>3969.99</v>
      </c>
      <c r="J464" s="8">
        <v>6508.12</v>
      </c>
      <c r="K464" s="8">
        <v>61</v>
      </c>
      <c r="L464" s="8">
        <v>59</v>
      </c>
      <c r="M464" s="8">
        <v>53398399688.74398</v>
      </c>
      <c r="N464" s="8">
        <v>32.51</v>
      </c>
      <c r="O464" s="8" t="str">
        <f>vw_scenario_analysis_dataset[[#This Row],[reporter_name]] &amp; "-" &amp; vw_scenario_analysis_dataset[[#This Row],[reference_year]]</f>
        <v>Ecuador-2022</v>
      </c>
    </row>
    <row r="465" spans="1:15" x14ac:dyDescent="0.3">
      <c r="A465" s="8" t="s">
        <v>116</v>
      </c>
      <c r="B465" s="8" t="s">
        <v>117</v>
      </c>
      <c r="C465" s="8">
        <v>2023</v>
      </c>
      <c r="D465" s="8">
        <v>62252848152.600014</v>
      </c>
      <c r="E465" s="8">
        <v>121000000000</v>
      </c>
      <c r="F465" s="8">
        <v>17980083</v>
      </c>
      <c r="G465" s="8">
        <v>1.832840611</v>
      </c>
      <c r="H465" s="8">
        <v>57.162693830000002</v>
      </c>
      <c r="I465" s="8">
        <v>3462.32</v>
      </c>
      <c r="J465" s="8">
        <v>6729.67</v>
      </c>
      <c r="K465" s="8">
        <v>51.45</v>
      </c>
      <c r="L465" s="8">
        <v>58</v>
      </c>
      <c r="M465" s="8">
        <v>70760723413.999985</v>
      </c>
      <c r="N465" s="8">
        <v>-12.02</v>
      </c>
      <c r="O465" s="8" t="str">
        <f>vw_scenario_analysis_dataset[[#This Row],[reporter_name]] &amp; "-" &amp; vw_scenario_analysis_dataset[[#This Row],[reference_year]]</f>
        <v>Ecuador-2023</v>
      </c>
    </row>
    <row r="466" spans="1:15" x14ac:dyDescent="0.3">
      <c r="A466" s="8" t="s">
        <v>116</v>
      </c>
      <c r="B466" s="8" t="s">
        <v>117</v>
      </c>
      <c r="C466" s="8">
        <v>2024</v>
      </c>
      <c r="D466" s="8">
        <v>63116193242.536041</v>
      </c>
      <c r="E466" s="8">
        <v>124000000000</v>
      </c>
      <c r="F466" s="8">
        <v>18135478</v>
      </c>
      <c r="G466" s="8">
        <v>-1.9440902250000001</v>
      </c>
      <c r="H466" s="8">
        <v>57.443644820000003</v>
      </c>
      <c r="I466" s="8">
        <v>3480.26</v>
      </c>
      <c r="J466" s="8">
        <v>6837.43</v>
      </c>
      <c r="K466" s="8">
        <v>50.9</v>
      </c>
      <c r="L466" s="8">
        <v>58</v>
      </c>
      <c r="M466" s="8">
        <v>62252848152.600014</v>
      </c>
      <c r="N466" s="8">
        <v>1.39</v>
      </c>
      <c r="O466" s="8" t="str">
        <f>vw_scenario_analysis_dataset[[#This Row],[reporter_name]] &amp; "-" &amp; vw_scenario_analysis_dataset[[#This Row],[reference_year]]</f>
        <v>Ecuador-2024</v>
      </c>
    </row>
    <row r="467" spans="1:15" x14ac:dyDescent="0.3">
      <c r="A467" s="8" t="s">
        <v>118</v>
      </c>
      <c r="B467" s="8" t="s">
        <v>119</v>
      </c>
      <c r="C467" s="8">
        <v>2015</v>
      </c>
      <c r="D467" s="8">
        <v>43717547649.941994</v>
      </c>
      <c r="E467" s="8">
        <v>329000000000</v>
      </c>
      <c r="F467" s="8">
        <v>99597342</v>
      </c>
      <c r="G467" s="8">
        <v>4.3720190780000001</v>
      </c>
      <c r="H467" s="8">
        <v>34.845942960000002</v>
      </c>
      <c r="I467" s="8">
        <v>438.94</v>
      </c>
      <c r="J467" s="8">
        <v>3303.3</v>
      </c>
      <c r="K467" s="8">
        <v>13.29</v>
      </c>
      <c r="L467" s="8">
        <v>63</v>
      </c>
      <c r="M467" s="8"/>
      <c r="N467" s="8"/>
      <c r="O467" s="8" t="str">
        <f>vw_scenario_analysis_dataset[[#This Row],[reporter_name]] &amp; "-" &amp; vw_scenario_analysis_dataset[[#This Row],[reference_year]]</f>
        <v>Egypt-2015</v>
      </c>
    </row>
    <row r="468" spans="1:15" x14ac:dyDescent="0.3">
      <c r="A468" s="8" t="s">
        <v>118</v>
      </c>
      <c r="B468" s="8" t="s">
        <v>119</v>
      </c>
      <c r="C468" s="8">
        <v>2016</v>
      </c>
      <c r="D468" s="8">
        <v>45946737708.784981</v>
      </c>
      <c r="E468" s="8">
        <v>332000000000</v>
      </c>
      <c r="F468" s="8">
        <v>101644589</v>
      </c>
      <c r="G468" s="8">
        <v>4.3466434559999998</v>
      </c>
      <c r="H468" s="8">
        <v>30.246549049999999</v>
      </c>
      <c r="I468" s="8">
        <v>452.03</v>
      </c>
      <c r="J468" s="8">
        <v>3266.28</v>
      </c>
      <c r="K468" s="8">
        <v>13.84</v>
      </c>
      <c r="L468" s="8">
        <v>61</v>
      </c>
      <c r="M468" s="8">
        <v>43717547649.941994</v>
      </c>
      <c r="N468" s="8">
        <v>5.0999999999999996</v>
      </c>
      <c r="O468" s="8" t="str">
        <f>vw_scenario_analysis_dataset[[#This Row],[reporter_name]] &amp; "-" &amp; vw_scenario_analysis_dataset[[#This Row],[reference_year]]</f>
        <v>Egypt-2016</v>
      </c>
    </row>
    <row r="469" spans="1:15" x14ac:dyDescent="0.3">
      <c r="A469" s="8" t="s">
        <v>118</v>
      </c>
      <c r="B469" s="8" t="s">
        <v>119</v>
      </c>
      <c r="C469" s="8">
        <v>2017</v>
      </c>
      <c r="D469" s="8">
        <v>52868076959.884041</v>
      </c>
      <c r="E469" s="8">
        <v>248000000000</v>
      </c>
      <c r="F469" s="8">
        <v>103696057</v>
      </c>
      <c r="G469" s="8">
        <v>4.1812209999999999</v>
      </c>
      <c r="H469" s="8">
        <v>42.832134359999998</v>
      </c>
      <c r="I469" s="8">
        <v>509.84</v>
      </c>
      <c r="J469" s="8">
        <v>2391.6</v>
      </c>
      <c r="K469" s="8">
        <v>21.32</v>
      </c>
      <c r="L469" s="8">
        <v>60</v>
      </c>
      <c r="M469" s="8">
        <v>45946737708.784981</v>
      </c>
      <c r="N469" s="8">
        <v>15.06</v>
      </c>
      <c r="O469" s="8" t="str">
        <f>vw_scenario_analysis_dataset[[#This Row],[reporter_name]] &amp; "-" &amp; vw_scenario_analysis_dataset[[#This Row],[reference_year]]</f>
        <v>Egypt-2017</v>
      </c>
    </row>
    <row r="470" spans="1:15" x14ac:dyDescent="0.3">
      <c r="A470" s="8" t="s">
        <v>118</v>
      </c>
      <c r="B470" s="8" t="s">
        <v>119</v>
      </c>
      <c r="C470" s="8">
        <v>2018</v>
      </c>
      <c r="D470" s="8">
        <v>58607745146.746002</v>
      </c>
      <c r="E470" s="8">
        <v>263000000000</v>
      </c>
      <c r="F470" s="8">
        <v>105682094</v>
      </c>
      <c r="G470" s="8">
        <v>5.3311086190000001</v>
      </c>
      <c r="H470" s="8">
        <v>45.911019670000002</v>
      </c>
      <c r="I470" s="8">
        <v>554.57000000000005</v>
      </c>
      <c r="J470" s="8">
        <v>2488.6</v>
      </c>
      <c r="K470" s="8">
        <v>22.28</v>
      </c>
      <c r="L470" s="8">
        <v>61</v>
      </c>
      <c r="M470" s="8">
        <v>52868076959.884041</v>
      </c>
      <c r="N470" s="8">
        <v>10.86</v>
      </c>
      <c r="O470" s="8" t="str">
        <f>vw_scenario_analysis_dataset[[#This Row],[reporter_name]] &amp; "-" &amp; vw_scenario_analysis_dataset[[#This Row],[reference_year]]</f>
        <v>Egypt-2018</v>
      </c>
    </row>
    <row r="471" spans="1:15" x14ac:dyDescent="0.3">
      <c r="A471" s="8" t="s">
        <v>118</v>
      </c>
      <c r="B471" s="8" t="s">
        <v>119</v>
      </c>
      <c r="C471" s="8">
        <v>2019</v>
      </c>
      <c r="D471" s="8">
        <v>61010503367.103981</v>
      </c>
      <c r="E471" s="8">
        <v>319000000000</v>
      </c>
      <c r="F471" s="8">
        <v>107553158</v>
      </c>
      <c r="G471" s="8">
        <v>5.5520930709999998</v>
      </c>
      <c r="H471" s="8">
        <v>41.124017160000001</v>
      </c>
      <c r="I471" s="8">
        <v>567.26</v>
      </c>
      <c r="J471" s="8">
        <v>2965.98</v>
      </c>
      <c r="K471" s="8">
        <v>19.13</v>
      </c>
      <c r="L471" s="8">
        <v>58</v>
      </c>
      <c r="M471" s="8">
        <v>58607745146.746002</v>
      </c>
      <c r="N471" s="8">
        <v>4.0999999999999996</v>
      </c>
      <c r="O471" s="8" t="str">
        <f>vw_scenario_analysis_dataset[[#This Row],[reporter_name]] &amp; "-" &amp; vw_scenario_analysis_dataset[[#This Row],[reference_year]]</f>
        <v>Egypt-2019</v>
      </c>
    </row>
    <row r="472" spans="1:15" x14ac:dyDescent="0.3">
      <c r="A472" s="8" t="s">
        <v>118</v>
      </c>
      <c r="B472" s="8" t="s">
        <v>119</v>
      </c>
      <c r="C472" s="8">
        <v>2020</v>
      </c>
      <c r="D472" s="8">
        <v>58645839189.571976</v>
      </c>
      <c r="E472" s="8">
        <v>384000000000</v>
      </c>
      <c r="F472" s="8">
        <v>109315124</v>
      </c>
      <c r="G472" s="8">
        <v>3.5501648389999998</v>
      </c>
      <c r="H472" s="8">
        <v>32.126255569999998</v>
      </c>
      <c r="I472" s="8">
        <v>536.48</v>
      </c>
      <c r="J472" s="8">
        <v>3512.78</v>
      </c>
      <c r="K472" s="8">
        <v>15.27</v>
      </c>
      <c r="L472" s="8">
        <v>56</v>
      </c>
      <c r="M472" s="8">
        <v>61010503367.103981</v>
      </c>
      <c r="N472" s="8">
        <v>-3.88</v>
      </c>
      <c r="O472" s="8" t="str">
        <f>vw_scenario_analysis_dataset[[#This Row],[reporter_name]] &amp; "-" &amp; vw_scenario_analysis_dataset[[#This Row],[reference_year]]</f>
        <v>Egypt-2020</v>
      </c>
    </row>
    <row r="473" spans="1:15" x14ac:dyDescent="0.3">
      <c r="A473" s="8" t="s">
        <v>118</v>
      </c>
      <c r="B473" s="8" t="s">
        <v>119</v>
      </c>
      <c r="C473" s="8">
        <v>2021</v>
      </c>
      <c r="D473" s="8">
        <v>87273703978.528961</v>
      </c>
      <c r="E473" s="8">
        <v>425000000000</v>
      </c>
      <c r="F473" s="8">
        <v>110957008</v>
      </c>
      <c r="G473" s="8">
        <v>3.2906460119999998</v>
      </c>
      <c r="H473" s="8">
        <v>29.856973480000001</v>
      </c>
      <c r="I473" s="8">
        <v>786.55</v>
      </c>
      <c r="J473" s="8">
        <v>3830.31</v>
      </c>
      <c r="K473" s="8">
        <v>20.53</v>
      </c>
      <c r="L473" s="8">
        <v>53</v>
      </c>
      <c r="M473" s="8">
        <v>58645839189.571976</v>
      </c>
      <c r="N473" s="8">
        <v>48.81</v>
      </c>
      <c r="O473" s="8" t="str">
        <f>vw_scenario_analysis_dataset[[#This Row],[reporter_name]] &amp; "-" &amp; vw_scenario_analysis_dataset[[#This Row],[reference_year]]</f>
        <v>Egypt-2021</v>
      </c>
    </row>
    <row r="474" spans="1:15" x14ac:dyDescent="0.3">
      <c r="A474" s="8" t="s">
        <v>118</v>
      </c>
      <c r="B474" s="8" t="s">
        <v>119</v>
      </c>
      <c r="C474" s="8">
        <v>2022</v>
      </c>
      <c r="D474" s="8">
        <v>104231455826.59399</v>
      </c>
      <c r="E474" s="8">
        <v>477000000000</v>
      </c>
      <c r="F474" s="8">
        <v>112618250</v>
      </c>
      <c r="G474" s="8">
        <v>6.5878456090000004</v>
      </c>
      <c r="H474" s="8">
        <v>36.983104879999999</v>
      </c>
      <c r="I474" s="8">
        <v>925.53</v>
      </c>
      <c r="J474" s="8">
        <v>4235.55</v>
      </c>
      <c r="K474" s="8">
        <v>21.85</v>
      </c>
      <c r="L474" s="8">
        <v>51</v>
      </c>
      <c r="M474" s="8">
        <v>87273703978.528961</v>
      </c>
      <c r="N474" s="8">
        <v>19.43</v>
      </c>
      <c r="O474" s="8" t="str">
        <f>vw_scenario_analysis_dataset[[#This Row],[reporter_name]] &amp; "-" &amp; vw_scenario_analysis_dataset[[#This Row],[reference_year]]</f>
        <v>Egypt-2022</v>
      </c>
    </row>
    <row r="475" spans="1:15" x14ac:dyDescent="0.3">
      <c r="A475" s="8" t="s">
        <v>118</v>
      </c>
      <c r="B475" s="8" t="s">
        <v>119</v>
      </c>
      <c r="C475" s="8">
        <v>2023</v>
      </c>
      <c r="D475" s="8">
        <v>85106486302.263062</v>
      </c>
      <c r="E475" s="8">
        <v>396000000000</v>
      </c>
      <c r="F475" s="8">
        <v>114535772</v>
      </c>
      <c r="G475" s="8">
        <v>3.760280523</v>
      </c>
      <c r="H475" s="8">
        <v>40.450400770000002</v>
      </c>
      <c r="I475" s="8">
        <v>743.06</v>
      </c>
      <c r="J475" s="8">
        <v>3457.44</v>
      </c>
      <c r="K475" s="8">
        <v>21.49</v>
      </c>
      <c r="L475" s="8">
        <v>52</v>
      </c>
      <c r="M475" s="8">
        <v>104231455826.59399</v>
      </c>
      <c r="N475" s="8">
        <v>-18.350000000000001</v>
      </c>
      <c r="O475" s="8" t="str">
        <f>vw_scenario_analysis_dataset[[#This Row],[reporter_name]] &amp; "-" &amp; vw_scenario_analysis_dataset[[#This Row],[reference_year]]</f>
        <v>Egypt-2023</v>
      </c>
    </row>
    <row r="476" spans="1:15" x14ac:dyDescent="0.3">
      <c r="A476" s="8" t="s">
        <v>118</v>
      </c>
      <c r="B476" s="8" t="s">
        <v>119</v>
      </c>
      <c r="C476" s="8">
        <v>2024</v>
      </c>
      <c r="D476" s="8">
        <v>89693742702.608994</v>
      </c>
      <c r="E476" s="8">
        <v>389000000000</v>
      </c>
      <c r="F476" s="8">
        <v>116538258</v>
      </c>
      <c r="G476" s="8">
        <v>2.3991692680000001</v>
      </c>
      <c r="H476" s="8">
        <v>39.60075209</v>
      </c>
      <c r="I476" s="8">
        <v>769.65</v>
      </c>
      <c r="J476" s="8">
        <v>3337.96</v>
      </c>
      <c r="K476" s="8">
        <v>23.06</v>
      </c>
      <c r="L476" s="8">
        <v>51</v>
      </c>
      <c r="M476" s="8">
        <v>85106486302.263062</v>
      </c>
      <c r="N476" s="8">
        <v>5.39</v>
      </c>
      <c r="O476" s="8" t="str">
        <f>vw_scenario_analysis_dataset[[#This Row],[reporter_name]] &amp; "-" &amp; vw_scenario_analysis_dataset[[#This Row],[reference_year]]</f>
        <v>Egypt-2024</v>
      </c>
    </row>
    <row r="477" spans="1:15" x14ac:dyDescent="0.3">
      <c r="A477" s="8" t="s">
        <v>120</v>
      </c>
      <c r="B477" s="8" t="s">
        <v>121</v>
      </c>
      <c r="C477" s="8">
        <v>2015</v>
      </c>
      <c r="D477" s="8">
        <v>553917023428.79993</v>
      </c>
      <c r="E477" s="8">
        <v>1210000000000</v>
      </c>
      <c r="F477" s="8">
        <v>46422303</v>
      </c>
      <c r="G477" s="8">
        <v>4.0608667250000003</v>
      </c>
      <c r="H477" s="8">
        <v>63.582041220000001</v>
      </c>
      <c r="I477" s="8">
        <v>11932.13</v>
      </c>
      <c r="J477" s="8">
        <v>26065.06</v>
      </c>
      <c r="K477" s="8">
        <v>45.78</v>
      </c>
      <c r="L477" s="8">
        <v>15</v>
      </c>
      <c r="M477" s="8"/>
      <c r="N477" s="8"/>
      <c r="O477" s="8" t="str">
        <f>vw_scenario_analysis_dataset[[#This Row],[reporter_name]] &amp; "-" &amp; vw_scenario_analysis_dataset[[#This Row],[reference_year]]</f>
        <v>Spain-2015</v>
      </c>
    </row>
    <row r="478" spans="1:15" x14ac:dyDescent="0.3">
      <c r="A478" s="8" t="s">
        <v>120</v>
      </c>
      <c r="B478" s="8" t="s">
        <v>121</v>
      </c>
      <c r="C478" s="8">
        <v>2016</v>
      </c>
      <c r="D478" s="8">
        <v>567522131724.59558</v>
      </c>
      <c r="E478" s="8">
        <v>1240000000000</v>
      </c>
      <c r="F478" s="8">
        <v>46458139</v>
      </c>
      <c r="G478" s="8">
        <v>2.9151559859999998</v>
      </c>
      <c r="H478" s="8">
        <v>63.188677849999998</v>
      </c>
      <c r="I478" s="8">
        <v>12215.77</v>
      </c>
      <c r="J478" s="8">
        <v>26690.69</v>
      </c>
      <c r="K478" s="8">
        <v>45.77</v>
      </c>
      <c r="L478" s="8">
        <v>15</v>
      </c>
      <c r="M478" s="8">
        <v>553917023428.79993</v>
      </c>
      <c r="N478" s="8">
        <v>2.46</v>
      </c>
      <c r="O478" s="8" t="str">
        <f>vw_scenario_analysis_dataset[[#This Row],[reporter_name]] &amp; "-" &amp; vw_scenario_analysis_dataset[[#This Row],[reference_year]]</f>
        <v>Spain-2016</v>
      </c>
    </row>
    <row r="479" spans="1:15" x14ac:dyDescent="0.3">
      <c r="A479" s="8" t="s">
        <v>120</v>
      </c>
      <c r="B479" s="8" t="s">
        <v>121</v>
      </c>
      <c r="C479" s="8">
        <v>2017</v>
      </c>
      <c r="D479" s="8">
        <v>623906789611.72253</v>
      </c>
      <c r="E479" s="8">
        <v>1320000000000</v>
      </c>
      <c r="F479" s="8">
        <v>46571232</v>
      </c>
      <c r="G479" s="8">
        <v>2.8960420789999999</v>
      </c>
      <c r="H479" s="8">
        <v>66.167446139999996</v>
      </c>
      <c r="I479" s="8">
        <v>13396.83</v>
      </c>
      <c r="J479" s="8">
        <v>28343.68</v>
      </c>
      <c r="K479" s="8">
        <v>47.27</v>
      </c>
      <c r="L479" s="8">
        <v>15</v>
      </c>
      <c r="M479" s="8">
        <v>567522131724.59558</v>
      </c>
      <c r="N479" s="8">
        <v>9.94</v>
      </c>
      <c r="O479" s="8" t="str">
        <f>vw_scenario_analysis_dataset[[#This Row],[reporter_name]] &amp; "-" &amp; vw_scenario_analysis_dataset[[#This Row],[reference_year]]</f>
        <v>Spain-2017</v>
      </c>
    </row>
    <row r="480" spans="1:15" x14ac:dyDescent="0.3">
      <c r="A480" s="8" t="s">
        <v>120</v>
      </c>
      <c r="B480" s="8" t="s">
        <v>121</v>
      </c>
      <c r="C480" s="8">
        <v>2018</v>
      </c>
      <c r="D480" s="8">
        <v>692128630102.28186</v>
      </c>
      <c r="E480" s="8">
        <v>1430000000000</v>
      </c>
      <c r="F480" s="8">
        <v>46782011</v>
      </c>
      <c r="G480" s="8">
        <v>2.395411245</v>
      </c>
      <c r="H480" s="8">
        <v>67.009410399999993</v>
      </c>
      <c r="I480" s="8">
        <v>14794.76</v>
      </c>
      <c r="J480" s="8">
        <v>30567.31</v>
      </c>
      <c r="K480" s="8">
        <v>48.4</v>
      </c>
      <c r="L480" s="8">
        <v>15</v>
      </c>
      <c r="M480" s="8">
        <v>623906789611.72253</v>
      </c>
      <c r="N480" s="8">
        <v>10.93</v>
      </c>
      <c r="O480" s="8" t="str">
        <f>vw_scenario_analysis_dataset[[#This Row],[reporter_name]] &amp; "-" &amp; vw_scenario_analysis_dataset[[#This Row],[reference_year]]</f>
        <v>Spain-2018</v>
      </c>
    </row>
    <row r="481" spans="1:15" x14ac:dyDescent="0.3">
      <c r="A481" s="8" t="s">
        <v>120</v>
      </c>
      <c r="B481" s="8" t="s">
        <v>121</v>
      </c>
      <c r="C481" s="8">
        <v>2019</v>
      </c>
      <c r="D481" s="8">
        <v>674405202815.61597</v>
      </c>
      <c r="E481" s="8">
        <v>1400000000000</v>
      </c>
      <c r="F481" s="8">
        <v>47118501</v>
      </c>
      <c r="G481" s="8">
        <v>1.9611785079999999</v>
      </c>
      <c r="H481" s="8">
        <v>66.366225040000003</v>
      </c>
      <c r="I481" s="8">
        <v>14312.96</v>
      </c>
      <c r="J481" s="8">
        <v>29712.32</v>
      </c>
      <c r="K481" s="8">
        <v>48.17</v>
      </c>
      <c r="L481" s="8">
        <v>15</v>
      </c>
      <c r="M481" s="8">
        <v>692128630102.28186</v>
      </c>
      <c r="N481" s="8">
        <v>-2.56</v>
      </c>
      <c r="O481" s="8" t="str">
        <f>vw_scenario_analysis_dataset[[#This Row],[reporter_name]] &amp; "-" &amp; vw_scenario_analysis_dataset[[#This Row],[reference_year]]</f>
        <v>Spain-2019</v>
      </c>
    </row>
    <row r="482" spans="1:15" x14ac:dyDescent="0.3">
      <c r="A482" s="8" t="s">
        <v>120</v>
      </c>
      <c r="B482" s="8" t="s">
        <v>121</v>
      </c>
      <c r="C482" s="8">
        <v>2020</v>
      </c>
      <c r="D482" s="8">
        <v>624161026842.302</v>
      </c>
      <c r="E482" s="8">
        <v>1290000000000</v>
      </c>
      <c r="F482" s="8">
        <v>47359424</v>
      </c>
      <c r="G482" s="8">
        <v>-10.94007064</v>
      </c>
      <c r="H482" s="8">
        <v>59.446128010000002</v>
      </c>
      <c r="I482" s="8">
        <v>13179.24</v>
      </c>
      <c r="J482" s="8">
        <v>27238.51</v>
      </c>
      <c r="K482" s="8">
        <v>48.38</v>
      </c>
      <c r="L482" s="8">
        <v>15</v>
      </c>
      <c r="M482" s="8">
        <v>674405202815.61597</v>
      </c>
      <c r="N482" s="8">
        <v>-7.45</v>
      </c>
      <c r="O482" s="8" t="str">
        <f>vw_scenario_analysis_dataset[[#This Row],[reporter_name]] &amp; "-" &amp; vw_scenario_analysis_dataset[[#This Row],[reference_year]]</f>
        <v>Spain-2020</v>
      </c>
    </row>
    <row r="483" spans="1:15" x14ac:dyDescent="0.3">
      <c r="A483" s="8" t="s">
        <v>120</v>
      </c>
      <c r="B483" s="8" t="s">
        <v>121</v>
      </c>
      <c r="C483" s="8">
        <v>2021</v>
      </c>
      <c r="D483" s="8">
        <v>783117038953.349</v>
      </c>
      <c r="E483" s="8">
        <v>1460000000000</v>
      </c>
      <c r="F483" s="8">
        <v>47443821</v>
      </c>
      <c r="G483" s="8">
        <v>6.6831442049999996</v>
      </c>
      <c r="H483" s="8">
        <v>66.524588940000001</v>
      </c>
      <c r="I483" s="8">
        <v>16506.2</v>
      </c>
      <c r="J483" s="8">
        <v>30773.24</v>
      </c>
      <c r="K483" s="8">
        <v>53.64</v>
      </c>
      <c r="L483" s="8">
        <v>16</v>
      </c>
      <c r="M483" s="8">
        <v>624161026842.302</v>
      </c>
      <c r="N483" s="8">
        <v>25.47</v>
      </c>
      <c r="O483" s="8" t="str">
        <f>vw_scenario_analysis_dataset[[#This Row],[reporter_name]] &amp; "-" &amp; vw_scenario_analysis_dataset[[#This Row],[reference_year]]</f>
        <v>Spain-2021</v>
      </c>
    </row>
    <row r="484" spans="1:15" x14ac:dyDescent="0.3">
      <c r="A484" s="8" t="s">
        <v>120</v>
      </c>
      <c r="B484" s="8" t="s">
        <v>121</v>
      </c>
      <c r="C484" s="8">
        <v>2022</v>
      </c>
      <c r="D484" s="8">
        <v>848572109619.80359</v>
      </c>
      <c r="E484" s="8">
        <v>1450000000000</v>
      </c>
      <c r="F484" s="8">
        <v>47786102</v>
      </c>
      <c r="G484" s="8">
        <v>6.3703171210000002</v>
      </c>
      <c r="H484" s="8">
        <v>78.465733869999994</v>
      </c>
      <c r="I484" s="8">
        <v>17757.72</v>
      </c>
      <c r="J484" s="8">
        <v>30343.55</v>
      </c>
      <c r="K484" s="8">
        <v>58.52</v>
      </c>
      <c r="L484" s="8">
        <v>16</v>
      </c>
      <c r="M484" s="8">
        <v>783117038953.349</v>
      </c>
      <c r="N484" s="8">
        <v>8.36</v>
      </c>
      <c r="O484" s="8" t="str">
        <f>vw_scenario_analysis_dataset[[#This Row],[reporter_name]] &amp; "-" &amp; vw_scenario_analysis_dataset[[#This Row],[reference_year]]</f>
        <v>Spain-2022</v>
      </c>
    </row>
    <row r="485" spans="1:15" x14ac:dyDescent="0.3">
      <c r="A485" s="8" t="s">
        <v>120</v>
      </c>
      <c r="B485" s="8" t="s">
        <v>121</v>
      </c>
      <c r="C485" s="8">
        <v>2023</v>
      </c>
      <c r="D485" s="8">
        <v>840339182005.09827</v>
      </c>
      <c r="E485" s="8">
        <v>1620000000000</v>
      </c>
      <c r="F485" s="8">
        <v>48352528</v>
      </c>
      <c r="G485" s="8">
        <v>2.460857968</v>
      </c>
      <c r="H485" s="8">
        <v>71.797636609999998</v>
      </c>
      <c r="I485" s="8">
        <v>17379.43</v>
      </c>
      <c r="J485" s="8">
        <v>33503.94</v>
      </c>
      <c r="K485" s="8">
        <v>51.87</v>
      </c>
      <c r="L485" s="8">
        <v>15</v>
      </c>
      <c r="M485" s="8">
        <v>848572109619.80359</v>
      </c>
      <c r="N485" s="8">
        <v>-0.97</v>
      </c>
      <c r="O485" s="8" t="str">
        <f>vw_scenario_analysis_dataset[[#This Row],[reporter_name]] &amp; "-" &amp; vw_scenario_analysis_dataset[[#This Row],[reference_year]]</f>
        <v>Spain-2023</v>
      </c>
    </row>
    <row r="486" spans="1:15" x14ac:dyDescent="0.3">
      <c r="A486" s="8" t="s">
        <v>120</v>
      </c>
      <c r="B486" s="8" t="s">
        <v>121</v>
      </c>
      <c r="C486" s="8">
        <v>2024</v>
      </c>
      <c r="D486" s="8">
        <v>807405878311.62195</v>
      </c>
      <c r="E486" s="8">
        <v>1730000000000</v>
      </c>
      <c r="F486" s="8">
        <v>48848840</v>
      </c>
      <c r="G486" s="8">
        <v>3.4552540559999998</v>
      </c>
      <c r="H486" s="8">
        <v>69.950261240000003</v>
      </c>
      <c r="I486" s="8">
        <v>16528.66</v>
      </c>
      <c r="J486" s="8">
        <v>35415.379999999997</v>
      </c>
      <c r="K486" s="8">
        <v>46.67</v>
      </c>
      <c r="L486" s="8">
        <v>14</v>
      </c>
      <c r="M486" s="8">
        <v>840339182005.09827</v>
      </c>
      <c r="N486" s="8">
        <v>-3.92</v>
      </c>
      <c r="O486" s="8" t="str">
        <f>vw_scenario_analysis_dataset[[#This Row],[reporter_name]] &amp; "-" &amp; vw_scenario_analysis_dataset[[#This Row],[reference_year]]</f>
        <v>Spain-2024</v>
      </c>
    </row>
    <row r="487" spans="1:15" x14ac:dyDescent="0.3">
      <c r="A487" s="8" t="s">
        <v>122</v>
      </c>
      <c r="B487" s="8" t="s">
        <v>123</v>
      </c>
      <c r="C487" s="8">
        <v>2015</v>
      </c>
      <c r="D487" s="8">
        <v>27815219896</v>
      </c>
      <c r="E487" s="8">
        <v>23311847751</v>
      </c>
      <c r="F487" s="8">
        <v>1315407</v>
      </c>
      <c r="G487" s="8">
        <v>1.8381526290000001</v>
      </c>
      <c r="H487" s="8">
        <v>148.5071571</v>
      </c>
      <c r="I487" s="8">
        <v>21145.71</v>
      </c>
      <c r="J487" s="8">
        <v>17722.16</v>
      </c>
      <c r="K487" s="8">
        <v>119.32</v>
      </c>
      <c r="L487" s="8">
        <v>66</v>
      </c>
      <c r="M487" s="8"/>
      <c r="N487" s="8"/>
      <c r="O487" s="8" t="str">
        <f>vw_scenario_analysis_dataset[[#This Row],[reporter_name]] &amp; "-" &amp; vw_scenario_analysis_dataset[[#This Row],[reference_year]]</f>
        <v>Estonia-2015</v>
      </c>
    </row>
    <row r="488" spans="1:15" x14ac:dyDescent="0.3">
      <c r="A488" s="8" t="s">
        <v>122</v>
      </c>
      <c r="B488" s="8" t="s">
        <v>123</v>
      </c>
      <c r="C488" s="8">
        <v>2016</v>
      </c>
      <c r="D488" s="8">
        <v>27934858851.578003</v>
      </c>
      <c r="E488" s="8">
        <v>24561027788</v>
      </c>
      <c r="F488" s="8">
        <v>1315790</v>
      </c>
      <c r="G488" s="8">
        <v>3.0930192079999999</v>
      </c>
      <c r="H488" s="8">
        <v>147.74623270000001</v>
      </c>
      <c r="I488" s="8">
        <v>21230.48</v>
      </c>
      <c r="J488" s="8">
        <v>18666.37</v>
      </c>
      <c r="K488" s="8">
        <v>113.74</v>
      </c>
      <c r="L488" s="8">
        <v>67</v>
      </c>
      <c r="M488" s="8">
        <v>27815219896</v>
      </c>
      <c r="N488" s="8">
        <v>0.43</v>
      </c>
      <c r="O488" s="8" t="str">
        <f>vw_scenario_analysis_dataset[[#This Row],[reporter_name]] &amp; "-" &amp; vw_scenario_analysis_dataset[[#This Row],[reference_year]]</f>
        <v>Estonia-2016</v>
      </c>
    </row>
    <row r="489" spans="1:15" x14ac:dyDescent="0.3">
      <c r="A489" s="8" t="s">
        <v>122</v>
      </c>
      <c r="B489" s="8" t="s">
        <v>123</v>
      </c>
      <c r="C489" s="8">
        <v>2017</v>
      </c>
      <c r="D489" s="8">
        <v>30775470925.424011</v>
      </c>
      <c r="E489" s="8">
        <v>27469461919</v>
      </c>
      <c r="F489" s="8">
        <v>1317384</v>
      </c>
      <c r="G489" s="8">
        <v>5.6346724899999998</v>
      </c>
      <c r="H489" s="8">
        <v>144.6356509</v>
      </c>
      <c r="I489" s="8">
        <v>23361.05</v>
      </c>
      <c r="J489" s="8">
        <v>20851.52</v>
      </c>
      <c r="K489" s="8">
        <v>112.04</v>
      </c>
      <c r="L489" s="8">
        <v>67</v>
      </c>
      <c r="M489" s="8">
        <v>27934858851.578003</v>
      </c>
      <c r="N489" s="8">
        <v>10.17</v>
      </c>
      <c r="O489" s="8" t="str">
        <f>vw_scenario_analysis_dataset[[#This Row],[reporter_name]] &amp; "-" &amp; vw_scenario_analysis_dataset[[#This Row],[reference_year]]</f>
        <v>Estonia-2017</v>
      </c>
    </row>
    <row r="490" spans="1:15" x14ac:dyDescent="0.3">
      <c r="A490" s="8" t="s">
        <v>122</v>
      </c>
      <c r="B490" s="8" t="s">
        <v>123</v>
      </c>
      <c r="C490" s="8">
        <v>2018</v>
      </c>
      <c r="D490" s="8">
        <v>35702955421.402992</v>
      </c>
      <c r="E490" s="8">
        <v>31222632741</v>
      </c>
      <c r="F490" s="8">
        <v>1321977</v>
      </c>
      <c r="G490" s="8">
        <v>3.6996975619999999</v>
      </c>
      <c r="H490" s="8">
        <v>143.48522489999999</v>
      </c>
      <c r="I490" s="8">
        <v>27007.24</v>
      </c>
      <c r="J490" s="8">
        <v>23618.14</v>
      </c>
      <c r="K490" s="8">
        <v>114.35</v>
      </c>
      <c r="L490" s="8">
        <v>67</v>
      </c>
      <c r="M490" s="8">
        <v>30775470925.424011</v>
      </c>
      <c r="N490" s="8">
        <v>16.010000000000002</v>
      </c>
      <c r="O490" s="8" t="str">
        <f>vw_scenario_analysis_dataset[[#This Row],[reporter_name]] &amp; "-" &amp; vw_scenario_analysis_dataset[[#This Row],[reference_year]]</f>
        <v>Estonia-2018</v>
      </c>
    </row>
    <row r="491" spans="1:15" x14ac:dyDescent="0.3">
      <c r="A491" s="8" t="s">
        <v>122</v>
      </c>
      <c r="B491" s="8" t="s">
        <v>123</v>
      </c>
      <c r="C491" s="8">
        <v>2019</v>
      </c>
      <c r="D491" s="8">
        <v>33614816940.453979</v>
      </c>
      <c r="E491" s="8">
        <v>31873748770</v>
      </c>
      <c r="F491" s="8">
        <v>1326898</v>
      </c>
      <c r="G491" s="8">
        <v>3.7266494350000001</v>
      </c>
      <c r="H491" s="8">
        <v>140.352148</v>
      </c>
      <c r="I491" s="8">
        <v>25333.38</v>
      </c>
      <c r="J491" s="8">
        <v>24021.25</v>
      </c>
      <c r="K491" s="8">
        <v>105.46</v>
      </c>
      <c r="L491" s="8">
        <v>67</v>
      </c>
      <c r="M491" s="8">
        <v>35702955421.402992</v>
      </c>
      <c r="N491" s="8">
        <v>-5.85</v>
      </c>
      <c r="O491" s="8" t="str">
        <f>vw_scenario_analysis_dataset[[#This Row],[reporter_name]] &amp; "-" &amp; vw_scenario_analysis_dataset[[#This Row],[reference_year]]</f>
        <v>Estonia-2019</v>
      </c>
    </row>
    <row r="492" spans="1:15" x14ac:dyDescent="0.3">
      <c r="A492" s="8" t="s">
        <v>122</v>
      </c>
      <c r="B492" s="8" t="s">
        <v>123</v>
      </c>
      <c r="C492" s="8">
        <v>2020</v>
      </c>
      <c r="D492" s="8">
        <v>33803198128.179989</v>
      </c>
      <c r="E492" s="8">
        <v>31820771494</v>
      </c>
      <c r="F492" s="8">
        <v>1329522</v>
      </c>
      <c r="G492" s="8">
        <v>-2.883807515</v>
      </c>
      <c r="H492" s="8">
        <v>137.39264130000001</v>
      </c>
      <c r="I492" s="8">
        <v>25425.08</v>
      </c>
      <c r="J492" s="8">
        <v>23933.99</v>
      </c>
      <c r="K492" s="8">
        <v>106.23</v>
      </c>
      <c r="L492" s="8">
        <v>66</v>
      </c>
      <c r="M492" s="8">
        <v>33614816940.453979</v>
      </c>
      <c r="N492" s="8">
        <v>0.56000000000000005</v>
      </c>
      <c r="O492" s="8" t="str">
        <f>vw_scenario_analysis_dataset[[#This Row],[reporter_name]] &amp; "-" &amp; vw_scenario_analysis_dataset[[#This Row],[reference_year]]</f>
        <v>Estonia-2020</v>
      </c>
    </row>
    <row r="493" spans="1:15" x14ac:dyDescent="0.3">
      <c r="A493" s="8" t="s">
        <v>122</v>
      </c>
      <c r="B493" s="8" t="s">
        <v>123</v>
      </c>
      <c r="C493" s="8">
        <v>2021</v>
      </c>
      <c r="D493" s="8">
        <v>44606461942.140007</v>
      </c>
      <c r="E493" s="8">
        <v>37201101171</v>
      </c>
      <c r="F493" s="8">
        <v>1330932</v>
      </c>
      <c r="G493" s="8">
        <v>8.2548804459999996</v>
      </c>
      <c r="H493" s="8">
        <v>160.47192229999999</v>
      </c>
      <c r="I493" s="8">
        <v>33515.21</v>
      </c>
      <c r="J493" s="8">
        <v>27951.17</v>
      </c>
      <c r="K493" s="8">
        <v>119.91</v>
      </c>
      <c r="L493" s="8">
        <v>63</v>
      </c>
      <c r="M493" s="8">
        <v>33803198128.179989</v>
      </c>
      <c r="N493" s="8">
        <v>31.96</v>
      </c>
      <c r="O493" s="8" t="str">
        <f>vw_scenario_analysis_dataset[[#This Row],[reporter_name]] &amp; "-" &amp; vw_scenario_analysis_dataset[[#This Row],[reference_year]]</f>
        <v>Estonia-2021</v>
      </c>
    </row>
    <row r="494" spans="1:15" x14ac:dyDescent="0.3">
      <c r="A494" s="8" t="s">
        <v>122</v>
      </c>
      <c r="B494" s="8" t="s">
        <v>123</v>
      </c>
      <c r="C494" s="8">
        <v>2022</v>
      </c>
      <c r="D494" s="8">
        <v>47200388377.840004</v>
      </c>
      <c r="E494" s="8">
        <v>38226641740</v>
      </c>
      <c r="F494" s="8">
        <v>1348840</v>
      </c>
      <c r="G494" s="8">
        <v>-1.2261696660000001</v>
      </c>
      <c r="H494" s="8">
        <v>175.68711949999999</v>
      </c>
      <c r="I494" s="8">
        <v>34993.32</v>
      </c>
      <c r="J494" s="8">
        <v>28340.38</v>
      </c>
      <c r="K494" s="8">
        <v>123.48</v>
      </c>
      <c r="L494" s="8">
        <v>63</v>
      </c>
      <c r="M494" s="8">
        <v>44606461942.140007</v>
      </c>
      <c r="N494" s="8">
        <v>5.82</v>
      </c>
      <c r="O494" s="8" t="str">
        <f>vw_scenario_analysis_dataset[[#This Row],[reporter_name]] &amp; "-" &amp; vw_scenario_analysis_dataset[[#This Row],[reference_year]]</f>
        <v>Estonia-2022</v>
      </c>
    </row>
    <row r="495" spans="1:15" x14ac:dyDescent="0.3">
      <c r="A495" s="8" t="s">
        <v>122</v>
      </c>
      <c r="B495" s="8" t="s">
        <v>123</v>
      </c>
      <c r="C495" s="8">
        <v>2023</v>
      </c>
      <c r="D495" s="8">
        <v>40216393205.999992</v>
      </c>
      <c r="E495" s="8">
        <v>41470344395</v>
      </c>
      <c r="F495" s="8">
        <v>1370286</v>
      </c>
      <c r="G495" s="8">
        <v>-2.7442191459999998</v>
      </c>
      <c r="H495" s="8">
        <v>154.59261710000001</v>
      </c>
      <c r="I495" s="8">
        <v>29348.9</v>
      </c>
      <c r="J495" s="8">
        <v>30264.01</v>
      </c>
      <c r="K495" s="8">
        <v>96.98</v>
      </c>
      <c r="L495" s="8">
        <v>66</v>
      </c>
      <c r="M495" s="8">
        <v>47200388377.840004</v>
      </c>
      <c r="N495" s="8">
        <v>-14.8</v>
      </c>
      <c r="O495" s="8" t="str">
        <f>vw_scenario_analysis_dataset[[#This Row],[reporter_name]] &amp; "-" &amp; vw_scenario_analysis_dataset[[#This Row],[reference_year]]</f>
        <v>Estonia-2023</v>
      </c>
    </row>
    <row r="496" spans="1:15" x14ac:dyDescent="0.3">
      <c r="A496" s="8" t="s">
        <v>122</v>
      </c>
      <c r="B496" s="8" t="s">
        <v>123</v>
      </c>
      <c r="C496" s="8">
        <v>2024</v>
      </c>
      <c r="D496" s="8">
        <v>39546104318.239952</v>
      </c>
      <c r="E496" s="8">
        <v>43130419829</v>
      </c>
      <c r="F496" s="8">
        <v>1372341</v>
      </c>
      <c r="G496" s="8">
        <v>-9.0042865E-2</v>
      </c>
      <c r="H496" s="8">
        <v>151.0377024</v>
      </c>
      <c r="I496" s="8">
        <v>28816.53</v>
      </c>
      <c r="J496" s="8">
        <v>31428.35</v>
      </c>
      <c r="K496" s="8">
        <v>91.69</v>
      </c>
      <c r="L496" s="8">
        <v>65</v>
      </c>
      <c r="M496" s="8">
        <v>40216393205.999992</v>
      </c>
      <c r="N496" s="8">
        <v>-1.67</v>
      </c>
      <c r="O496" s="8" t="str">
        <f>vw_scenario_analysis_dataset[[#This Row],[reporter_name]] &amp; "-" &amp; vw_scenario_analysis_dataset[[#This Row],[reference_year]]</f>
        <v>Estonia-2024</v>
      </c>
    </row>
    <row r="497" spans="1:15" x14ac:dyDescent="0.3">
      <c r="A497" s="8" t="s">
        <v>124</v>
      </c>
      <c r="B497" s="8" t="s">
        <v>125</v>
      </c>
      <c r="C497" s="8">
        <v>2015</v>
      </c>
      <c r="D497" s="8">
        <v>4047104886.1990018</v>
      </c>
      <c r="E497" s="8">
        <v>62103418182</v>
      </c>
      <c r="F497" s="8">
        <v>103867135</v>
      </c>
      <c r="G497" s="8">
        <v>10.39246301</v>
      </c>
      <c r="H497" s="8">
        <v>39.656124140000003</v>
      </c>
      <c r="I497" s="8">
        <v>38.96</v>
      </c>
      <c r="J497" s="8">
        <v>597.91</v>
      </c>
      <c r="K497" s="8">
        <v>6.52</v>
      </c>
      <c r="L497" s="8">
        <v>116</v>
      </c>
      <c r="M497" s="8"/>
      <c r="N497" s="8"/>
      <c r="O497" s="8" t="str">
        <f>vw_scenario_analysis_dataset[[#This Row],[reporter_name]] &amp; "-" &amp; vw_scenario_analysis_dataset[[#This Row],[reference_year]]</f>
        <v>Ethiopia-2015</v>
      </c>
    </row>
    <row r="498" spans="1:15" x14ac:dyDescent="0.3">
      <c r="A498" s="8" t="s">
        <v>124</v>
      </c>
      <c r="B498" s="8" t="s">
        <v>125</v>
      </c>
      <c r="C498" s="8">
        <v>2016</v>
      </c>
      <c r="D498" s="8">
        <v>3977005859.6219997</v>
      </c>
      <c r="E498" s="8">
        <v>68475871210</v>
      </c>
      <c r="F498" s="8">
        <v>106718162</v>
      </c>
      <c r="G498" s="8">
        <v>9.4334826599999992</v>
      </c>
      <c r="H498" s="8">
        <v>34.899021079999997</v>
      </c>
      <c r="I498" s="8">
        <v>37.270000000000003</v>
      </c>
      <c r="J498" s="8">
        <v>641.65</v>
      </c>
      <c r="K498" s="8">
        <v>5.81</v>
      </c>
      <c r="L498" s="8">
        <v>121</v>
      </c>
      <c r="M498" s="8">
        <v>4047104886.1990018</v>
      </c>
      <c r="N498" s="8">
        <v>-1.73</v>
      </c>
      <c r="O498" s="8" t="str">
        <f>vw_scenario_analysis_dataset[[#This Row],[reporter_name]] &amp; "-" &amp; vw_scenario_analysis_dataset[[#This Row],[reference_year]]</f>
        <v>Ethiopia-2016</v>
      </c>
    </row>
    <row r="499" spans="1:15" x14ac:dyDescent="0.3">
      <c r="A499" s="8" t="s">
        <v>124</v>
      </c>
      <c r="B499" s="8" t="s">
        <v>125</v>
      </c>
      <c r="C499" s="8">
        <v>2017</v>
      </c>
      <c r="D499" s="8">
        <v>4611801955.2300005</v>
      </c>
      <c r="E499" s="8">
        <v>76366081767</v>
      </c>
      <c r="F499" s="8">
        <v>109666481</v>
      </c>
      <c r="G499" s="8">
        <v>9.5641896580000001</v>
      </c>
      <c r="H499" s="8">
        <v>31.103649489999999</v>
      </c>
      <c r="I499" s="8">
        <v>42.05</v>
      </c>
      <c r="J499" s="8">
        <v>696.35</v>
      </c>
      <c r="K499" s="8">
        <v>6.04</v>
      </c>
      <c r="L499" s="8">
        <v>119</v>
      </c>
      <c r="M499" s="8">
        <v>3977005859.6219997</v>
      </c>
      <c r="N499" s="8">
        <v>15.96</v>
      </c>
      <c r="O499" s="8" t="str">
        <f>vw_scenario_analysis_dataset[[#This Row],[reporter_name]] &amp; "-" &amp; vw_scenario_analysis_dataset[[#This Row],[reference_year]]</f>
        <v>Ethiopia-2017</v>
      </c>
    </row>
    <row r="500" spans="1:15" x14ac:dyDescent="0.3">
      <c r="A500" s="8" t="s">
        <v>124</v>
      </c>
      <c r="B500" s="8" t="s">
        <v>125</v>
      </c>
      <c r="C500" s="8">
        <v>2018</v>
      </c>
      <c r="D500" s="8">
        <v>3097109183.4350014</v>
      </c>
      <c r="E500" s="8">
        <v>83337901072</v>
      </c>
      <c r="F500" s="8">
        <v>112664152</v>
      </c>
      <c r="G500" s="8">
        <v>6.8161477860000002</v>
      </c>
      <c r="H500" s="8">
        <v>31.199368979999999</v>
      </c>
      <c r="I500" s="8">
        <v>27.49</v>
      </c>
      <c r="J500" s="8">
        <v>739.7</v>
      </c>
      <c r="K500" s="8">
        <v>3.72</v>
      </c>
      <c r="L500" s="8">
        <v>125</v>
      </c>
      <c r="M500" s="8">
        <v>4611801955.2300005</v>
      </c>
      <c r="N500" s="8">
        <v>-32.840000000000003</v>
      </c>
      <c r="O500" s="8" t="str">
        <f>vw_scenario_analysis_dataset[[#This Row],[reporter_name]] &amp; "-" &amp; vw_scenario_analysis_dataset[[#This Row],[reference_year]]</f>
        <v>Ethiopia-2018</v>
      </c>
    </row>
    <row r="501" spans="1:15" x14ac:dyDescent="0.3">
      <c r="A501" s="8" t="s">
        <v>124</v>
      </c>
      <c r="B501" s="8" t="s">
        <v>125</v>
      </c>
      <c r="C501" s="8">
        <v>2019</v>
      </c>
      <c r="D501" s="8">
        <v>5367504746.0199976</v>
      </c>
      <c r="E501" s="8">
        <v>91834517114</v>
      </c>
      <c r="F501" s="8">
        <v>115737383</v>
      </c>
      <c r="G501" s="8">
        <v>8.3640857309999994</v>
      </c>
      <c r="H501" s="8">
        <v>28.815293929999999</v>
      </c>
      <c r="I501" s="8">
        <v>46.38</v>
      </c>
      <c r="J501" s="8">
        <v>793.47</v>
      </c>
      <c r="K501" s="8">
        <v>5.84</v>
      </c>
      <c r="L501" s="8">
        <v>116</v>
      </c>
      <c r="M501" s="8">
        <v>3097109183.4350014</v>
      </c>
      <c r="N501" s="8">
        <v>73.31</v>
      </c>
      <c r="O501" s="8" t="str">
        <f>vw_scenario_analysis_dataset[[#This Row],[reporter_name]] &amp; "-" &amp; vw_scenario_analysis_dataset[[#This Row],[reference_year]]</f>
        <v>Ethiopia-2019</v>
      </c>
    </row>
    <row r="502" spans="1:15" x14ac:dyDescent="0.3">
      <c r="A502" s="8" t="s">
        <v>124</v>
      </c>
      <c r="B502" s="8" t="s">
        <v>125</v>
      </c>
      <c r="C502" s="8">
        <v>2020</v>
      </c>
      <c r="D502" s="8">
        <v>5066554457.6000023</v>
      </c>
      <c r="E502" s="8">
        <v>98676811062</v>
      </c>
      <c r="F502" s="8">
        <v>118917671</v>
      </c>
      <c r="G502" s="8">
        <v>6.0595308919999997</v>
      </c>
      <c r="H502" s="8">
        <v>24.00611434</v>
      </c>
      <c r="I502" s="8">
        <v>42.61</v>
      </c>
      <c r="J502" s="8">
        <v>829.79</v>
      </c>
      <c r="K502" s="8">
        <v>5.13</v>
      </c>
      <c r="L502" s="8">
        <v>114</v>
      </c>
      <c r="M502" s="8">
        <v>5367504746.0199976</v>
      </c>
      <c r="N502" s="8">
        <v>-5.61</v>
      </c>
      <c r="O502" s="8" t="str">
        <f>vw_scenario_analysis_dataset[[#This Row],[reporter_name]] &amp; "-" &amp; vw_scenario_analysis_dataset[[#This Row],[reference_year]]</f>
        <v>Ethiopia-2020</v>
      </c>
    </row>
    <row r="503" spans="1:15" x14ac:dyDescent="0.3">
      <c r="A503" s="8" t="s">
        <v>124</v>
      </c>
      <c r="B503" s="8" t="s">
        <v>125</v>
      </c>
      <c r="C503" s="8">
        <v>2021</v>
      </c>
      <c r="D503" s="8">
        <v>6115257653.1800013</v>
      </c>
      <c r="E503" s="8">
        <v>109000000000</v>
      </c>
      <c r="F503" s="8">
        <v>122138588</v>
      </c>
      <c r="G503" s="8">
        <v>5.641530693</v>
      </c>
      <c r="H503" s="8">
        <v>24.34505747</v>
      </c>
      <c r="I503" s="8">
        <v>50.07</v>
      </c>
      <c r="J503" s="8">
        <v>892.43</v>
      </c>
      <c r="K503" s="8">
        <v>5.61</v>
      </c>
      <c r="L503" s="8">
        <v>117</v>
      </c>
      <c r="M503" s="8">
        <v>5066554457.6000023</v>
      </c>
      <c r="N503" s="8">
        <v>20.7</v>
      </c>
      <c r="O503" s="8" t="str">
        <f>vw_scenario_analysis_dataset[[#This Row],[reporter_name]] &amp; "-" &amp; vw_scenario_analysis_dataset[[#This Row],[reference_year]]</f>
        <v>Ethiopia-2021</v>
      </c>
    </row>
    <row r="504" spans="1:15" x14ac:dyDescent="0.3">
      <c r="A504" s="8" t="s">
        <v>124</v>
      </c>
      <c r="B504" s="8" t="s">
        <v>125</v>
      </c>
      <c r="C504" s="8">
        <v>2022</v>
      </c>
      <c r="D504" s="8">
        <v>6170232218.0670013</v>
      </c>
      <c r="E504" s="8">
        <v>123000000000</v>
      </c>
      <c r="F504" s="8">
        <v>125384287</v>
      </c>
      <c r="G504" s="8">
        <v>5.3217598849999996</v>
      </c>
      <c r="H504" s="8">
        <v>26.595499700000001</v>
      </c>
      <c r="I504" s="8">
        <v>49.21</v>
      </c>
      <c r="J504" s="8">
        <v>980.98</v>
      </c>
      <c r="K504" s="8">
        <v>5.0199999999999996</v>
      </c>
      <c r="L504" s="8">
        <v>117</v>
      </c>
      <c r="M504" s="8">
        <v>6115257653.1800013</v>
      </c>
      <c r="N504" s="8">
        <v>0.9</v>
      </c>
      <c r="O504" s="8" t="str">
        <f>vw_scenario_analysis_dataset[[#This Row],[reporter_name]] &amp; "-" &amp; vw_scenario_analysis_dataset[[#This Row],[reference_year]]</f>
        <v>Ethiopia-2022</v>
      </c>
    </row>
    <row r="505" spans="1:15" x14ac:dyDescent="0.3">
      <c r="A505" s="8" t="s">
        <v>124</v>
      </c>
      <c r="B505" s="8" t="s">
        <v>125</v>
      </c>
      <c r="C505" s="8">
        <v>2023</v>
      </c>
      <c r="D505" s="8">
        <v>5718913731.8980026</v>
      </c>
      <c r="E505" s="8">
        <v>136000000000</v>
      </c>
      <c r="F505" s="8">
        <v>128691692</v>
      </c>
      <c r="G505" s="8">
        <v>6.5942459910000002</v>
      </c>
      <c r="H505" s="8">
        <v>20.598201509999999</v>
      </c>
      <c r="I505" s="8">
        <v>44.44</v>
      </c>
      <c r="J505" s="8">
        <v>1056.79</v>
      </c>
      <c r="K505" s="8">
        <v>4.21</v>
      </c>
      <c r="L505" s="8">
        <v>118</v>
      </c>
      <c r="M505" s="8">
        <v>6170232218.0670013</v>
      </c>
      <c r="N505" s="8">
        <v>-7.31</v>
      </c>
      <c r="O505" s="8" t="str">
        <f>vw_scenario_analysis_dataset[[#This Row],[reporter_name]] &amp; "-" &amp; vw_scenario_analysis_dataset[[#This Row],[reference_year]]</f>
        <v>Ethiopia-2023</v>
      </c>
    </row>
    <row r="506" spans="1:15" x14ac:dyDescent="0.3">
      <c r="A506" s="8" t="s">
        <v>126</v>
      </c>
      <c r="B506" s="8" t="s">
        <v>127</v>
      </c>
      <c r="C506" s="8">
        <v>2015</v>
      </c>
      <c r="D506" s="8">
        <v>119364622415</v>
      </c>
      <c r="E506" s="8">
        <v>233000000000</v>
      </c>
      <c r="F506" s="8">
        <v>5479531</v>
      </c>
      <c r="G506" s="8">
        <v>0.46650376599999999</v>
      </c>
      <c r="H506" s="8">
        <v>71.961825379999993</v>
      </c>
      <c r="I506" s="8">
        <v>21783.73</v>
      </c>
      <c r="J506" s="8">
        <v>42521.89</v>
      </c>
      <c r="K506" s="8">
        <v>51.23</v>
      </c>
      <c r="L506" s="8">
        <v>40</v>
      </c>
      <c r="M506" s="8"/>
      <c r="N506" s="8"/>
      <c r="O506" s="8" t="str">
        <f>vw_scenario_analysis_dataset[[#This Row],[reporter_name]] &amp; "-" &amp; vw_scenario_analysis_dataset[[#This Row],[reference_year]]</f>
        <v>Finland-2015</v>
      </c>
    </row>
    <row r="507" spans="1:15" x14ac:dyDescent="0.3">
      <c r="A507" s="8" t="s">
        <v>126</v>
      </c>
      <c r="B507" s="8" t="s">
        <v>127</v>
      </c>
      <c r="C507" s="8">
        <v>2016</v>
      </c>
      <c r="D507" s="8">
        <v>114651743434</v>
      </c>
      <c r="E507" s="8">
        <v>239000000000</v>
      </c>
      <c r="F507" s="8">
        <v>5495303</v>
      </c>
      <c r="G507" s="8">
        <v>2.5719341490000001</v>
      </c>
      <c r="H507" s="8">
        <v>71.72221012</v>
      </c>
      <c r="I507" s="8">
        <v>20863.59</v>
      </c>
      <c r="J507" s="8">
        <v>43491.69</v>
      </c>
      <c r="K507" s="8">
        <v>47.97</v>
      </c>
      <c r="L507" s="8">
        <v>40</v>
      </c>
      <c r="M507" s="8">
        <v>119364622415</v>
      </c>
      <c r="N507" s="8">
        <v>-3.95</v>
      </c>
      <c r="O507" s="8" t="str">
        <f>vw_scenario_analysis_dataset[[#This Row],[reporter_name]] &amp; "-" &amp; vw_scenario_analysis_dataset[[#This Row],[reference_year]]</f>
        <v>Finland-2016</v>
      </c>
    </row>
    <row r="508" spans="1:15" x14ac:dyDescent="0.3">
      <c r="A508" s="8" t="s">
        <v>126</v>
      </c>
      <c r="B508" s="8" t="s">
        <v>127</v>
      </c>
      <c r="C508" s="8">
        <v>2017</v>
      </c>
      <c r="D508" s="8">
        <v>134561281696.76402</v>
      </c>
      <c r="E508" s="8">
        <v>254000000000</v>
      </c>
      <c r="F508" s="8">
        <v>5508214</v>
      </c>
      <c r="G508" s="8">
        <v>3.303370036</v>
      </c>
      <c r="H508" s="8">
        <v>75.938782230000001</v>
      </c>
      <c r="I508" s="8">
        <v>24429.200000000001</v>
      </c>
      <c r="J508" s="8">
        <v>46112.95</v>
      </c>
      <c r="K508" s="8">
        <v>52.98</v>
      </c>
      <c r="L508" s="8">
        <v>40</v>
      </c>
      <c r="M508" s="8">
        <v>114651743434</v>
      </c>
      <c r="N508" s="8">
        <v>17.37</v>
      </c>
      <c r="O508" s="8" t="str">
        <f>vw_scenario_analysis_dataset[[#This Row],[reporter_name]] &amp; "-" &amp; vw_scenario_analysis_dataset[[#This Row],[reference_year]]</f>
        <v>Finland-2017</v>
      </c>
    </row>
    <row r="509" spans="1:15" x14ac:dyDescent="0.3">
      <c r="A509" s="8" t="s">
        <v>126</v>
      </c>
      <c r="B509" s="8" t="s">
        <v>127</v>
      </c>
      <c r="C509" s="8">
        <v>2018</v>
      </c>
      <c r="D509" s="8">
        <v>150516580919.62393</v>
      </c>
      <c r="E509" s="8">
        <v>274000000000</v>
      </c>
      <c r="F509" s="8">
        <v>5515525</v>
      </c>
      <c r="G509" s="8">
        <v>1.1929775970000001</v>
      </c>
      <c r="H509" s="8">
        <v>79.143614839999998</v>
      </c>
      <c r="I509" s="8">
        <v>27289.62</v>
      </c>
      <c r="J509" s="8">
        <v>49677.95</v>
      </c>
      <c r="K509" s="8">
        <v>54.93</v>
      </c>
      <c r="L509" s="8">
        <v>38</v>
      </c>
      <c r="M509" s="8">
        <v>134561281696.76402</v>
      </c>
      <c r="N509" s="8">
        <v>11.86</v>
      </c>
      <c r="O509" s="8" t="str">
        <f>vw_scenario_analysis_dataset[[#This Row],[reporter_name]] &amp; "-" &amp; vw_scenario_analysis_dataset[[#This Row],[reference_year]]</f>
        <v>Finland-2018</v>
      </c>
    </row>
    <row r="510" spans="1:15" x14ac:dyDescent="0.3">
      <c r="A510" s="8" t="s">
        <v>126</v>
      </c>
      <c r="B510" s="8" t="s">
        <v>127</v>
      </c>
      <c r="C510" s="8">
        <v>2019</v>
      </c>
      <c r="D510" s="8">
        <v>145678352026.513</v>
      </c>
      <c r="E510" s="8">
        <v>267000000000</v>
      </c>
      <c r="F510" s="8">
        <v>5521606</v>
      </c>
      <c r="G510" s="8">
        <v>1.3497384569999999</v>
      </c>
      <c r="H510" s="8">
        <v>80.564150290000001</v>
      </c>
      <c r="I510" s="8">
        <v>26383.33</v>
      </c>
      <c r="J510" s="8">
        <v>48355.5</v>
      </c>
      <c r="K510" s="8">
        <v>54.56</v>
      </c>
      <c r="L510" s="8">
        <v>37</v>
      </c>
      <c r="M510" s="8">
        <v>150516580919.62393</v>
      </c>
      <c r="N510" s="8">
        <v>-3.21</v>
      </c>
      <c r="O510" s="8" t="str">
        <f>vw_scenario_analysis_dataset[[#This Row],[reporter_name]] &amp; "-" &amp; vw_scenario_analysis_dataset[[#This Row],[reference_year]]</f>
        <v>Finland-2019</v>
      </c>
    </row>
    <row r="511" spans="1:15" x14ac:dyDescent="0.3">
      <c r="A511" s="8" t="s">
        <v>126</v>
      </c>
      <c r="B511" s="8" t="s">
        <v>127</v>
      </c>
      <c r="C511" s="8">
        <v>2020</v>
      </c>
      <c r="D511" s="8">
        <v>131213951680.317</v>
      </c>
      <c r="E511" s="8">
        <v>270000000000</v>
      </c>
      <c r="F511" s="8">
        <v>5529543</v>
      </c>
      <c r="G511" s="8">
        <v>-2.4910360549999999</v>
      </c>
      <c r="H511" s="8">
        <v>72.184595599999994</v>
      </c>
      <c r="I511" s="8">
        <v>23729.62</v>
      </c>
      <c r="J511" s="8">
        <v>48828.63</v>
      </c>
      <c r="K511" s="8">
        <v>48.6</v>
      </c>
      <c r="L511" s="8">
        <v>37</v>
      </c>
      <c r="M511" s="8">
        <v>145678352026.513</v>
      </c>
      <c r="N511" s="8">
        <v>-9.93</v>
      </c>
      <c r="O511" s="8" t="str">
        <f>vw_scenario_analysis_dataset[[#This Row],[reporter_name]] &amp; "-" &amp; vw_scenario_analysis_dataset[[#This Row],[reference_year]]</f>
        <v>Finland-2020</v>
      </c>
    </row>
    <row r="512" spans="1:15" x14ac:dyDescent="0.3">
      <c r="A512" s="8" t="s">
        <v>126</v>
      </c>
      <c r="B512" s="8" t="s">
        <v>127</v>
      </c>
      <c r="C512" s="8">
        <v>2021</v>
      </c>
      <c r="D512" s="8">
        <v>163000530418.616</v>
      </c>
      <c r="E512" s="8">
        <v>294000000000</v>
      </c>
      <c r="F512" s="8">
        <v>5541017</v>
      </c>
      <c r="G512" s="8">
        <v>2.6763464149999998</v>
      </c>
      <c r="H512" s="8">
        <v>79.789278190000005</v>
      </c>
      <c r="I512" s="8">
        <v>29417.08</v>
      </c>
      <c r="J512" s="8">
        <v>53058.85</v>
      </c>
      <c r="K512" s="8">
        <v>55.44</v>
      </c>
      <c r="L512" s="8">
        <v>38</v>
      </c>
      <c r="M512" s="8">
        <v>131213951680.317</v>
      </c>
      <c r="N512" s="8">
        <v>24.22</v>
      </c>
      <c r="O512" s="8" t="str">
        <f>vw_scenario_analysis_dataset[[#This Row],[reporter_name]] &amp; "-" &amp; vw_scenario_analysis_dataset[[#This Row],[reference_year]]</f>
        <v>Finland-2021</v>
      </c>
    </row>
    <row r="513" spans="1:15" x14ac:dyDescent="0.3">
      <c r="A513" s="8" t="s">
        <v>126</v>
      </c>
      <c r="B513" s="8" t="s">
        <v>127</v>
      </c>
      <c r="C513" s="8">
        <v>2022</v>
      </c>
      <c r="D513" s="8">
        <v>172456480361.64999</v>
      </c>
      <c r="E513" s="8">
        <v>280000000000</v>
      </c>
      <c r="F513" s="8">
        <v>5556106</v>
      </c>
      <c r="G513" s="8">
        <v>0.76304191300000002</v>
      </c>
      <c r="H513" s="8">
        <v>94.562534049999996</v>
      </c>
      <c r="I513" s="8">
        <v>31039.09</v>
      </c>
      <c r="J513" s="8">
        <v>50395.01</v>
      </c>
      <c r="K513" s="8">
        <v>61.59</v>
      </c>
      <c r="L513" s="8">
        <v>39</v>
      </c>
      <c r="M513" s="8">
        <v>163000530418.616</v>
      </c>
      <c r="N513" s="8">
        <v>5.8</v>
      </c>
      <c r="O513" s="8" t="str">
        <f>vw_scenario_analysis_dataset[[#This Row],[reporter_name]] &amp; "-" &amp; vw_scenario_analysis_dataset[[#This Row],[reference_year]]</f>
        <v>Finland-2022</v>
      </c>
    </row>
    <row r="514" spans="1:15" x14ac:dyDescent="0.3">
      <c r="A514" s="8" t="s">
        <v>126</v>
      </c>
      <c r="B514" s="8" t="s">
        <v>127</v>
      </c>
      <c r="C514" s="8">
        <v>2023</v>
      </c>
      <c r="D514" s="8">
        <v>165135505345.51205</v>
      </c>
      <c r="E514" s="8">
        <v>295000000000</v>
      </c>
      <c r="F514" s="8">
        <v>5583911</v>
      </c>
      <c r="G514" s="8">
        <v>-1.2897348449999999</v>
      </c>
      <c r="H514" s="8">
        <v>85.514184720000003</v>
      </c>
      <c r="I514" s="8">
        <v>29573.45</v>
      </c>
      <c r="J514" s="8">
        <v>52830.35</v>
      </c>
      <c r="K514" s="8">
        <v>55.98</v>
      </c>
      <c r="L514" s="8">
        <v>39</v>
      </c>
      <c r="M514" s="8">
        <v>172456480361.64999</v>
      </c>
      <c r="N514" s="8">
        <v>-4.25</v>
      </c>
      <c r="O514" s="8" t="str">
        <f>vw_scenario_analysis_dataset[[#This Row],[reporter_name]] &amp; "-" &amp; vw_scenario_analysis_dataset[[#This Row],[reference_year]]</f>
        <v>Finland-2023</v>
      </c>
    </row>
    <row r="515" spans="1:15" x14ac:dyDescent="0.3">
      <c r="A515" s="8" t="s">
        <v>126</v>
      </c>
      <c r="B515" s="8" t="s">
        <v>127</v>
      </c>
      <c r="C515" s="8">
        <v>2024</v>
      </c>
      <c r="D515" s="8">
        <v>151157449686.582</v>
      </c>
      <c r="E515" s="8">
        <v>299000000000</v>
      </c>
      <c r="F515" s="8">
        <v>5619911</v>
      </c>
      <c r="G515" s="8">
        <v>0.37456656900000002</v>
      </c>
      <c r="H515" s="8">
        <v>83.451029559999995</v>
      </c>
      <c r="I515" s="8">
        <v>26896.77</v>
      </c>
      <c r="J515" s="8">
        <v>53203.69</v>
      </c>
      <c r="K515" s="8">
        <v>50.55</v>
      </c>
      <c r="L515" s="8">
        <v>40</v>
      </c>
      <c r="M515" s="8">
        <v>165135505345.51205</v>
      </c>
      <c r="N515" s="8">
        <v>-8.4600000000000009</v>
      </c>
      <c r="O515" s="8" t="str">
        <f>vw_scenario_analysis_dataset[[#This Row],[reporter_name]] &amp; "-" &amp; vw_scenario_analysis_dataset[[#This Row],[reference_year]]</f>
        <v>Finland-2024</v>
      </c>
    </row>
    <row r="516" spans="1:15" x14ac:dyDescent="0.3">
      <c r="A516" s="8" t="s">
        <v>128</v>
      </c>
      <c r="B516" s="8" t="s">
        <v>129</v>
      </c>
      <c r="C516" s="8">
        <v>2015</v>
      </c>
      <c r="D516" s="8">
        <v>1962481141.2609987</v>
      </c>
      <c r="E516" s="8">
        <v>4682479894</v>
      </c>
      <c r="F516" s="8">
        <v>918578</v>
      </c>
      <c r="G516" s="8">
        <v>4.5012006449999999</v>
      </c>
      <c r="H516" s="8">
        <v>101.189049</v>
      </c>
      <c r="I516" s="8">
        <v>2136.4299999999998</v>
      </c>
      <c r="J516" s="8">
        <v>5097.53</v>
      </c>
      <c r="K516" s="8">
        <v>41.91</v>
      </c>
      <c r="L516" s="8">
        <v>130</v>
      </c>
      <c r="M516" s="8"/>
      <c r="N516" s="8"/>
      <c r="O516" s="8" t="str">
        <f>vw_scenario_analysis_dataset[[#This Row],[reporter_name]] &amp; "-" &amp; vw_scenario_analysis_dataset[[#This Row],[reference_year]]</f>
        <v>Fiji-2015</v>
      </c>
    </row>
    <row r="517" spans="1:15" x14ac:dyDescent="0.3">
      <c r="A517" s="8" t="s">
        <v>128</v>
      </c>
      <c r="B517" s="8" t="s">
        <v>129</v>
      </c>
      <c r="C517" s="8">
        <v>2016</v>
      </c>
      <c r="D517" s="8">
        <v>1844074974.0140007</v>
      </c>
      <c r="E517" s="8">
        <v>4930213644</v>
      </c>
      <c r="F517" s="8">
        <v>919166</v>
      </c>
      <c r="G517" s="8">
        <v>2.4456520240000001</v>
      </c>
      <c r="H517" s="8">
        <v>97.174490579999997</v>
      </c>
      <c r="I517" s="8">
        <v>2006.25</v>
      </c>
      <c r="J517" s="8">
        <v>5363.79</v>
      </c>
      <c r="K517" s="8">
        <v>37.4</v>
      </c>
      <c r="L517" s="8">
        <v>133</v>
      </c>
      <c r="M517" s="8">
        <v>1962481141.2609987</v>
      </c>
      <c r="N517" s="8">
        <v>-6.03</v>
      </c>
      <c r="O517" s="8" t="str">
        <f>vw_scenario_analysis_dataset[[#This Row],[reporter_name]] &amp; "-" &amp; vw_scenario_analysis_dataset[[#This Row],[reference_year]]</f>
        <v>Fiji-2016</v>
      </c>
    </row>
    <row r="518" spans="1:15" x14ac:dyDescent="0.3">
      <c r="A518" s="8" t="s">
        <v>128</v>
      </c>
      <c r="B518" s="8" t="s">
        <v>129</v>
      </c>
      <c r="C518" s="8">
        <v>2017</v>
      </c>
      <c r="D518" s="8">
        <v>2072298388.2459993</v>
      </c>
      <c r="E518" s="8">
        <v>5353469174</v>
      </c>
      <c r="F518" s="8">
        <v>918759</v>
      </c>
      <c r="G518" s="8">
        <v>5.3533643499999997</v>
      </c>
      <c r="H518" s="8">
        <v>97.02166253</v>
      </c>
      <c r="I518" s="8">
        <v>2255.54</v>
      </c>
      <c r="J518" s="8">
        <v>5826.85</v>
      </c>
      <c r="K518" s="8">
        <v>38.71</v>
      </c>
      <c r="L518" s="8">
        <v>131</v>
      </c>
      <c r="M518" s="8">
        <v>1844074974.0140007</v>
      </c>
      <c r="N518" s="8">
        <v>12.38</v>
      </c>
      <c r="O518" s="8" t="str">
        <f>vw_scenario_analysis_dataset[[#This Row],[reporter_name]] &amp; "-" &amp; vw_scenario_analysis_dataset[[#This Row],[reference_year]]</f>
        <v>Fiji-2017</v>
      </c>
    </row>
    <row r="519" spans="1:15" x14ac:dyDescent="0.3">
      <c r="A519" s="8" t="s">
        <v>128</v>
      </c>
      <c r="B519" s="8" t="s">
        <v>129</v>
      </c>
      <c r="C519" s="8">
        <v>2018</v>
      </c>
      <c r="D519" s="8">
        <v>2013636884.059</v>
      </c>
      <c r="E519" s="8">
        <v>5581425327</v>
      </c>
      <c r="F519" s="8">
        <v>917180</v>
      </c>
      <c r="G519" s="8">
        <v>3.81235094</v>
      </c>
      <c r="H519" s="8">
        <v>103.2354199</v>
      </c>
      <c r="I519" s="8">
        <v>2195.4699999999998</v>
      </c>
      <c r="J519" s="8">
        <v>6085.42</v>
      </c>
      <c r="K519" s="8">
        <v>36.08</v>
      </c>
      <c r="L519" s="8">
        <v>131</v>
      </c>
      <c r="M519" s="8">
        <v>2072298388.2459993</v>
      </c>
      <c r="N519" s="8">
        <v>-2.83</v>
      </c>
      <c r="O519" s="8" t="str">
        <f>vw_scenario_analysis_dataset[[#This Row],[reporter_name]] &amp; "-" &amp; vw_scenario_analysis_dataset[[#This Row],[reference_year]]</f>
        <v>Fiji-2018</v>
      </c>
    </row>
    <row r="520" spans="1:15" x14ac:dyDescent="0.3">
      <c r="A520" s="8" t="s">
        <v>128</v>
      </c>
      <c r="B520" s="8" t="s">
        <v>129</v>
      </c>
      <c r="C520" s="8">
        <v>2019</v>
      </c>
      <c r="D520" s="8">
        <v>1930300275.2829998</v>
      </c>
      <c r="E520" s="8">
        <v>5344907153</v>
      </c>
      <c r="F520" s="8">
        <v>914899</v>
      </c>
      <c r="G520" s="8">
        <v>-0.58194659000000004</v>
      </c>
      <c r="H520" s="8">
        <v>110.6961921</v>
      </c>
      <c r="I520" s="8">
        <v>2109.85</v>
      </c>
      <c r="J520" s="8">
        <v>5842.07</v>
      </c>
      <c r="K520" s="8">
        <v>36.11</v>
      </c>
      <c r="L520" s="8">
        <v>131</v>
      </c>
      <c r="M520" s="8">
        <v>2013636884.059</v>
      </c>
      <c r="N520" s="8">
        <v>-4.1399999999999997</v>
      </c>
      <c r="O520" s="8" t="str">
        <f>vw_scenario_analysis_dataset[[#This Row],[reporter_name]] &amp; "-" &amp; vw_scenario_analysis_dataset[[#This Row],[reference_year]]</f>
        <v>Fiji-2019</v>
      </c>
    </row>
    <row r="521" spans="1:15" x14ac:dyDescent="0.3">
      <c r="A521" s="8" t="s">
        <v>128</v>
      </c>
      <c r="B521" s="8" t="s">
        <v>129</v>
      </c>
      <c r="C521" s="8">
        <v>2020</v>
      </c>
      <c r="D521" s="8">
        <v>1652469613.5809991</v>
      </c>
      <c r="E521" s="8">
        <v>4227719873</v>
      </c>
      <c r="F521" s="8">
        <v>914963</v>
      </c>
      <c r="G521" s="8">
        <v>-17.183535259999999</v>
      </c>
      <c r="H521" s="8">
        <v>78.076365179999996</v>
      </c>
      <c r="I521" s="8">
        <v>1806.05</v>
      </c>
      <c r="J521" s="8">
        <v>4620.6499999999996</v>
      </c>
      <c r="K521" s="8">
        <v>39.090000000000003</v>
      </c>
      <c r="L521" s="8">
        <v>133</v>
      </c>
      <c r="M521" s="8">
        <v>1930300275.2829998</v>
      </c>
      <c r="N521" s="8">
        <v>-14.39</v>
      </c>
      <c r="O521" s="8" t="str">
        <f>vw_scenario_analysis_dataset[[#This Row],[reporter_name]] &amp; "-" &amp; vw_scenario_analysis_dataset[[#This Row],[reference_year]]</f>
        <v>Fiji-2020</v>
      </c>
    </row>
    <row r="522" spans="1:15" x14ac:dyDescent="0.3">
      <c r="A522" s="8" t="s">
        <v>128</v>
      </c>
      <c r="B522" s="8" t="s">
        <v>129</v>
      </c>
      <c r="C522" s="8">
        <v>2021</v>
      </c>
      <c r="D522" s="8">
        <v>1630671306.3070014</v>
      </c>
      <c r="E522" s="8">
        <v>4158873156</v>
      </c>
      <c r="F522" s="8">
        <v>916711</v>
      </c>
      <c r="G522" s="8">
        <v>-4.345961999</v>
      </c>
      <c r="H522" s="8">
        <v>87.215932179999996</v>
      </c>
      <c r="I522" s="8">
        <v>1778.83</v>
      </c>
      <c r="J522" s="8">
        <v>4536.7299999999996</v>
      </c>
      <c r="K522" s="8">
        <v>39.21</v>
      </c>
      <c r="L522" s="8">
        <v>136</v>
      </c>
      <c r="M522" s="8">
        <v>1652469613.5809991</v>
      </c>
      <c r="N522" s="8">
        <v>-1.32</v>
      </c>
      <c r="O522" s="8" t="str">
        <f>vw_scenario_analysis_dataset[[#This Row],[reporter_name]] &amp; "-" &amp; vw_scenario_analysis_dataset[[#This Row],[reference_year]]</f>
        <v>Fiji-2021</v>
      </c>
    </row>
    <row r="523" spans="1:15" x14ac:dyDescent="0.3">
      <c r="A523" s="8" t="s">
        <v>128</v>
      </c>
      <c r="B523" s="8" t="s">
        <v>129</v>
      </c>
      <c r="C523" s="8">
        <v>2022</v>
      </c>
      <c r="D523" s="8">
        <v>2110458414.9309995</v>
      </c>
      <c r="E523" s="8">
        <v>4977861886</v>
      </c>
      <c r="F523" s="8">
        <v>919422</v>
      </c>
      <c r="G523" s="8">
        <v>17.745126979999998</v>
      </c>
      <c r="H523" s="8">
        <v>119.2137467</v>
      </c>
      <c r="I523" s="8">
        <v>2295.42</v>
      </c>
      <c r="J523" s="8">
        <v>5414.12</v>
      </c>
      <c r="K523" s="8">
        <v>42.4</v>
      </c>
      <c r="L523" s="8">
        <v>130</v>
      </c>
      <c r="M523" s="8">
        <v>1630671306.3070014</v>
      </c>
      <c r="N523" s="8">
        <v>29.42</v>
      </c>
      <c r="O523" s="8" t="str">
        <f>vw_scenario_analysis_dataset[[#This Row],[reporter_name]] &amp; "-" &amp; vw_scenario_analysis_dataset[[#This Row],[reference_year]]</f>
        <v>Fiji-2022</v>
      </c>
    </row>
    <row r="524" spans="1:15" x14ac:dyDescent="0.3">
      <c r="A524" s="8" t="s">
        <v>128</v>
      </c>
      <c r="B524" s="8" t="s">
        <v>129</v>
      </c>
      <c r="C524" s="8">
        <v>2023</v>
      </c>
      <c r="D524" s="8">
        <v>2135379395.2789984</v>
      </c>
      <c r="E524" s="8">
        <v>5476673518</v>
      </c>
      <c r="F524" s="8">
        <v>924145</v>
      </c>
      <c r="G524" s="8">
        <v>9.4424585669999992</v>
      </c>
      <c r="H524" s="8">
        <v>126.2821345</v>
      </c>
      <c r="I524" s="8">
        <v>2310.65</v>
      </c>
      <c r="J524" s="8">
        <v>5926.21</v>
      </c>
      <c r="K524" s="8">
        <v>38.99</v>
      </c>
      <c r="L524" s="8">
        <v>127</v>
      </c>
      <c r="M524" s="8">
        <v>2110458414.9309995</v>
      </c>
      <c r="N524" s="8">
        <v>1.18</v>
      </c>
      <c r="O524" s="8" t="str">
        <f>vw_scenario_analysis_dataset[[#This Row],[reporter_name]] &amp; "-" &amp; vw_scenario_analysis_dataset[[#This Row],[reference_year]]</f>
        <v>Fiji-2023</v>
      </c>
    </row>
    <row r="525" spans="1:15" x14ac:dyDescent="0.3">
      <c r="A525" s="8" t="s">
        <v>128</v>
      </c>
      <c r="B525" s="8" t="s">
        <v>129</v>
      </c>
      <c r="C525" s="8">
        <v>2024</v>
      </c>
      <c r="D525" s="8">
        <v>2247967134.031002</v>
      </c>
      <c r="E525" s="8">
        <v>5968125909</v>
      </c>
      <c r="F525" s="8">
        <v>928784</v>
      </c>
      <c r="G525" s="8">
        <v>3.5308589609999999</v>
      </c>
      <c r="H525" s="8">
        <v>118.9628809</v>
      </c>
      <c r="I525" s="8">
        <v>2420.33</v>
      </c>
      <c r="J525" s="8">
        <v>6425.74</v>
      </c>
      <c r="K525" s="8">
        <v>37.67</v>
      </c>
      <c r="L525" s="8">
        <v>110</v>
      </c>
      <c r="M525" s="8">
        <v>2135379395.2789984</v>
      </c>
      <c r="N525" s="8">
        <v>5.27</v>
      </c>
      <c r="O525" s="8" t="str">
        <f>vw_scenario_analysis_dataset[[#This Row],[reporter_name]] &amp; "-" &amp; vw_scenario_analysis_dataset[[#This Row],[reference_year]]</f>
        <v>Fiji-2024</v>
      </c>
    </row>
    <row r="526" spans="1:15" x14ac:dyDescent="0.3">
      <c r="A526" s="8" t="s">
        <v>130</v>
      </c>
      <c r="B526" s="8" t="s">
        <v>131</v>
      </c>
      <c r="C526" s="8">
        <v>2015</v>
      </c>
      <c r="D526" s="8">
        <v>987882428442</v>
      </c>
      <c r="E526" s="8">
        <v>2440000000000</v>
      </c>
      <c r="F526" s="8">
        <v>66548272</v>
      </c>
      <c r="G526" s="8">
        <v>1.0667547479999999</v>
      </c>
      <c r="H526" s="8">
        <v>63.504687199999999</v>
      </c>
      <c r="I526" s="8">
        <v>14844.6</v>
      </c>
      <c r="J526" s="8">
        <v>36665.11</v>
      </c>
      <c r="K526" s="8">
        <v>40.49</v>
      </c>
      <c r="L526" s="8">
        <v>6</v>
      </c>
      <c r="M526" s="8"/>
      <c r="N526" s="8"/>
      <c r="O526" s="8" t="str">
        <f>vw_scenario_analysis_dataset[[#This Row],[reporter_name]] &amp; "-" &amp; vw_scenario_analysis_dataset[[#This Row],[reference_year]]</f>
        <v>France-2015</v>
      </c>
    </row>
    <row r="527" spans="1:15" x14ac:dyDescent="0.3">
      <c r="A527" s="8" t="s">
        <v>130</v>
      </c>
      <c r="B527" s="8" t="s">
        <v>131</v>
      </c>
      <c r="C527" s="8">
        <v>2016</v>
      </c>
      <c r="D527" s="8">
        <v>977770144882</v>
      </c>
      <c r="E527" s="8">
        <v>2470000000000</v>
      </c>
      <c r="F527" s="8">
        <v>66724104</v>
      </c>
      <c r="G527" s="8">
        <v>0.86003107499999998</v>
      </c>
      <c r="H527" s="8">
        <v>63.342756440000002</v>
      </c>
      <c r="I527" s="8">
        <v>14653.93</v>
      </c>
      <c r="J527" s="8">
        <v>37018.11</v>
      </c>
      <c r="K527" s="8">
        <v>39.590000000000003</v>
      </c>
      <c r="L527" s="8">
        <v>6</v>
      </c>
      <c r="M527" s="8">
        <v>987882428442</v>
      </c>
      <c r="N527" s="8">
        <v>-1.02</v>
      </c>
      <c r="O527" s="8" t="str">
        <f>vw_scenario_analysis_dataset[[#This Row],[reporter_name]] &amp; "-" &amp; vw_scenario_analysis_dataset[[#This Row],[reference_year]]</f>
        <v>France-2016</v>
      </c>
    </row>
    <row r="528" spans="1:15" x14ac:dyDescent="0.3">
      <c r="A528" s="8" t="s">
        <v>130</v>
      </c>
      <c r="B528" s="8" t="s">
        <v>131</v>
      </c>
      <c r="C528" s="8">
        <v>2017</v>
      </c>
      <c r="D528" s="8">
        <v>1046770266568.9873</v>
      </c>
      <c r="E528" s="8">
        <v>2590000000000</v>
      </c>
      <c r="F528" s="8">
        <v>66918020</v>
      </c>
      <c r="G528" s="8">
        <v>2.08361486</v>
      </c>
      <c r="H528" s="8">
        <v>65.39584816</v>
      </c>
      <c r="I528" s="8">
        <v>15642.58</v>
      </c>
      <c r="J528" s="8">
        <v>38704.07</v>
      </c>
      <c r="K528" s="8">
        <v>40.42</v>
      </c>
      <c r="L528" s="8">
        <v>7</v>
      </c>
      <c r="M528" s="8">
        <v>977770144882</v>
      </c>
      <c r="N528" s="8">
        <v>7.06</v>
      </c>
      <c r="O528" s="8" t="str">
        <f>vw_scenario_analysis_dataset[[#This Row],[reporter_name]] &amp; "-" &amp; vw_scenario_analysis_dataset[[#This Row],[reference_year]]</f>
        <v>France-2017</v>
      </c>
    </row>
    <row r="529" spans="1:15" x14ac:dyDescent="0.3">
      <c r="A529" s="8" t="s">
        <v>130</v>
      </c>
      <c r="B529" s="8" t="s">
        <v>131</v>
      </c>
      <c r="C529" s="8">
        <v>2018</v>
      </c>
      <c r="D529" s="8">
        <v>1137071759689.8562</v>
      </c>
      <c r="E529" s="8">
        <v>2780000000000</v>
      </c>
      <c r="F529" s="8">
        <v>67158348</v>
      </c>
      <c r="G529" s="8">
        <v>1.6459087240000001</v>
      </c>
      <c r="H529" s="8">
        <v>66.802260779999997</v>
      </c>
      <c r="I529" s="8">
        <v>16931.21</v>
      </c>
      <c r="J529" s="8">
        <v>41394.699999999997</v>
      </c>
      <c r="K529" s="8">
        <v>40.9</v>
      </c>
      <c r="L529" s="8">
        <v>7</v>
      </c>
      <c r="M529" s="8">
        <v>1046770266568.9873</v>
      </c>
      <c r="N529" s="8">
        <v>8.6300000000000008</v>
      </c>
      <c r="O529" s="8" t="str">
        <f>vw_scenario_analysis_dataset[[#This Row],[reporter_name]] &amp; "-" &amp; vw_scenario_analysis_dataset[[#This Row],[reference_year]]</f>
        <v>France-2018</v>
      </c>
    </row>
    <row r="530" spans="1:15" x14ac:dyDescent="0.3">
      <c r="A530" s="8" t="s">
        <v>130</v>
      </c>
      <c r="B530" s="8" t="s">
        <v>131</v>
      </c>
      <c r="C530" s="8">
        <v>2019</v>
      </c>
      <c r="D530" s="8">
        <v>1112728228016.6475</v>
      </c>
      <c r="E530" s="8">
        <v>2720000000000</v>
      </c>
      <c r="F530" s="8">
        <v>67382061</v>
      </c>
      <c r="G530" s="8">
        <v>2.0274464640000001</v>
      </c>
      <c r="H530" s="8">
        <v>66.42896073</v>
      </c>
      <c r="I530" s="8">
        <v>16513.72</v>
      </c>
      <c r="J530" s="8">
        <v>40366.83</v>
      </c>
      <c r="K530" s="8">
        <v>40.909999999999997</v>
      </c>
      <c r="L530" s="8">
        <v>5</v>
      </c>
      <c r="M530" s="8">
        <v>1137071759689.8562</v>
      </c>
      <c r="N530" s="8">
        <v>-2.14</v>
      </c>
      <c r="O530" s="8" t="str">
        <f>vw_scenario_analysis_dataset[[#This Row],[reporter_name]] &amp; "-" &amp; vw_scenario_analysis_dataset[[#This Row],[reference_year]]</f>
        <v>France-2019</v>
      </c>
    </row>
    <row r="531" spans="1:15" x14ac:dyDescent="0.3">
      <c r="A531" s="8" t="s">
        <v>130</v>
      </c>
      <c r="B531" s="8" t="s">
        <v>131</v>
      </c>
      <c r="C531" s="8">
        <v>2020</v>
      </c>
      <c r="D531" s="8">
        <v>979808751542.88428</v>
      </c>
      <c r="E531" s="8">
        <v>2650000000000</v>
      </c>
      <c r="F531" s="8">
        <v>67601110</v>
      </c>
      <c r="G531" s="8">
        <v>-7.4406458989999997</v>
      </c>
      <c r="H531" s="8">
        <v>58.838890720000002</v>
      </c>
      <c r="I531" s="8">
        <v>14493.97</v>
      </c>
      <c r="J531" s="8">
        <v>39200.54</v>
      </c>
      <c r="K531" s="8">
        <v>36.97</v>
      </c>
      <c r="L531" s="8">
        <v>8</v>
      </c>
      <c r="M531" s="8">
        <v>1112728228016.6475</v>
      </c>
      <c r="N531" s="8">
        <v>-11.95</v>
      </c>
      <c r="O531" s="8" t="str">
        <f>vw_scenario_analysis_dataset[[#This Row],[reporter_name]] &amp; "-" &amp; vw_scenario_analysis_dataset[[#This Row],[reference_year]]</f>
        <v>France-2020</v>
      </c>
    </row>
    <row r="532" spans="1:15" x14ac:dyDescent="0.3">
      <c r="A532" s="8" t="s">
        <v>130</v>
      </c>
      <c r="B532" s="8" t="s">
        <v>131</v>
      </c>
      <c r="C532" s="8">
        <v>2021</v>
      </c>
      <c r="D532" s="8">
        <v>1170354793956.5891</v>
      </c>
      <c r="E532" s="8">
        <v>2970000000000</v>
      </c>
      <c r="F532" s="8">
        <v>67842811</v>
      </c>
      <c r="G532" s="8">
        <v>6.8823378340000003</v>
      </c>
      <c r="H532" s="8">
        <v>63.788482629999997</v>
      </c>
      <c r="I532" s="8">
        <v>17250.98</v>
      </c>
      <c r="J532" s="8">
        <v>43777.67</v>
      </c>
      <c r="K532" s="8">
        <v>39.409999999999997</v>
      </c>
      <c r="L532" s="8">
        <v>8</v>
      </c>
      <c r="M532" s="8">
        <v>979808751542.88428</v>
      </c>
      <c r="N532" s="8">
        <v>19.45</v>
      </c>
      <c r="O532" s="8" t="str">
        <f>vw_scenario_analysis_dataset[[#This Row],[reporter_name]] &amp; "-" &amp; vw_scenario_analysis_dataset[[#This Row],[reference_year]]</f>
        <v>France-2021</v>
      </c>
    </row>
    <row r="533" spans="1:15" x14ac:dyDescent="0.3">
      <c r="A533" s="8" t="s">
        <v>130</v>
      </c>
      <c r="B533" s="8" t="s">
        <v>131</v>
      </c>
      <c r="C533" s="8">
        <v>2022</v>
      </c>
      <c r="D533" s="8">
        <v>1265518486184.4741</v>
      </c>
      <c r="E533" s="8">
        <v>2790000000000</v>
      </c>
      <c r="F533" s="8">
        <v>68184457</v>
      </c>
      <c r="G533" s="8">
        <v>2.7167626419999999</v>
      </c>
      <c r="H533" s="8">
        <v>75.9630078</v>
      </c>
      <c r="I533" s="8">
        <v>18560.22</v>
      </c>
      <c r="J533" s="8">
        <v>40918.42</v>
      </c>
      <c r="K533" s="8">
        <v>45.36</v>
      </c>
      <c r="L533" s="8">
        <v>7</v>
      </c>
      <c r="M533" s="8">
        <v>1170354793956.5891</v>
      </c>
      <c r="N533" s="8">
        <v>8.1300000000000008</v>
      </c>
      <c r="O533" s="8" t="str">
        <f>vw_scenario_analysis_dataset[[#This Row],[reporter_name]] &amp; "-" &amp; vw_scenario_analysis_dataset[[#This Row],[reference_year]]</f>
        <v>France-2022</v>
      </c>
    </row>
    <row r="534" spans="1:15" x14ac:dyDescent="0.3">
      <c r="A534" s="8" t="s">
        <v>130</v>
      </c>
      <c r="B534" s="8" t="s">
        <v>131</v>
      </c>
      <c r="C534" s="8">
        <v>2023</v>
      </c>
      <c r="D534" s="8">
        <v>1320897443921.1133</v>
      </c>
      <c r="E534" s="8">
        <v>3060000000000</v>
      </c>
      <c r="F534" s="8">
        <v>68372286</v>
      </c>
      <c r="G534" s="8">
        <v>1.4392149439999999</v>
      </c>
      <c r="H534" s="8">
        <v>70.626145059999999</v>
      </c>
      <c r="I534" s="8">
        <v>19319.189999999999</v>
      </c>
      <c r="J534" s="8">
        <v>44754.98</v>
      </c>
      <c r="K534" s="8">
        <v>43.17</v>
      </c>
      <c r="L534" s="8">
        <v>6</v>
      </c>
      <c r="M534" s="8">
        <v>1265518486184.4741</v>
      </c>
      <c r="N534" s="8">
        <v>4.38</v>
      </c>
      <c r="O534" s="8" t="str">
        <f>vw_scenario_analysis_dataset[[#This Row],[reporter_name]] &amp; "-" &amp; vw_scenario_analysis_dataset[[#This Row],[reference_year]]</f>
        <v>France-2023</v>
      </c>
    </row>
    <row r="535" spans="1:15" x14ac:dyDescent="0.3">
      <c r="A535" s="8" t="s">
        <v>130</v>
      </c>
      <c r="B535" s="8" t="s">
        <v>131</v>
      </c>
      <c r="C535" s="8">
        <v>2024</v>
      </c>
      <c r="D535" s="8">
        <v>1291917915048.0876</v>
      </c>
      <c r="E535" s="8">
        <v>3160000000000</v>
      </c>
      <c r="F535" s="8">
        <v>68551653</v>
      </c>
      <c r="G535" s="8">
        <v>1.190467983</v>
      </c>
      <c r="H535" s="8">
        <v>68.108187540000003</v>
      </c>
      <c r="I535" s="8">
        <v>18845.900000000001</v>
      </c>
      <c r="J535" s="8">
        <v>46096.63</v>
      </c>
      <c r="K535" s="8">
        <v>40.880000000000003</v>
      </c>
      <c r="L535" s="8">
        <v>7</v>
      </c>
      <c r="M535" s="8">
        <v>1320897443921.1133</v>
      </c>
      <c r="N535" s="8">
        <v>-2.19</v>
      </c>
      <c r="O535" s="8" t="str">
        <f>vw_scenario_analysis_dataset[[#This Row],[reporter_name]] &amp; "-" &amp; vw_scenario_analysis_dataset[[#This Row],[reference_year]]</f>
        <v>France-2024</v>
      </c>
    </row>
    <row r="536" spans="1:15" x14ac:dyDescent="0.3">
      <c r="A536" s="8" t="s">
        <v>132</v>
      </c>
      <c r="B536" s="8" t="s">
        <v>133</v>
      </c>
      <c r="C536" s="8">
        <v>2015</v>
      </c>
      <c r="D536" s="8">
        <v>21307029193.645988</v>
      </c>
      <c r="E536" s="8">
        <v>14383107763</v>
      </c>
      <c r="F536" s="8">
        <v>2040989</v>
      </c>
      <c r="G536" s="8">
        <v>3.8788993949999999</v>
      </c>
      <c r="H536" s="8">
        <v>73.949781459999997</v>
      </c>
      <c r="I536" s="8">
        <v>10439.56</v>
      </c>
      <c r="J536" s="8">
        <v>7047.13</v>
      </c>
      <c r="K536" s="8">
        <v>148.13999999999999</v>
      </c>
      <c r="L536" s="8">
        <v>78</v>
      </c>
      <c r="M536" s="8"/>
      <c r="N536" s="8"/>
      <c r="O536" s="8" t="str">
        <f>vw_scenario_analysis_dataset[[#This Row],[reporter_name]] &amp; "-" &amp; vw_scenario_analysis_dataset[[#This Row],[reference_year]]</f>
        <v>Gabon-2015</v>
      </c>
    </row>
    <row r="537" spans="1:15" x14ac:dyDescent="0.3">
      <c r="A537" s="8" t="s">
        <v>132</v>
      </c>
      <c r="B537" s="8" t="s">
        <v>133</v>
      </c>
      <c r="C537" s="8">
        <v>2016</v>
      </c>
      <c r="D537" s="8">
        <v>19006997967.314999</v>
      </c>
      <c r="E537" s="8">
        <v>14023890265</v>
      </c>
      <c r="F537" s="8">
        <v>2100306</v>
      </c>
      <c r="G537" s="8">
        <v>2.0914422080000001</v>
      </c>
      <c r="H537" s="8">
        <v>70.133381060000005</v>
      </c>
      <c r="I537" s="8">
        <v>9049.6299999999992</v>
      </c>
      <c r="J537" s="8">
        <v>6677.07</v>
      </c>
      <c r="K537" s="8">
        <v>135.53</v>
      </c>
      <c r="L537" s="8">
        <v>82</v>
      </c>
      <c r="M537" s="8">
        <v>21307029193.645988</v>
      </c>
      <c r="N537" s="8">
        <v>-10.79</v>
      </c>
      <c r="O537" s="8" t="str">
        <f>vw_scenario_analysis_dataset[[#This Row],[reporter_name]] &amp; "-" &amp; vw_scenario_analysis_dataset[[#This Row],[reference_year]]</f>
        <v>Gabon-2016</v>
      </c>
    </row>
    <row r="538" spans="1:15" x14ac:dyDescent="0.3">
      <c r="A538" s="8" t="s">
        <v>132</v>
      </c>
      <c r="B538" s="8" t="s">
        <v>133</v>
      </c>
      <c r="C538" s="8">
        <v>2017</v>
      </c>
      <c r="D538" s="8">
        <v>11542054406.409992</v>
      </c>
      <c r="E538" s="8">
        <v>14929487485</v>
      </c>
      <c r="F538" s="8">
        <v>2156900</v>
      </c>
      <c r="G538" s="8">
        <v>0.47264203100000002</v>
      </c>
      <c r="H538" s="8">
        <v>75.068740450000007</v>
      </c>
      <c r="I538" s="8">
        <v>5351.22</v>
      </c>
      <c r="J538" s="8">
        <v>6921.73</v>
      </c>
      <c r="K538" s="8">
        <v>77.31</v>
      </c>
      <c r="L538" s="8">
        <v>93</v>
      </c>
      <c r="M538" s="8">
        <v>19006997967.314999</v>
      </c>
      <c r="N538" s="8">
        <v>-39.270000000000003</v>
      </c>
      <c r="O538" s="8" t="str">
        <f>vw_scenario_analysis_dataset[[#This Row],[reporter_name]] &amp; "-" &amp; vw_scenario_analysis_dataset[[#This Row],[reference_year]]</f>
        <v>Gabon-2017</v>
      </c>
    </row>
    <row r="539" spans="1:15" x14ac:dyDescent="0.3">
      <c r="A539" s="8" t="s">
        <v>132</v>
      </c>
      <c r="B539" s="8" t="s">
        <v>133</v>
      </c>
      <c r="C539" s="8">
        <v>2018</v>
      </c>
      <c r="D539" s="8">
        <v>17167716419.689997</v>
      </c>
      <c r="E539" s="8">
        <v>16867326402</v>
      </c>
      <c r="F539" s="8">
        <v>2212318</v>
      </c>
      <c r="G539" s="8">
        <v>0.83791658099999999</v>
      </c>
      <c r="H539" s="8">
        <v>77.036597700000002</v>
      </c>
      <c r="I539" s="8">
        <v>7760.06</v>
      </c>
      <c r="J539" s="8">
        <v>7624.28</v>
      </c>
      <c r="K539" s="8">
        <v>101.78</v>
      </c>
      <c r="L539" s="8">
        <v>86</v>
      </c>
      <c r="M539" s="8">
        <v>11542054406.409992</v>
      </c>
      <c r="N539" s="8">
        <v>48.74</v>
      </c>
      <c r="O539" s="8" t="str">
        <f>vw_scenario_analysis_dataset[[#This Row],[reporter_name]] &amp; "-" &amp; vw_scenario_analysis_dataset[[#This Row],[reference_year]]</f>
        <v>Gabon-2018</v>
      </c>
    </row>
    <row r="540" spans="1:15" x14ac:dyDescent="0.3">
      <c r="A540" s="8" t="s">
        <v>132</v>
      </c>
      <c r="B540" s="8" t="s">
        <v>133</v>
      </c>
      <c r="C540" s="8">
        <v>2019</v>
      </c>
      <c r="D540" s="8">
        <v>15427085773.809994</v>
      </c>
      <c r="E540" s="8">
        <v>16874405465</v>
      </c>
      <c r="F540" s="8">
        <v>2267706</v>
      </c>
      <c r="G540" s="8">
        <v>3.9208087950000001</v>
      </c>
      <c r="H540" s="8">
        <v>73.428089450000002</v>
      </c>
      <c r="I540" s="8">
        <v>6802.95</v>
      </c>
      <c r="J540" s="8">
        <v>7441.18</v>
      </c>
      <c r="K540" s="8">
        <v>91.42</v>
      </c>
      <c r="L540" s="8">
        <v>85</v>
      </c>
      <c r="M540" s="8">
        <v>17167716419.689997</v>
      </c>
      <c r="N540" s="8">
        <v>-10.14</v>
      </c>
      <c r="O540" s="8" t="str">
        <f>vw_scenario_analysis_dataset[[#This Row],[reporter_name]] &amp; "-" &amp; vw_scenario_analysis_dataset[[#This Row],[reference_year]]</f>
        <v>Gabon-2019</v>
      </c>
    </row>
    <row r="541" spans="1:15" x14ac:dyDescent="0.3">
      <c r="A541" s="8" t="s">
        <v>132</v>
      </c>
      <c r="B541" s="8" t="s">
        <v>133</v>
      </c>
      <c r="C541" s="8">
        <v>2020</v>
      </c>
      <c r="D541" s="8">
        <v>14689572861.021004</v>
      </c>
      <c r="E541" s="8">
        <v>15342236164</v>
      </c>
      <c r="F541" s="8">
        <v>2322539</v>
      </c>
      <c r="G541" s="8">
        <v>-1.8377610639999999</v>
      </c>
      <c r="H541" s="8">
        <v>70.11405465</v>
      </c>
      <c r="I541" s="8">
        <v>6324.79</v>
      </c>
      <c r="J541" s="8">
        <v>6605.8</v>
      </c>
      <c r="K541" s="8">
        <v>95.75</v>
      </c>
      <c r="L541" s="8">
        <v>84</v>
      </c>
      <c r="M541" s="8">
        <v>15427085773.809994</v>
      </c>
      <c r="N541" s="8">
        <v>-4.78</v>
      </c>
      <c r="O541" s="8" t="str">
        <f>vw_scenario_analysis_dataset[[#This Row],[reporter_name]] &amp; "-" &amp; vw_scenario_analysis_dataset[[#This Row],[reference_year]]</f>
        <v>Gabon-2020</v>
      </c>
    </row>
    <row r="542" spans="1:15" x14ac:dyDescent="0.3">
      <c r="A542" s="8" t="s">
        <v>132</v>
      </c>
      <c r="B542" s="8" t="s">
        <v>133</v>
      </c>
      <c r="C542" s="8">
        <v>2021</v>
      </c>
      <c r="D542" s="8">
        <v>16062335692.988995</v>
      </c>
      <c r="E542" s="8">
        <v>19444935097</v>
      </c>
      <c r="F542" s="8">
        <v>2376722</v>
      </c>
      <c r="G542" s="8">
        <v>1.467957315</v>
      </c>
      <c r="H542" s="8">
        <v>85.348312210000003</v>
      </c>
      <c r="I542" s="8">
        <v>6758.19</v>
      </c>
      <c r="J542" s="8">
        <v>8181.41</v>
      </c>
      <c r="K542" s="8">
        <v>82.6</v>
      </c>
      <c r="L542" s="8">
        <v>91</v>
      </c>
      <c r="M542" s="8">
        <v>14689572861.021004</v>
      </c>
      <c r="N542" s="8">
        <v>9.35</v>
      </c>
      <c r="O542" s="8" t="str">
        <f>vw_scenario_analysis_dataset[[#This Row],[reporter_name]] &amp; "-" &amp; vw_scenario_analysis_dataset[[#This Row],[reference_year]]</f>
        <v>Gabon-2021</v>
      </c>
    </row>
    <row r="543" spans="1:15" x14ac:dyDescent="0.3">
      <c r="A543" s="8" t="s">
        <v>132</v>
      </c>
      <c r="B543" s="8" t="s">
        <v>133</v>
      </c>
      <c r="C543" s="8">
        <v>2022</v>
      </c>
      <c r="D543" s="8">
        <v>20940912957.212002</v>
      </c>
      <c r="E543" s="8">
        <v>20440655695</v>
      </c>
      <c r="F543" s="8">
        <v>2430747</v>
      </c>
      <c r="G543" s="8">
        <v>3.0376144950000001</v>
      </c>
      <c r="H543" s="8">
        <v>92.06308885</v>
      </c>
      <c r="I543" s="8">
        <v>8615.01</v>
      </c>
      <c r="J543" s="8">
        <v>8409.2099999999991</v>
      </c>
      <c r="K543" s="8">
        <v>102.45</v>
      </c>
      <c r="L543" s="8">
        <v>85</v>
      </c>
      <c r="M543" s="8">
        <v>16062335692.988995</v>
      </c>
      <c r="N543" s="8">
        <v>30.37</v>
      </c>
      <c r="O543" s="8" t="str">
        <f>vw_scenario_analysis_dataset[[#This Row],[reporter_name]] &amp; "-" &amp; vw_scenario_analysis_dataset[[#This Row],[reference_year]]</f>
        <v>Gabon-2022</v>
      </c>
    </row>
    <row r="544" spans="1:15" x14ac:dyDescent="0.3">
      <c r="A544" s="8" t="s">
        <v>132</v>
      </c>
      <c r="B544" s="8" t="s">
        <v>133</v>
      </c>
      <c r="C544" s="8">
        <v>2023</v>
      </c>
      <c r="D544" s="8">
        <v>25389935057.115002</v>
      </c>
      <c r="E544" s="8">
        <v>19388372071</v>
      </c>
      <c r="F544" s="8">
        <v>2484789</v>
      </c>
      <c r="G544" s="8">
        <v>2.43893665</v>
      </c>
      <c r="H544" s="8">
        <v>91.478653320000006</v>
      </c>
      <c r="I544" s="8">
        <v>10218.15</v>
      </c>
      <c r="J544" s="8">
        <v>7802.82</v>
      </c>
      <c r="K544" s="8">
        <v>130.94999999999999</v>
      </c>
      <c r="L544" s="8">
        <v>74</v>
      </c>
      <c r="M544" s="8">
        <v>20940912957.212002</v>
      </c>
      <c r="N544" s="8">
        <v>21.25</v>
      </c>
      <c r="O544" s="8" t="str">
        <f>vw_scenario_analysis_dataset[[#This Row],[reporter_name]] &amp; "-" &amp; vw_scenario_analysis_dataset[[#This Row],[reference_year]]</f>
        <v>Gabon-2023</v>
      </c>
    </row>
    <row r="545" spans="1:15" x14ac:dyDescent="0.3">
      <c r="A545" s="8" t="s">
        <v>134</v>
      </c>
      <c r="B545" s="8" t="s">
        <v>135</v>
      </c>
      <c r="C545" s="8">
        <v>2015</v>
      </c>
      <c r="D545" s="8">
        <v>932591365509</v>
      </c>
      <c r="E545" s="8">
        <v>2950000000000</v>
      </c>
      <c r="F545" s="8">
        <v>65087000</v>
      </c>
      <c r="G545" s="8">
        <v>2.1404055999999998</v>
      </c>
      <c r="H545" s="8">
        <v>57.125044610000003</v>
      </c>
      <c r="I545" s="8">
        <v>14328.38</v>
      </c>
      <c r="J545" s="8">
        <v>45323.95</v>
      </c>
      <c r="K545" s="8">
        <v>31.61</v>
      </c>
      <c r="L545" s="8">
        <v>7</v>
      </c>
      <c r="M545" s="8"/>
      <c r="N545" s="8"/>
      <c r="O545" s="8" t="str">
        <f>vw_scenario_analysis_dataset[[#This Row],[reporter_name]] &amp; "-" &amp; vw_scenario_analysis_dataset[[#This Row],[reference_year]]</f>
        <v>United Kingdom-2015</v>
      </c>
    </row>
    <row r="546" spans="1:15" x14ac:dyDescent="0.3">
      <c r="A546" s="8" t="s">
        <v>134</v>
      </c>
      <c r="B546" s="8" t="s">
        <v>135</v>
      </c>
      <c r="C546" s="8">
        <v>2016</v>
      </c>
      <c r="D546" s="8">
        <v>822926711253</v>
      </c>
      <c r="E546" s="8">
        <v>2710000000000</v>
      </c>
      <c r="F546" s="8">
        <v>65606000</v>
      </c>
      <c r="G546" s="8">
        <v>2.206520206</v>
      </c>
      <c r="H546" s="8">
        <v>59.83953151</v>
      </c>
      <c r="I546" s="8">
        <v>12543.47</v>
      </c>
      <c r="J546" s="8">
        <v>41307.199999999997</v>
      </c>
      <c r="K546" s="8">
        <v>30.37</v>
      </c>
      <c r="L546" s="8">
        <v>9</v>
      </c>
      <c r="M546" s="8">
        <v>932591365509</v>
      </c>
      <c r="N546" s="8">
        <v>-11.76</v>
      </c>
      <c r="O546" s="8" t="str">
        <f>vw_scenario_analysis_dataset[[#This Row],[reporter_name]] &amp; "-" &amp; vw_scenario_analysis_dataset[[#This Row],[reference_year]]</f>
        <v>United Kingdom-2016</v>
      </c>
    </row>
    <row r="547" spans="1:15" x14ac:dyDescent="0.3">
      <c r="A547" s="8" t="s">
        <v>134</v>
      </c>
      <c r="B547" s="8" t="s">
        <v>135</v>
      </c>
      <c r="C547" s="8">
        <v>2017</v>
      </c>
      <c r="D547" s="8">
        <v>883694648428.58984</v>
      </c>
      <c r="E547" s="8">
        <v>2700000000000</v>
      </c>
      <c r="F547" s="8">
        <v>65964000</v>
      </c>
      <c r="G547" s="8">
        <v>3.023222198</v>
      </c>
      <c r="H547" s="8">
        <v>63.189924580000003</v>
      </c>
      <c r="I547" s="8">
        <v>13396.62</v>
      </c>
      <c r="J547" s="8">
        <v>40931.42</v>
      </c>
      <c r="K547" s="8">
        <v>32.729999999999997</v>
      </c>
      <c r="L547" s="8">
        <v>9</v>
      </c>
      <c r="M547" s="8">
        <v>822926711253</v>
      </c>
      <c r="N547" s="8">
        <v>7.38</v>
      </c>
      <c r="O547" s="8" t="str">
        <f>vw_scenario_analysis_dataset[[#This Row],[reporter_name]] &amp; "-" &amp; vw_scenario_analysis_dataset[[#This Row],[reference_year]]</f>
        <v>United Kingdom-2017</v>
      </c>
    </row>
    <row r="548" spans="1:15" x14ac:dyDescent="0.3">
      <c r="A548" s="8" t="s">
        <v>134</v>
      </c>
      <c r="B548" s="8" t="s">
        <v>135</v>
      </c>
      <c r="C548" s="8">
        <v>2018</v>
      </c>
      <c r="D548" s="8">
        <v>981680727107.14917</v>
      </c>
      <c r="E548" s="8">
        <v>2900000000000</v>
      </c>
      <c r="F548" s="8">
        <v>66287000</v>
      </c>
      <c r="G548" s="8">
        <v>1.551330951</v>
      </c>
      <c r="H548" s="8">
        <v>64.909772200000006</v>
      </c>
      <c r="I548" s="8">
        <v>14809.55</v>
      </c>
      <c r="J548" s="8">
        <v>43749.15</v>
      </c>
      <c r="K548" s="8">
        <v>33.85</v>
      </c>
      <c r="L548" s="8">
        <v>9</v>
      </c>
      <c r="M548" s="8">
        <v>883694648428.58984</v>
      </c>
      <c r="N548" s="8">
        <v>11.09</v>
      </c>
      <c r="O548" s="8" t="str">
        <f>vw_scenario_analysis_dataset[[#This Row],[reporter_name]] &amp; "-" &amp; vw_scenario_analysis_dataset[[#This Row],[reference_year]]</f>
        <v>United Kingdom-2018</v>
      </c>
    </row>
    <row r="549" spans="1:15" x14ac:dyDescent="0.3">
      <c r="A549" s="8" t="s">
        <v>134</v>
      </c>
      <c r="B549" s="8" t="s">
        <v>135</v>
      </c>
      <c r="C549" s="8">
        <v>2019</v>
      </c>
      <c r="D549" s="8">
        <v>936644832295.16675</v>
      </c>
      <c r="E549" s="8">
        <v>2880000000000</v>
      </c>
      <c r="F549" s="8">
        <v>66628000</v>
      </c>
      <c r="G549" s="8">
        <v>1.2562989979999999</v>
      </c>
      <c r="H549" s="8">
        <v>65.003566419999999</v>
      </c>
      <c r="I549" s="8">
        <v>14057.83</v>
      </c>
      <c r="J549" s="8">
        <v>43225.07</v>
      </c>
      <c r="K549" s="8">
        <v>32.520000000000003</v>
      </c>
      <c r="L549" s="8">
        <v>9</v>
      </c>
      <c r="M549" s="8">
        <v>981680727107.14917</v>
      </c>
      <c r="N549" s="8">
        <v>-4.59</v>
      </c>
      <c r="O549" s="8" t="str">
        <f>vw_scenario_analysis_dataset[[#This Row],[reporter_name]] &amp; "-" &amp; vw_scenario_analysis_dataset[[#This Row],[reference_year]]</f>
        <v>United Kingdom-2019</v>
      </c>
    </row>
    <row r="550" spans="1:15" x14ac:dyDescent="0.3">
      <c r="A550" s="8" t="s">
        <v>134</v>
      </c>
      <c r="B550" s="8" t="s">
        <v>135</v>
      </c>
      <c r="C550" s="8">
        <v>2020</v>
      </c>
      <c r="D550" s="8">
        <v>791384173172.27637</v>
      </c>
      <c r="E550" s="8">
        <v>2720000000000</v>
      </c>
      <c r="F550" s="8">
        <v>66740000</v>
      </c>
      <c r="G550" s="8">
        <v>-10.047896639999999</v>
      </c>
      <c r="H550" s="8">
        <v>59.159889300000003</v>
      </c>
      <c r="I550" s="8">
        <v>11857.72</v>
      </c>
      <c r="J550" s="8">
        <v>40755.17</v>
      </c>
      <c r="K550" s="8">
        <v>29.1</v>
      </c>
      <c r="L550" s="8">
        <v>10</v>
      </c>
      <c r="M550" s="8">
        <v>936644832295.16675</v>
      </c>
      <c r="N550" s="8">
        <v>-15.51</v>
      </c>
      <c r="O550" s="8" t="str">
        <f>vw_scenario_analysis_dataset[[#This Row],[reporter_name]] &amp; "-" &amp; vw_scenario_analysis_dataset[[#This Row],[reference_year]]</f>
        <v>United Kingdom-2020</v>
      </c>
    </row>
    <row r="551" spans="1:15" x14ac:dyDescent="0.3">
      <c r="A551" s="8" t="s">
        <v>134</v>
      </c>
      <c r="B551" s="8" t="s">
        <v>135</v>
      </c>
      <c r="C551" s="8">
        <v>2021</v>
      </c>
      <c r="D551" s="8">
        <v>941095572058.92432</v>
      </c>
      <c r="E551" s="8">
        <v>3190000000000</v>
      </c>
      <c r="F551" s="8">
        <v>66978000</v>
      </c>
      <c r="G551" s="8">
        <v>8.5431118450000003</v>
      </c>
      <c r="H551" s="8">
        <v>58.538386289999998</v>
      </c>
      <c r="I551" s="8">
        <v>14050.82</v>
      </c>
      <c r="J551" s="8">
        <v>47627.58</v>
      </c>
      <c r="K551" s="8">
        <v>29.5</v>
      </c>
      <c r="L551" s="8">
        <v>12</v>
      </c>
      <c r="M551" s="8">
        <v>791384173172.27637</v>
      </c>
      <c r="N551" s="8">
        <v>18.920000000000002</v>
      </c>
      <c r="O551" s="8" t="str">
        <f>vw_scenario_analysis_dataset[[#This Row],[reporter_name]] &amp; "-" &amp; vw_scenario_analysis_dataset[[#This Row],[reference_year]]</f>
        <v>United Kingdom-2021</v>
      </c>
    </row>
    <row r="552" spans="1:15" x14ac:dyDescent="0.3">
      <c r="A552" s="8" t="s">
        <v>134</v>
      </c>
      <c r="B552" s="8" t="s">
        <v>135</v>
      </c>
      <c r="C552" s="8">
        <v>2022</v>
      </c>
      <c r="D552" s="8">
        <v>1086372091001.4473</v>
      </c>
      <c r="E552" s="8">
        <v>3180000000000</v>
      </c>
      <c r="F552" s="8">
        <v>67636000</v>
      </c>
      <c r="G552" s="8">
        <v>5.1497038850000001</v>
      </c>
      <c r="H552" s="8">
        <v>69.198926439999994</v>
      </c>
      <c r="I552" s="8">
        <v>16062.04</v>
      </c>
      <c r="J552" s="8">
        <v>47016.38</v>
      </c>
      <c r="K552" s="8">
        <v>34.159999999999997</v>
      </c>
      <c r="L552" s="8">
        <v>11</v>
      </c>
      <c r="M552" s="8">
        <v>941095572058.92432</v>
      </c>
      <c r="N552" s="8">
        <v>15.44</v>
      </c>
      <c r="O552" s="8" t="str">
        <f>vw_scenario_analysis_dataset[[#This Row],[reporter_name]] &amp; "-" &amp; vw_scenario_analysis_dataset[[#This Row],[reference_year]]</f>
        <v>United Kingdom-2022</v>
      </c>
    </row>
    <row r="553" spans="1:15" x14ac:dyDescent="0.3">
      <c r="A553" s="8" t="s">
        <v>134</v>
      </c>
      <c r="B553" s="8" t="s">
        <v>135</v>
      </c>
      <c r="C553" s="8">
        <v>2023</v>
      </c>
      <c r="D553" s="8">
        <v>1042414445910.6543</v>
      </c>
      <c r="E553" s="8">
        <v>3420000000000</v>
      </c>
      <c r="F553" s="8">
        <v>68526000</v>
      </c>
      <c r="G553" s="8">
        <v>0.27165004799999998</v>
      </c>
      <c r="H553" s="8">
        <v>64.992384169999994</v>
      </c>
      <c r="I553" s="8">
        <v>15211.96</v>
      </c>
      <c r="J553" s="8">
        <v>49908.06</v>
      </c>
      <c r="K553" s="8">
        <v>30.48</v>
      </c>
      <c r="L553" s="8">
        <v>12</v>
      </c>
      <c r="M553" s="8">
        <v>1086372091001.4473</v>
      </c>
      <c r="N553" s="8">
        <v>-4.05</v>
      </c>
      <c r="O553" s="8" t="str">
        <f>vw_scenario_analysis_dataset[[#This Row],[reporter_name]] &amp; "-" &amp; vw_scenario_analysis_dataset[[#This Row],[reference_year]]</f>
        <v>United Kingdom-2023</v>
      </c>
    </row>
    <row r="554" spans="1:15" x14ac:dyDescent="0.3">
      <c r="A554" s="8" t="s">
        <v>134</v>
      </c>
      <c r="B554" s="8" t="s">
        <v>135</v>
      </c>
      <c r="C554" s="8">
        <v>2024</v>
      </c>
      <c r="D554" s="8">
        <v>1040331742475.95</v>
      </c>
      <c r="E554" s="8">
        <v>3700000000000</v>
      </c>
      <c r="F554" s="8">
        <v>69281000</v>
      </c>
      <c r="G554" s="8">
        <v>1.0802771689999999</v>
      </c>
      <c r="H554" s="8">
        <v>62.839052039999999</v>
      </c>
      <c r="I554" s="8">
        <v>15016.12</v>
      </c>
      <c r="J554" s="8">
        <v>53405.7</v>
      </c>
      <c r="K554" s="8">
        <v>28.12</v>
      </c>
      <c r="L554" s="8">
        <v>11</v>
      </c>
      <c r="M554" s="8">
        <v>1042414445910.6543</v>
      </c>
      <c r="N554" s="8">
        <v>-0.2</v>
      </c>
      <c r="O554" s="8" t="str">
        <f>vw_scenario_analysis_dataset[[#This Row],[reporter_name]] &amp; "-" &amp; vw_scenario_analysis_dataset[[#This Row],[reference_year]]</f>
        <v>United Kingdom-2024</v>
      </c>
    </row>
    <row r="555" spans="1:15" x14ac:dyDescent="0.3">
      <c r="A555" s="8" t="s">
        <v>136</v>
      </c>
      <c r="B555" s="8" t="s">
        <v>137</v>
      </c>
      <c r="C555" s="8">
        <v>2015</v>
      </c>
      <c r="D555" s="8">
        <v>4408349362.8600006</v>
      </c>
      <c r="E555" s="8">
        <v>15223796149</v>
      </c>
      <c r="F555" s="8">
        <v>3725276</v>
      </c>
      <c r="G555" s="8">
        <v>3.351023503</v>
      </c>
      <c r="H555" s="8">
        <v>97.016311509999994</v>
      </c>
      <c r="I555" s="8">
        <v>1183.3599999999999</v>
      </c>
      <c r="J555" s="8">
        <v>4086.62</v>
      </c>
      <c r="K555" s="8">
        <v>28.96</v>
      </c>
      <c r="L555" s="8">
        <v>114</v>
      </c>
      <c r="M555" s="8"/>
      <c r="N555" s="8"/>
      <c r="O555" s="8" t="str">
        <f>vw_scenario_analysis_dataset[[#This Row],[reporter_name]] &amp; "-" &amp; vw_scenario_analysis_dataset[[#This Row],[reference_year]]</f>
        <v>Georgia-2015</v>
      </c>
    </row>
    <row r="556" spans="1:15" x14ac:dyDescent="0.3">
      <c r="A556" s="8" t="s">
        <v>136</v>
      </c>
      <c r="B556" s="8" t="s">
        <v>137</v>
      </c>
      <c r="C556" s="8">
        <v>2016</v>
      </c>
      <c r="D556" s="8">
        <v>4234261415.1400013</v>
      </c>
      <c r="E556" s="8">
        <v>15444548902</v>
      </c>
      <c r="F556" s="8">
        <v>3727505</v>
      </c>
      <c r="G556" s="8">
        <v>3.4502151799999998</v>
      </c>
      <c r="H556" s="8">
        <v>94.926252840000004</v>
      </c>
      <c r="I556" s="8">
        <v>1135.95</v>
      </c>
      <c r="J556" s="8">
        <v>4143.3999999999996</v>
      </c>
      <c r="K556" s="8">
        <v>27.42</v>
      </c>
      <c r="L556" s="8">
        <v>119</v>
      </c>
      <c r="M556" s="8">
        <v>4408349362.8600006</v>
      </c>
      <c r="N556" s="8">
        <v>-3.95</v>
      </c>
      <c r="O556" s="8" t="str">
        <f>vw_scenario_analysis_dataset[[#This Row],[reporter_name]] &amp; "-" &amp; vw_scenario_analysis_dataset[[#This Row],[reference_year]]</f>
        <v>Georgia-2016</v>
      </c>
    </row>
    <row r="557" spans="1:15" x14ac:dyDescent="0.3">
      <c r="A557" s="8" t="s">
        <v>136</v>
      </c>
      <c r="B557" s="8" t="s">
        <v>137</v>
      </c>
      <c r="C557" s="8">
        <v>2017</v>
      </c>
      <c r="D557" s="8">
        <v>5491318518.7399998</v>
      </c>
      <c r="E557" s="8">
        <v>16473125375</v>
      </c>
      <c r="F557" s="8">
        <v>3728004</v>
      </c>
      <c r="G557" s="8">
        <v>5.1599026170000002</v>
      </c>
      <c r="H557" s="8">
        <v>102.5842777</v>
      </c>
      <c r="I557" s="8">
        <v>1472.99</v>
      </c>
      <c r="J557" s="8">
        <v>4418.75</v>
      </c>
      <c r="K557" s="8">
        <v>33.340000000000003</v>
      </c>
      <c r="L557" s="8">
        <v>116</v>
      </c>
      <c r="M557" s="8">
        <v>4234261415.1400013</v>
      </c>
      <c r="N557" s="8">
        <v>29.69</v>
      </c>
      <c r="O557" s="8" t="str">
        <f>vw_scenario_analysis_dataset[[#This Row],[reporter_name]] &amp; "-" &amp; vw_scenario_analysis_dataset[[#This Row],[reference_year]]</f>
        <v>Georgia-2017</v>
      </c>
    </row>
    <row r="558" spans="1:15" x14ac:dyDescent="0.3">
      <c r="A558" s="8" t="s">
        <v>136</v>
      </c>
      <c r="B558" s="8" t="s">
        <v>137</v>
      </c>
      <c r="C558" s="8">
        <v>2018</v>
      </c>
      <c r="D558" s="8">
        <v>6759299025.079999</v>
      </c>
      <c r="E558" s="8">
        <v>17902544881</v>
      </c>
      <c r="F558" s="8">
        <v>3726549</v>
      </c>
      <c r="G558" s="8">
        <v>6.0620364130000004</v>
      </c>
      <c r="H558" s="8">
        <v>109.84774059999999</v>
      </c>
      <c r="I558" s="8">
        <v>1813.82</v>
      </c>
      <c r="J558" s="8">
        <v>4804.05</v>
      </c>
      <c r="K558" s="8">
        <v>37.76</v>
      </c>
      <c r="L558" s="8">
        <v>111</v>
      </c>
      <c r="M558" s="8">
        <v>5491318518.7399998</v>
      </c>
      <c r="N558" s="8">
        <v>23.09</v>
      </c>
      <c r="O558" s="8" t="str">
        <f>vw_scenario_analysis_dataset[[#This Row],[reporter_name]] &amp; "-" &amp; vw_scenario_analysis_dataset[[#This Row],[reference_year]]</f>
        <v>Georgia-2018</v>
      </c>
    </row>
    <row r="559" spans="1:15" x14ac:dyDescent="0.3">
      <c r="A559" s="8" t="s">
        <v>136</v>
      </c>
      <c r="B559" s="8" t="s">
        <v>137</v>
      </c>
      <c r="C559" s="8">
        <v>2019</v>
      </c>
      <c r="D559" s="8">
        <v>7595931387.5000038</v>
      </c>
      <c r="E559" s="8">
        <v>17638337117</v>
      </c>
      <c r="F559" s="8">
        <v>3720161</v>
      </c>
      <c r="G559" s="8">
        <v>5.3807192659999998</v>
      </c>
      <c r="H559" s="8">
        <v>117.8100802</v>
      </c>
      <c r="I559" s="8">
        <v>2041.83</v>
      </c>
      <c r="J559" s="8">
        <v>4741.28</v>
      </c>
      <c r="K559" s="8">
        <v>43.06</v>
      </c>
      <c r="L559" s="8">
        <v>107</v>
      </c>
      <c r="M559" s="8">
        <v>6759299025.079999</v>
      </c>
      <c r="N559" s="8">
        <v>12.38</v>
      </c>
      <c r="O559" s="8" t="str">
        <f>vw_scenario_analysis_dataset[[#This Row],[reporter_name]] &amp; "-" &amp; vw_scenario_analysis_dataset[[#This Row],[reference_year]]</f>
        <v>Georgia-2019</v>
      </c>
    </row>
    <row r="560" spans="1:15" x14ac:dyDescent="0.3">
      <c r="A560" s="8" t="s">
        <v>136</v>
      </c>
      <c r="B560" s="8" t="s">
        <v>137</v>
      </c>
      <c r="C560" s="8">
        <v>2020</v>
      </c>
      <c r="D560" s="8">
        <v>6681395114.2599974</v>
      </c>
      <c r="E560" s="8">
        <v>16010869216</v>
      </c>
      <c r="F560" s="8">
        <v>3722716</v>
      </c>
      <c r="G560" s="8">
        <v>-6.2904717850000003</v>
      </c>
      <c r="H560" s="8">
        <v>92.891084179999993</v>
      </c>
      <c r="I560" s="8">
        <v>1794.76</v>
      </c>
      <c r="J560" s="8">
        <v>4300.8599999999997</v>
      </c>
      <c r="K560" s="8">
        <v>41.73</v>
      </c>
      <c r="L560" s="8">
        <v>109</v>
      </c>
      <c r="M560" s="8">
        <v>7595931387.5000038</v>
      </c>
      <c r="N560" s="8">
        <v>-12.04</v>
      </c>
      <c r="O560" s="8" t="str">
        <f>vw_scenario_analysis_dataset[[#This Row],[reporter_name]] &amp; "-" &amp; vw_scenario_analysis_dataset[[#This Row],[reference_year]]</f>
        <v>Georgia-2020</v>
      </c>
    </row>
    <row r="561" spans="1:15" x14ac:dyDescent="0.3">
      <c r="A561" s="8" t="s">
        <v>136</v>
      </c>
      <c r="B561" s="8" t="s">
        <v>137</v>
      </c>
      <c r="C561" s="8">
        <v>2021</v>
      </c>
      <c r="D561" s="8">
        <v>8485025870.1400023</v>
      </c>
      <c r="E561" s="8">
        <v>18853115589</v>
      </c>
      <c r="F561" s="8">
        <v>3708610</v>
      </c>
      <c r="G561" s="8">
        <v>10.644233659999999</v>
      </c>
      <c r="H561" s="8">
        <v>101.60090750000001</v>
      </c>
      <c r="I561" s="8">
        <v>2287.9299999999998</v>
      </c>
      <c r="J561" s="8">
        <v>5083.6099999999997</v>
      </c>
      <c r="K561" s="8">
        <v>45.01</v>
      </c>
      <c r="L561" s="8">
        <v>106</v>
      </c>
      <c r="M561" s="8">
        <v>6681395114.2599974</v>
      </c>
      <c r="N561" s="8">
        <v>26.99</v>
      </c>
      <c r="O561" s="8" t="str">
        <f>vw_scenario_analysis_dataset[[#This Row],[reporter_name]] &amp; "-" &amp; vw_scenario_analysis_dataset[[#This Row],[reference_year]]</f>
        <v>Georgia-2021</v>
      </c>
    </row>
    <row r="562" spans="1:15" x14ac:dyDescent="0.3">
      <c r="A562" s="8" t="s">
        <v>136</v>
      </c>
      <c r="B562" s="8" t="s">
        <v>137</v>
      </c>
      <c r="C562" s="8">
        <v>2022</v>
      </c>
      <c r="D562" s="8">
        <v>11165004433.390997</v>
      </c>
      <c r="E562" s="8">
        <v>24984568960</v>
      </c>
      <c r="F562" s="8">
        <v>3712502</v>
      </c>
      <c r="G562" s="8">
        <v>10.958532140000001</v>
      </c>
      <c r="H562" s="8">
        <v>114.6954377</v>
      </c>
      <c r="I562" s="8">
        <v>3007.41</v>
      </c>
      <c r="J562" s="8">
        <v>6729.85</v>
      </c>
      <c r="K562" s="8">
        <v>44.69</v>
      </c>
      <c r="L562" s="8">
        <v>103</v>
      </c>
      <c r="M562" s="8">
        <v>8485025870.1400023</v>
      </c>
      <c r="N562" s="8">
        <v>31.58</v>
      </c>
      <c r="O562" s="8" t="str">
        <f>vw_scenario_analysis_dataset[[#This Row],[reporter_name]] &amp; "-" &amp; vw_scenario_analysis_dataset[[#This Row],[reference_year]]</f>
        <v>Georgia-2022</v>
      </c>
    </row>
    <row r="563" spans="1:15" x14ac:dyDescent="0.3">
      <c r="A563" s="8" t="s">
        <v>136</v>
      </c>
      <c r="B563" s="8" t="s">
        <v>137</v>
      </c>
      <c r="C563" s="8">
        <v>2023</v>
      </c>
      <c r="D563" s="8">
        <v>12172651929.909992</v>
      </c>
      <c r="E563" s="8">
        <v>30777833601</v>
      </c>
      <c r="F563" s="8">
        <v>3715483</v>
      </c>
      <c r="G563" s="8">
        <v>7.8322012660000002</v>
      </c>
      <c r="H563" s="8">
        <v>107.1511792</v>
      </c>
      <c r="I563" s="8">
        <v>3276.2</v>
      </c>
      <c r="J563" s="8">
        <v>8283.67</v>
      </c>
      <c r="K563" s="8">
        <v>39.549999999999997</v>
      </c>
      <c r="L563" s="8">
        <v>100</v>
      </c>
      <c r="M563" s="8">
        <v>11165004433.390997</v>
      </c>
      <c r="N563" s="8">
        <v>9.0299999999999994</v>
      </c>
      <c r="O563" s="8" t="str">
        <f>vw_scenario_analysis_dataset[[#This Row],[reporter_name]] &amp; "-" &amp; vw_scenario_analysis_dataset[[#This Row],[reference_year]]</f>
        <v>Georgia-2023</v>
      </c>
    </row>
    <row r="564" spans="1:15" x14ac:dyDescent="0.3">
      <c r="A564" s="8" t="s">
        <v>136</v>
      </c>
      <c r="B564" s="8" t="s">
        <v>137</v>
      </c>
      <c r="C564" s="8">
        <v>2024</v>
      </c>
      <c r="D564" s="8">
        <v>13117377139.084993</v>
      </c>
      <c r="E564" s="8">
        <v>34189423333</v>
      </c>
      <c r="F564" s="8">
        <v>3812518</v>
      </c>
      <c r="G564" s="8">
        <v>9.6797937970000003</v>
      </c>
      <c r="H564" s="8">
        <v>103.45647150000001</v>
      </c>
      <c r="I564" s="8">
        <v>3440.61</v>
      </c>
      <c r="J564" s="8">
        <v>8967.68</v>
      </c>
      <c r="K564" s="8">
        <v>38.369999999999997</v>
      </c>
      <c r="L564" s="8">
        <v>92</v>
      </c>
      <c r="M564" s="8">
        <v>12172651929.909992</v>
      </c>
      <c r="N564" s="8">
        <v>7.76</v>
      </c>
      <c r="O564" s="8" t="str">
        <f>vw_scenario_analysis_dataset[[#This Row],[reporter_name]] &amp; "-" &amp; vw_scenario_analysis_dataset[[#This Row],[reference_year]]</f>
        <v>Georgia-2024</v>
      </c>
    </row>
    <row r="565" spans="1:15" x14ac:dyDescent="0.3">
      <c r="A565" s="8" t="s">
        <v>138</v>
      </c>
      <c r="B565" s="8" t="s">
        <v>139</v>
      </c>
      <c r="C565" s="8">
        <v>2015</v>
      </c>
      <c r="D565" s="8">
        <v>27511129874.545998</v>
      </c>
      <c r="E565" s="8">
        <v>49436806230</v>
      </c>
      <c r="F565" s="8">
        <v>28696068</v>
      </c>
      <c r="G565" s="8">
        <v>2.120759338</v>
      </c>
      <c r="H565" s="8">
        <v>76.521270920000006</v>
      </c>
      <c r="I565" s="8">
        <v>958.71</v>
      </c>
      <c r="J565" s="8">
        <v>1722.77</v>
      </c>
      <c r="K565" s="8">
        <v>55.65</v>
      </c>
      <c r="L565" s="8">
        <v>68</v>
      </c>
      <c r="M565" s="8"/>
      <c r="N565" s="8"/>
      <c r="O565" s="8" t="str">
        <f>vw_scenario_analysis_dataset[[#This Row],[reporter_name]] &amp; "-" &amp; vw_scenario_analysis_dataset[[#This Row],[reference_year]]</f>
        <v>Ghana-2015</v>
      </c>
    </row>
    <row r="566" spans="1:15" x14ac:dyDescent="0.3">
      <c r="A566" s="8" t="s">
        <v>138</v>
      </c>
      <c r="B566" s="8" t="s">
        <v>139</v>
      </c>
      <c r="C566" s="8">
        <v>2016</v>
      </c>
      <c r="D566" s="8">
        <v>21311592830</v>
      </c>
      <c r="E566" s="8">
        <v>56144179398</v>
      </c>
      <c r="F566" s="8">
        <v>29356742</v>
      </c>
      <c r="G566" s="8">
        <v>3.3734657499999998</v>
      </c>
      <c r="H566" s="8">
        <v>67.876999440000006</v>
      </c>
      <c r="I566" s="8">
        <v>725.95</v>
      </c>
      <c r="J566" s="8">
        <v>1912.48</v>
      </c>
      <c r="K566" s="8">
        <v>37.96</v>
      </c>
      <c r="L566" s="8">
        <v>75</v>
      </c>
      <c r="M566" s="8">
        <v>27511129874.545998</v>
      </c>
      <c r="N566" s="8">
        <v>-22.53</v>
      </c>
      <c r="O566" s="8" t="str">
        <f>vw_scenario_analysis_dataset[[#This Row],[reporter_name]] &amp; "-" &amp; vw_scenario_analysis_dataset[[#This Row],[reference_year]]</f>
        <v>Ghana-2016</v>
      </c>
    </row>
    <row r="567" spans="1:15" x14ac:dyDescent="0.3">
      <c r="A567" s="8" t="s">
        <v>138</v>
      </c>
      <c r="B567" s="8" t="s">
        <v>139</v>
      </c>
      <c r="C567" s="8">
        <v>2017</v>
      </c>
      <c r="D567" s="8">
        <v>28717019903.972004</v>
      </c>
      <c r="E567" s="8">
        <v>60385409435</v>
      </c>
      <c r="F567" s="8">
        <v>30008354</v>
      </c>
      <c r="G567" s="8">
        <v>8.1288948810000008</v>
      </c>
      <c r="H567" s="8">
        <v>70.548365290000007</v>
      </c>
      <c r="I567" s="8">
        <v>956.97</v>
      </c>
      <c r="J567" s="8">
        <v>2012.29</v>
      </c>
      <c r="K567" s="8">
        <v>47.56</v>
      </c>
      <c r="L567" s="8">
        <v>69</v>
      </c>
      <c r="M567" s="8">
        <v>21311592830</v>
      </c>
      <c r="N567" s="8">
        <v>34.75</v>
      </c>
      <c r="O567" s="8" t="str">
        <f>vw_scenario_analysis_dataset[[#This Row],[reporter_name]] &amp; "-" &amp; vw_scenario_analysis_dataset[[#This Row],[reference_year]]</f>
        <v>Ghana-2017</v>
      </c>
    </row>
    <row r="568" spans="1:15" x14ac:dyDescent="0.3">
      <c r="A568" s="8" t="s">
        <v>138</v>
      </c>
      <c r="B568" s="8" t="s">
        <v>139</v>
      </c>
      <c r="C568" s="8">
        <v>2018</v>
      </c>
      <c r="D568" s="8">
        <v>34199176799.322002</v>
      </c>
      <c r="E568" s="8">
        <v>67259353966</v>
      </c>
      <c r="F568" s="8">
        <v>30637585</v>
      </c>
      <c r="G568" s="8">
        <v>6.2000776809999998</v>
      </c>
      <c r="H568" s="8">
        <v>67.958517459999996</v>
      </c>
      <c r="I568" s="8">
        <v>1116.25</v>
      </c>
      <c r="J568" s="8">
        <v>2195.3200000000002</v>
      </c>
      <c r="K568" s="8">
        <v>50.85</v>
      </c>
      <c r="L568" s="8">
        <v>69</v>
      </c>
      <c r="M568" s="8">
        <v>28717019903.972004</v>
      </c>
      <c r="N568" s="8">
        <v>19.09</v>
      </c>
      <c r="O568" s="8" t="str">
        <f>vw_scenario_analysis_dataset[[#This Row],[reporter_name]] &amp; "-" &amp; vw_scenario_analysis_dataset[[#This Row],[reference_year]]</f>
        <v>Ghana-2018</v>
      </c>
    </row>
    <row r="569" spans="1:15" x14ac:dyDescent="0.3">
      <c r="A569" s="8" t="s">
        <v>138</v>
      </c>
      <c r="B569" s="8" t="s">
        <v>139</v>
      </c>
      <c r="C569" s="8">
        <v>2019</v>
      </c>
      <c r="D569" s="8">
        <v>33536550379.847004</v>
      </c>
      <c r="E569" s="8">
        <v>68352629246</v>
      </c>
      <c r="F569" s="8">
        <v>31258945</v>
      </c>
      <c r="G569" s="8">
        <v>6.5077747940000004</v>
      </c>
      <c r="H569" s="8">
        <v>76.824802730000002</v>
      </c>
      <c r="I569" s="8">
        <v>1072.8599999999999</v>
      </c>
      <c r="J569" s="8">
        <v>2186.66</v>
      </c>
      <c r="K569" s="8">
        <v>49.06</v>
      </c>
      <c r="L569" s="8">
        <v>68</v>
      </c>
      <c r="M569" s="8">
        <v>34199176799.322002</v>
      </c>
      <c r="N569" s="8">
        <v>-1.94</v>
      </c>
      <c r="O569" s="8" t="str">
        <f>vw_scenario_analysis_dataset[[#This Row],[reporter_name]] &amp; "-" &amp; vw_scenario_analysis_dataset[[#This Row],[reference_year]]</f>
        <v>Ghana-2019</v>
      </c>
    </row>
    <row r="570" spans="1:15" x14ac:dyDescent="0.3">
      <c r="A570" s="8" t="s">
        <v>138</v>
      </c>
      <c r="B570" s="8" t="s">
        <v>139</v>
      </c>
      <c r="C570" s="8">
        <v>2021</v>
      </c>
      <c r="D570" s="8">
        <v>29646464976.175003</v>
      </c>
      <c r="E570" s="8">
        <v>79514204730</v>
      </c>
      <c r="F570" s="8">
        <v>32518665</v>
      </c>
      <c r="G570" s="8">
        <v>5.0764664350000004</v>
      </c>
      <c r="H570" s="8">
        <v>62.707830909999998</v>
      </c>
      <c r="I570" s="8">
        <v>911.68</v>
      </c>
      <c r="J570" s="8">
        <v>2445.19</v>
      </c>
      <c r="K570" s="8">
        <v>37.28</v>
      </c>
      <c r="L570" s="8">
        <v>73</v>
      </c>
      <c r="M570" s="8">
        <v>33536550379.847004</v>
      </c>
      <c r="N570" s="8">
        <v>-11.6</v>
      </c>
      <c r="O570" s="8" t="str">
        <f>vw_scenario_analysis_dataset[[#This Row],[reporter_name]] &amp; "-" &amp; vw_scenario_analysis_dataset[[#This Row],[reference_year]]</f>
        <v>Ghana-2021</v>
      </c>
    </row>
    <row r="571" spans="1:15" x14ac:dyDescent="0.3">
      <c r="A571" s="8" t="s">
        <v>138</v>
      </c>
      <c r="B571" s="8" t="s">
        <v>139</v>
      </c>
      <c r="C571" s="8">
        <v>2022</v>
      </c>
      <c r="D571" s="8">
        <v>34757514773.783005</v>
      </c>
      <c r="E571" s="8">
        <v>73919003212</v>
      </c>
      <c r="F571" s="8">
        <v>33149152</v>
      </c>
      <c r="G571" s="8">
        <v>3.8048497819999998</v>
      </c>
      <c r="H571" s="8">
        <v>70.115455789999999</v>
      </c>
      <c r="I571" s="8">
        <v>1048.52</v>
      </c>
      <c r="J571" s="8">
        <v>2229.89</v>
      </c>
      <c r="K571" s="8">
        <v>47.02</v>
      </c>
      <c r="L571" s="8">
        <v>69</v>
      </c>
      <c r="M571" s="8">
        <v>29646464976.175003</v>
      </c>
      <c r="N571" s="8">
        <v>17.239999999999998</v>
      </c>
      <c r="O571" s="8" t="str">
        <f>vw_scenario_analysis_dataset[[#This Row],[reporter_name]] &amp; "-" &amp; vw_scenario_analysis_dataset[[#This Row],[reference_year]]</f>
        <v>Ghana-2022</v>
      </c>
    </row>
    <row r="572" spans="1:15" x14ac:dyDescent="0.3">
      <c r="A572" s="8" t="s">
        <v>138</v>
      </c>
      <c r="B572" s="8" t="s">
        <v>139</v>
      </c>
      <c r="C572" s="8">
        <v>2023</v>
      </c>
      <c r="D572" s="8">
        <v>33749324572.265999</v>
      </c>
      <c r="E572" s="8">
        <v>80547146876</v>
      </c>
      <c r="F572" s="8">
        <v>33787914</v>
      </c>
      <c r="G572" s="8">
        <v>3.140091001</v>
      </c>
      <c r="H572" s="8">
        <v>64.387861529999995</v>
      </c>
      <c r="I572" s="8">
        <v>998.86</v>
      </c>
      <c r="J572" s="8">
        <v>2383.9</v>
      </c>
      <c r="K572" s="8">
        <v>41.9</v>
      </c>
      <c r="L572" s="8">
        <v>69</v>
      </c>
      <c r="M572" s="8">
        <v>34757514773.783005</v>
      </c>
      <c r="N572" s="8">
        <v>-2.9</v>
      </c>
      <c r="O572" s="8" t="str">
        <f>vw_scenario_analysis_dataset[[#This Row],[reporter_name]] &amp; "-" &amp; vw_scenario_analysis_dataset[[#This Row],[reference_year]]</f>
        <v>Ghana-2023</v>
      </c>
    </row>
    <row r="573" spans="1:15" x14ac:dyDescent="0.3">
      <c r="A573" s="8" t="s">
        <v>140</v>
      </c>
      <c r="B573" s="8" t="s">
        <v>141</v>
      </c>
      <c r="C573" s="8">
        <v>2015</v>
      </c>
      <c r="D573" s="8">
        <v>3147350405</v>
      </c>
      <c r="E573" s="8">
        <v>8794201743</v>
      </c>
      <c r="F573" s="8">
        <v>11767070</v>
      </c>
      <c r="G573" s="8">
        <v>3.8259105689999999</v>
      </c>
      <c r="H573" s="8">
        <v>72.442730749999996</v>
      </c>
      <c r="I573" s="8">
        <v>267.47000000000003</v>
      </c>
      <c r="J573" s="8">
        <v>747.36</v>
      </c>
      <c r="K573" s="8">
        <v>35.79</v>
      </c>
      <c r="L573" s="8">
        <v>122</v>
      </c>
      <c r="M573" s="8"/>
      <c r="N573" s="8"/>
      <c r="O573" s="8" t="str">
        <f>vw_scenario_analysis_dataset[[#This Row],[reporter_name]] &amp; "-" &amp; vw_scenario_analysis_dataset[[#This Row],[reference_year]]</f>
        <v>Guinea-2015</v>
      </c>
    </row>
    <row r="574" spans="1:15" x14ac:dyDescent="0.3">
      <c r="A574" s="8" t="s">
        <v>140</v>
      </c>
      <c r="B574" s="8" t="s">
        <v>141</v>
      </c>
      <c r="C574" s="8">
        <v>2016</v>
      </c>
      <c r="D574" s="8">
        <v>4789057041.9000006</v>
      </c>
      <c r="E574" s="8">
        <v>8595955222</v>
      </c>
      <c r="F574" s="8">
        <v>12073030</v>
      </c>
      <c r="G574" s="8">
        <v>10.820627200000001</v>
      </c>
      <c r="H574" s="8">
        <v>111.8394674</v>
      </c>
      <c r="I574" s="8">
        <v>396.67</v>
      </c>
      <c r="J574" s="8">
        <v>712</v>
      </c>
      <c r="K574" s="8">
        <v>55.71</v>
      </c>
      <c r="L574" s="8">
        <v>114</v>
      </c>
      <c r="M574" s="8">
        <v>3147350405</v>
      </c>
      <c r="N574" s="8">
        <v>52.16</v>
      </c>
      <c r="O574" s="8" t="str">
        <f>vw_scenario_analysis_dataset[[#This Row],[reporter_name]] &amp; "-" &amp; vw_scenario_analysis_dataset[[#This Row],[reference_year]]</f>
        <v>Guinea-2016</v>
      </c>
    </row>
    <row r="575" spans="1:15" x14ac:dyDescent="0.3">
      <c r="A575" s="8" t="s">
        <v>142</v>
      </c>
      <c r="B575" s="8" t="s">
        <v>143</v>
      </c>
      <c r="C575" s="8">
        <v>2015</v>
      </c>
      <c r="D575" s="8">
        <v>166648030.46300006</v>
      </c>
      <c r="E575" s="8">
        <v>1378176609</v>
      </c>
      <c r="F575" s="8">
        <v>2224529</v>
      </c>
      <c r="G575" s="8">
        <v>4.0580738040000002</v>
      </c>
      <c r="H575" s="8">
        <v>44.522373080000001</v>
      </c>
      <c r="I575" s="8">
        <v>74.91</v>
      </c>
      <c r="J575" s="8">
        <v>619.54</v>
      </c>
      <c r="K575" s="8">
        <v>12.09</v>
      </c>
      <c r="L575" s="8">
        <v>156</v>
      </c>
      <c r="M575" s="8"/>
      <c r="N575" s="8"/>
      <c r="O575" s="8" t="str">
        <f>vw_scenario_analysis_dataset[[#This Row],[reporter_name]] &amp; "-" &amp; vw_scenario_analysis_dataset[[#This Row],[reference_year]]</f>
        <v>Gambia-2015</v>
      </c>
    </row>
    <row r="576" spans="1:15" x14ac:dyDescent="0.3">
      <c r="A576" s="8" t="s">
        <v>142</v>
      </c>
      <c r="B576" s="8" t="s">
        <v>143</v>
      </c>
      <c r="C576" s="8">
        <v>2016</v>
      </c>
      <c r="D576" s="8">
        <v>68581874.193000004</v>
      </c>
      <c r="E576" s="8">
        <v>1484578886</v>
      </c>
      <c r="F576" s="8">
        <v>2283769</v>
      </c>
      <c r="G576" s="8">
        <v>1.9433596550000001</v>
      </c>
      <c r="H576" s="8">
        <v>38.114087959999999</v>
      </c>
      <c r="I576" s="8">
        <v>30.03</v>
      </c>
      <c r="J576" s="8">
        <v>650.05999999999995</v>
      </c>
      <c r="K576" s="8">
        <v>4.62</v>
      </c>
      <c r="L576" s="8">
        <v>165</v>
      </c>
      <c r="M576" s="8">
        <v>166648030.46300006</v>
      </c>
      <c r="N576" s="8">
        <v>-58.85</v>
      </c>
      <c r="O576" s="8" t="str">
        <f>vw_scenario_analysis_dataset[[#This Row],[reporter_name]] &amp; "-" &amp; vw_scenario_analysis_dataset[[#This Row],[reference_year]]</f>
        <v>Gambia-2016</v>
      </c>
    </row>
    <row r="577" spans="1:15" x14ac:dyDescent="0.3">
      <c r="A577" s="8" t="s">
        <v>142</v>
      </c>
      <c r="B577" s="8" t="s">
        <v>143</v>
      </c>
      <c r="C577" s="8">
        <v>2017</v>
      </c>
      <c r="D577" s="8">
        <v>27615743.997999996</v>
      </c>
      <c r="E577" s="8">
        <v>1504909463</v>
      </c>
      <c r="F577" s="8">
        <v>2342189</v>
      </c>
      <c r="G577" s="8">
        <v>4.8226112490000004</v>
      </c>
      <c r="H577" s="8">
        <v>55.73357961</v>
      </c>
      <c r="I577" s="8">
        <v>11.79</v>
      </c>
      <c r="J577" s="8">
        <v>642.52</v>
      </c>
      <c r="K577" s="8">
        <v>1.84</v>
      </c>
      <c r="L577" s="8">
        <v>170</v>
      </c>
      <c r="M577" s="8">
        <v>68581874.193000004</v>
      </c>
      <c r="N577" s="8">
        <v>-59.73</v>
      </c>
      <c r="O577" s="8" t="str">
        <f>vw_scenario_analysis_dataset[[#This Row],[reporter_name]] &amp; "-" &amp; vw_scenario_analysis_dataset[[#This Row],[reference_year]]</f>
        <v>Gambia-2017</v>
      </c>
    </row>
    <row r="578" spans="1:15" x14ac:dyDescent="0.3">
      <c r="A578" s="8" t="s">
        <v>142</v>
      </c>
      <c r="B578" s="8" t="s">
        <v>143</v>
      </c>
      <c r="C578" s="8">
        <v>2018</v>
      </c>
      <c r="D578" s="8">
        <v>22856929.745999992</v>
      </c>
      <c r="E578" s="8">
        <v>1670671328</v>
      </c>
      <c r="F578" s="8">
        <v>2399632</v>
      </c>
      <c r="G578" s="8">
        <v>7.2348903330000001</v>
      </c>
      <c r="H578" s="8">
        <v>64.812464000000006</v>
      </c>
      <c r="I578" s="8">
        <v>9.5299999999999994</v>
      </c>
      <c r="J578" s="8">
        <v>696.22</v>
      </c>
      <c r="K578" s="8">
        <v>1.37</v>
      </c>
      <c r="L578" s="8">
        <v>168</v>
      </c>
      <c r="M578" s="8">
        <v>27615743.997999996</v>
      </c>
      <c r="N578" s="8">
        <v>-17.23</v>
      </c>
      <c r="O578" s="8" t="str">
        <f>vw_scenario_analysis_dataset[[#This Row],[reporter_name]] &amp; "-" &amp; vw_scenario_analysis_dataset[[#This Row],[reference_year]]</f>
        <v>Gambia-2018</v>
      </c>
    </row>
    <row r="579" spans="1:15" x14ac:dyDescent="0.3">
      <c r="A579" s="8" t="s">
        <v>142</v>
      </c>
      <c r="B579" s="8" t="s">
        <v>143</v>
      </c>
      <c r="C579" s="8">
        <v>2019</v>
      </c>
      <c r="D579" s="8">
        <v>49204541.782999985</v>
      </c>
      <c r="E579" s="8">
        <v>1813609692</v>
      </c>
      <c r="F579" s="8">
        <v>2456844</v>
      </c>
      <c r="G579" s="8">
        <v>6.2220531599999997</v>
      </c>
      <c r="H579" s="8">
        <v>55.997911620000004</v>
      </c>
      <c r="I579" s="8">
        <v>20.03</v>
      </c>
      <c r="J579" s="8">
        <v>738.19</v>
      </c>
      <c r="K579" s="8">
        <v>2.71</v>
      </c>
      <c r="L579" s="8">
        <v>162</v>
      </c>
      <c r="M579" s="8">
        <v>22856929.745999992</v>
      </c>
      <c r="N579" s="8">
        <v>115.27</v>
      </c>
      <c r="O579" s="8" t="str">
        <f>vw_scenario_analysis_dataset[[#This Row],[reporter_name]] &amp; "-" &amp; vw_scenario_analysis_dataset[[#This Row],[reference_year]]</f>
        <v>Gambia-2019</v>
      </c>
    </row>
    <row r="580" spans="1:15" x14ac:dyDescent="0.3">
      <c r="A580" s="8" t="s">
        <v>142</v>
      </c>
      <c r="B580" s="8" t="s">
        <v>143</v>
      </c>
      <c r="C580" s="8">
        <v>2020</v>
      </c>
      <c r="D580" s="8">
        <v>51720028.406000003</v>
      </c>
      <c r="E580" s="8">
        <v>1812170891</v>
      </c>
      <c r="F580" s="8">
        <v>2515733</v>
      </c>
      <c r="G580" s="8">
        <v>0.59148728800000006</v>
      </c>
      <c r="H580" s="8">
        <v>47.395520169999998</v>
      </c>
      <c r="I580" s="8">
        <v>20.56</v>
      </c>
      <c r="J580" s="8">
        <v>720.34</v>
      </c>
      <c r="K580" s="8">
        <v>2.85</v>
      </c>
      <c r="L580" s="8">
        <v>153</v>
      </c>
      <c r="M580" s="8">
        <v>49204541.782999985</v>
      </c>
      <c r="N580" s="8">
        <v>5.1100000000000003</v>
      </c>
      <c r="O580" s="8" t="str">
        <f>vw_scenario_analysis_dataset[[#This Row],[reporter_name]] &amp; "-" &amp; vw_scenario_analysis_dataset[[#This Row],[reference_year]]</f>
        <v>Gambia-2020</v>
      </c>
    </row>
    <row r="581" spans="1:15" x14ac:dyDescent="0.3">
      <c r="A581" s="8" t="s">
        <v>142</v>
      </c>
      <c r="B581" s="8" t="s">
        <v>143</v>
      </c>
      <c r="C581" s="8">
        <v>2021</v>
      </c>
      <c r="D581" s="8">
        <v>52802920.879999995</v>
      </c>
      <c r="E581" s="8">
        <v>2014158842</v>
      </c>
      <c r="F581" s="8">
        <v>2576010</v>
      </c>
      <c r="G581" s="8">
        <v>5.2559687879999997</v>
      </c>
      <c r="H581" s="8">
        <v>42.097982799999997</v>
      </c>
      <c r="I581" s="8">
        <v>20.5</v>
      </c>
      <c r="J581" s="8">
        <v>781.89</v>
      </c>
      <c r="K581" s="8">
        <v>2.62</v>
      </c>
      <c r="L581" s="8">
        <v>156</v>
      </c>
      <c r="M581" s="8">
        <v>51720028.406000003</v>
      </c>
      <c r="N581" s="8">
        <v>2.09</v>
      </c>
      <c r="O581" s="8" t="str">
        <f>vw_scenario_analysis_dataset[[#This Row],[reporter_name]] &amp; "-" &amp; vw_scenario_analysis_dataset[[#This Row],[reference_year]]</f>
        <v>Gambia-2021</v>
      </c>
    </row>
    <row r="582" spans="1:15" x14ac:dyDescent="0.3">
      <c r="A582" s="8" t="s">
        <v>142</v>
      </c>
      <c r="B582" s="8" t="s">
        <v>143</v>
      </c>
      <c r="C582" s="8">
        <v>2022</v>
      </c>
      <c r="D582" s="8">
        <v>109824591.567</v>
      </c>
      <c r="E582" s="8">
        <v>2204734528</v>
      </c>
      <c r="F582" s="8">
        <v>2636470</v>
      </c>
      <c r="G582" s="8">
        <v>5.4929982300000004</v>
      </c>
      <c r="H582" s="8">
        <v>44.721921539999997</v>
      </c>
      <c r="I582" s="8">
        <v>41.66</v>
      </c>
      <c r="J582" s="8">
        <v>836.24</v>
      </c>
      <c r="K582" s="8">
        <v>4.9800000000000004</v>
      </c>
      <c r="L582" s="8">
        <v>150</v>
      </c>
      <c r="M582" s="8">
        <v>52802920.879999995</v>
      </c>
      <c r="N582" s="8">
        <v>107.99</v>
      </c>
      <c r="O582" s="8" t="str">
        <f>vw_scenario_analysis_dataset[[#This Row],[reporter_name]] &amp; "-" &amp; vw_scenario_analysis_dataset[[#This Row],[reference_year]]</f>
        <v>Gambia-2022</v>
      </c>
    </row>
    <row r="583" spans="1:15" x14ac:dyDescent="0.3">
      <c r="A583" s="8" t="s">
        <v>142</v>
      </c>
      <c r="B583" s="8" t="s">
        <v>143</v>
      </c>
      <c r="C583" s="8">
        <v>2023</v>
      </c>
      <c r="D583" s="8">
        <v>166899603.18799999</v>
      </c>
      <c r="E583" s="8">
        <v>2382262185</v>
      </c>
      <c r="F583" s="8">
        <v>2697845</v>
      </c>
      <c r="G583" s="8">
        <v>5.9167957659999999</v>
      </c>
      <c r="H583" s="8">
        <v>39.962017350000004</v>
      </c>
      <c r="I583" s="8">
        <v>61.86</v>
      </c>
      <c r="J583" s="8">
        <v>883.02</v>
      </c>
      <c r="K583" s="8">
        <v>7.01</v>
      </c>
      <c r="L583" s="8">
        <v>147</v>
      </c>
      <c r="M583" s="8">
        <v>109824591.567</v>
      </c>
      <c r="N583" s="8">
        <v>51.97</v>
      </c>
      <c r="O583" s="8" t="str">
        <f>vw_scenario_analysis_dataset[[#This Row],[reporter_name]] &amp; "-" &amp; vw_scenario_analysis_dataset[[#This Row],[reference_year]]</f>
        <v>Gambia-2023</v>
      </c>
    </row>
    <row r="584" spans="1:15" x14ac:dyDescent="0.3">
      <c r="A584" s="8" t="s">
        <v>142</v>
      </c>
      <c r="B584" s="8" t="s">
        <v>143</v>
      </c>
      <c r="C584" s="8">
        <v>2024</v>
      </c>
      <c r="D584" s="8">
        <v>99283798.947999999</v>
      </c>
      <c r="E584" s="8">
        <v>2404888738</v>
      </c>
      <c r="F584" s="8">
        <v>2759988</v>
      </c>
      <c r="G584" s="8">
        <v>5.5512606580000003</v>
      </c>
      <c r="H584" s="8">
        <v>42.170617210000003</v>
      </c>
      <c r="I584" s="8">
        <v>35.97</v>
      </c>
      <c r="J584" s="8">
        <v>871.34</v>
      </c>
      <c r="K584" s="8">
        <v>4.13</v>
      </c>
      <c r="L584" s="8">
        <v>127</v>
      </c>
      <c r="M584" s="8">
        <v>166899603.18799999</v>
      </c>
      <c r="N584" s="8">
        <v>-40.51</v>
      </c>
      <c r="O584" s="8" t="str">
        <f>vw_scenario_analysis_dataset[[#This Row],[reporter_name]] &amp; "-" &amp; vw_scenario_analysis_dataset[[#This Row],[reference_year]]</f>
        <v>Gambia-2024</v>
      </c>
    </row>
    <row r="585" spans="1:15" x14ac:dyDescent="0.3">
      <c r="A585" s="8" t="s">
        <v>144</v>
      </c>
      <c r="B585" s="8" t="s">
        <v>145</v>
      </c>
      <c r="C585" s="8">
        <v>2015</v>
      </c>
      <c r="D585" s="8">
        <v>654447951.55599999</v>
      </c>
      <c r="E585" s="8">
        <v>1152384167</v>
      </c>
      <c r="F585" s="8">
        <v>1786457</v>
      </c>
      <c r="G585" s="8">
        <v>6.1340893620000001</v>
      </c>
      <c r="H585" s="8">
        <v>54.370375590000002</v>
      </c>
      <c r="I585" s="8">
        <v>366.34</v>
      </c>
      <c r="J585" s="8">
        <v>645.07000000000005</v>
      </c>
      <c r="K585" s="8">
        <v>56.79</v>
      </c>
      <c r="L585" s="8">
        <v>147</v>
      </c>
      <c r="M585" s="8"/>
      <c r="N585" s="8"/>
      <c r="O585" s="8" t="str">
        <f>vw_scenario_analysis_dataset[[#This Row],[reporter_name]] &amp; "-" &amp; vw_scenario_analysis_dataset[[#This Row],[reference_year]]</f>
        <v>Guinea-Bissau-2015</v>
      </c>
    </row>
    <row r="586" spans="1:15" x14ac:dyDescent="0.3">
      <c r="A586" s="8" t="s">
        <v>144</v>
      </c>
      <c r="B586" s="8" t="s">
        <v>145</v>
      </c>
      <c r="C586" s="8">
        <v>2016</v>
      </c>
      <c r="D586" s="8">
        <v>352527011.93800002</v>
      </c>
      <c r="E586" s="8">
        <v>1245074264</v>
      </c>
      <c r="F586" s="8">
        <v>1831893</v>
      </c>
      <c r="G586" s="8">
        <v>5.4326782649999998</v>
      </c>
      <c r="H586" s="8">
        <v>54.30067305</v>
      </c>
      <c r="I586" s="8">
        <v>192.44</v>
      </c>
      <c r="J586" s="8">
        <v>679.67</v>
      </c>
      <c r="K586" s="8">
        <v>28.31</v>
      </c>
      <c r="L586" s="8">
        <v>152</v>
      </c>
      <c r="M586" s="8">
        <v>654447951.55599999</v>
      </c>
      <c r="N586" s="8">
        <v>-46.13</v>
      </c>
      <c r="O586" s="8" t="str">
        <f>vw_scenario_analysis_dataset[[#This Row],[reporter_name]] &amp; "-" &amp; vw_scenario_analysis_dataset[[#This Row],[reference_year]]</f>
        <v>Guinea-Bissau-2016</v>
      </c>
    </row>
    <row r="587" spans="1:15" x14ac:dyDescent="0.3">
      <c r="A587" s="8" t="s">
        <v>144</v>
      </c>
      <c r="B587" s="8" t="s">
        <v>145</v>
      </c>
      <c r="C587" s="8">
        <v>2017</v>
      </c>
      <c r="D587" s="8">
        <v>378538579.42000002</v>
      </c>
      <c r="E587" s="8">
        <v>1469978606</v>
      </c>
      <c r="F587" s="8">
        <v>1877072</v>
      </c>
      <c r="G587" s="8">
        <v>4.663679439</v>
      </c>
      <c r="H587" s="8">
        <v>56.91374759</v>
      </c>
      <c r="I587" s="8">
        <v>201.66</v>
      </c>
      <c r="J587" s="8">
        <v>783.12</v>
      </c>
      <c r="K587" s="8">
        <v>25.75</v>
      </c>
      <c r="L587" s="8">
        <v>152</v>
      </c>
      <c r="M587" s="8">
        <v>352527011.93800002</v>
      </c>
      <c r="N587" s="8">
        <v>7.38</v>
      </c>
      <c r="O587" s="8" t="str">
        <f>vw_scenario_analysis_dataset[[#This Row],[reporter_name]] &amp; "-" &amp; vw_scenario_analysis_dataset[[#This Row],[reference_year]]</f>
        <v>Guinea-Bissau-2017</v>
      </c>
    </row>
    <row r="588" spans="1:15" x14ac:dyDescent="0.3">
      <c r="A588" s="8" t="s">
        <v>144</v>
      </c>
      <c r="B588" s="8" t="s">
        <v>145</v>
      </c>
      <c r="C588" s="8">
        <v>2018</v>
      </c>
      <c r="D588" s="8">
        <v>489597516.22799999</v>
      </c>
      <c r="E588" s="8">
        <v>1554133594</v>
      </c>
      <c r="F588" s="8">
        <v>1922168</v>
      </c>
      <c r="G588" s="8">
        <v>3.761453596</v>
      </c>
      <c r="H588" s="8">
        <v>55.01958904</v>
      </c>
      <c r="I588" s="8">
        <v>254.71</v>
      </c>
      <c r="J588" s="8">
        <v>808.53</v>
      </c>
      <c r="K588" s="8">
        <v>31.5</v>
      </c>
      <c r="L588" s="8">
        <v>146</v>
      </c>
      <c r="M588" s="8">
        <v>378538579.42000002</v>
      </c>
      <c r="N588" s="8">
        <v>29.34</v>
      </c>
      <c r="O588" s="8" t="str">
        <f>vw_scenario_analysis_dataset[[#This Row],[reporter_name]] &amp; "-" &amp; vw_scenario_analysis_dataset[[#This Row],[reference_year]]</f>
        <v>Guinea-Bissau-2018</v>
      </c>
    </row>
    <row r="589" spans="1:15" x14ac:dyDescent="0.3">
      <c r="A589" s="8" t="s">
        <v>146</v>
      </c>
      <c r="B589" s="8" t="s">
        <v>147</v>
      </c>
      <c r="C589" s="8">
        <v>2015</v>
      </c>
      <c r="D589" s="8">
        <v>56578473162</v>
      </c>
      <c r="E589" s="8">
        <v>195000000000</v>
      </c>
      <c r="F589" s="8">
        <v>10820883</v>
      </c>
      <c r="G589" s="8">
        <v>-0.22830189200000001</v>
      </c>
      <c r="H589" s="8">
        <v>65.271645460000002</v>
      </c>
      <c r="I589" s="8">
        <v>5228.6400000000003</v>
      </c>
      <c r="J589" s="8">
        <v>18020.71</v>
      </c>
      <c r="K589" s="8">
        <v>29.01</v>
      </c>
      <c r="L589" s="8">
        <v>56</v>
      </c>
      <c r="M589" s="8"/>
      <c r="N589" s="8"/>
      <c r="O589" s="8" t="str">
        <f>vw_scenario_analysis_dataset[[#This Row],[reporter_name]] &amp; "-" &amp; vw_scenario_analysis_dataset[[#This Row],[reference_year]]</f>
        <v>Greece-2015</v>
      </c>
    </row>
    <row r="590" spans="1:15" x14ac:dyDescent="0.3">
      <c r="A590" s="8" t="s">
        <v>146</v>
      </c>
      <c r="B590" s="8" t="s">
        <v>147</v>
      </c>
      <c r="C590" s="8">
        <v>2016</v>
      </c>
      <c r="D590" s="8">
        <v>55621849674</v>
      </c>
      <c r="E590" s="8">
        <v>193000000000</v>
      </c>
      <c r="F590" s="8">
        <v>10775971</v>
      </c>
      <c r="G590" s="8">
        <v>-3.1794768000000001E-2</v>
      </c>
      <c r="H590" s="8">
        <v>63.657549090000003</v>
      </c>
      <c r="I590" s="8">
        <v>5161.66</v>
      </c>
      <c r="J590" s="8">
        <v>17910.22</v>
      </c>
      <c r="K590" s="8">
        <v>28.82</v>
      </c>
      <c r="L590" s="8">
        <v>56</v>
      </c>
      <c r="M590" s="8">
        <v>56578473162</v>
      </c>
      <c r="N590" s="8">
        <v>-1.69</v>
      </c>
      <c r="O590" s="8" t="str">
        <f>vw_scenario_analysis_dataset[[#This Row],[reporter_name]] &amp; "-" &amp; vw_scenario_analysis_dataset[[#This Row],[reference_year]]</f>
        <v>Greece-2016</v>
      </c>
    </row>
    <row r="591" spans="1:15" x14ac:dyDescent="0.3">
      <c r="A591" s="8" t="s">
        <v>146</v>
      </c>
      <c r="B591" s="8" t="s">
        <v>147</v>
      </c>
      <c r="C591" s="8">
        <v>2017</v>
      </c>
      <c r="D591" s="8">
        <v>64309632811.274979</v>
      </c>
      <c r="E591" s="8">
        <v>200000000000</v>
      </c>
      <c r="F591" s="8">
        <v>10754679</v>
      </c>
      <c r="G591" s="8">
        <v>1.4731247270000001</v>
      </c>
      <c r="H591" s="8">
        <v>70.882496739999993</v>
      </c>
      <c r="I591" s="8">
        <v>5979.69</v>
      </c>
      <c r="J591" s="8">
        <v>18596.560000000001</v>
      </c>
      <c r="K591" s="8">
        <v>32.15</v>
      </c>
      <c r="L591" s="8">
        <v>55</v>
      </c>
      <c r="M591" s="8">
        <v>55621849674</v>
      </c>
      <c r="N591" s="8">
        <v>15.62</v>
      </c>
      <c r="O591" s="8" t="str">
        <f>vw_scenario_analysis_dataset[[#This Row],[reporter_name]] &amp; "-" &amp; vw_scenario_analysis_dataset[[#This Row],[reference_year]]</f>
        <v>Greece-2017</v>
      </c>
    </row>
    <row r="592" spans="1:15" x14ac:dyDescent="0.3">
      <c r="A592" s="8" t="s">
        <v>146</v>
      </c>
      <c r="B592" s="8" t="s">
        <v>147</v>
      </c>
      <c r="C592" s="8">
        <v>2018</v>
      </c>
      <c r="D592" s="8">
        <v>78981042875.705994</v>
      </c>
      <c r="E592" s="8">
        <v>213000000000</v>
      </c>
      <c r="F592" s="8">
        <v>10732882</v>
      </c>
      <c r="G592" s="8">
        <v>2.0646720790000002</v>
      </c>
      <c r="H592" s="8">
        <v>79.237990859999996</v>
      </c>
      <c r="I592" s="8">
        <v>7358.79</v>
      </c>
      <c r="J592" s="8">
        <v>19845.55</v>
      </c>
      <c r="K592" s="8">
        <v>37.08</v>
      </c>
      <c r="L592" s="8">
        <v>54</v>
      </c>
      <c r="M592" s="8">
        <v>64309632811.274979</v>
      </c>
      <c r="N592" s="8">
        <v>22.81</v>
      </c>
      <c r="O592" s="8" t="str">
        <f>vw_scenario_analysis_dataset[[#This Row],[reporter_name]] &amp; "-" &amp; vw_scenario_analysis_dataset[[#This Row],[reference_year]]</f>
        <v>Greece-2018</v>
      </c>
    </row>
    <row r="593" spans="1:15" x14ac:dyDescent="0.3">
      <c r="A593" s="8" t="s">
        <v>146</v>
      </c>
      <c r="B593" s="8" t="s">
        <v>147</v>
      </c>
      <c r="C593" s="8">
        <v>2019</v>
      </c>
      <c r="D593" s="8">
        <v>75771053008.740997</v>
      </c>
      <c r="E593" s="8">
        <v>207000000000</v>
      </c>
      <c r="F593" s="8">
        <v>10721582</v>
      </c>
      <c r="G593" s="8">
        <v>2.2771806529999998</v>
      </c>
      <c r="H593" s="8">
        <v>80.590094949999994</v>
      </c>
      <c r="I593" s="8">
        <v>7067.15</v>
      </c>
      <c r="J593" s="8">
        <v>19306.849999999999</v>
      </c>
      <c r="K593" s="8">
        <v>36.6</v>
      </c>
      <c r="L593" s="8">
        <v>52</v>
      </c>
      <c r="M593" s="8">
        <v>78981042875.705994</v>
      </c>
      <c r="N593" s="8">
        <v>-4.0599999999999996</v>
      </c>
      <c r="O593" s="8" t="str">
        <f>vw_scenario_analysis_dataset[[#This Row],[reporter_name]] &amp; "-" &amp; vw_scenario_analysis_dataset[[#This Row],[reference_year]]</f>
        <v>Greece-2019</v>
      </c>
    </row>
    <row r="594" spans="1:15" x14ac:dyDescent="0.3">
      <c r="A594" s="8" t="s">
        <v>146</v>
      </c>
      <c r="B594" s="8" t="s">
        <v>147</v>
      </c>
      <c r="C594" s="8">
        <v>2020</v>
      </c>
      <c r="D594" s="8">
        <v>70140923211.673981</v>
      </c>
      <c r="E594" s="8">
        <v>191000000000</v>
      </c>
      <c r="F594" s="8">
        <v>10698599</v>
      </c>
      <c r="G594" s="8">
        <v>-9.1962314969999994</v>
      </c>
      <c r="H594" s="8">
        <v>70.293746459999994</v>
      </c>
      <c r="I594" s="8">
        <v>6556.08</v>
      </c>
      <c r="J594" s="8">
        <v>17852.8</v>
      </c>
      <c r="K594" s="8">
        <v>36.72</v>
      </c>
      <c r="L594" s="8">
        <v>49</v>
      </c>
      <c r="M594" s="8">
        <v>75771053008.740997</v>
      </c>
      <c r="N594" s="8">
        <v>-7.43</v>
      </c>
      <c r="O594" s="8" t="str">
        <f>vw_scenario_analysis_dataset[[#This Row],[reporter_name]] &amp; "-" &amp; vw_scenario_analysis_dataset[[#This Row],[reference_year]]</f>
        <v>Greece-2020</v>
      </c>
    </row>
    <row r="595" spans="1:15" x14ac:dyDescent="0.3">
      <c r="A595" s="8" t="s">
        <v>146</v>
      </c>
      <c r="B595" s="8" t="s">
        <v>147</v>
      </c>
      <c r="C595" s="8">
        <v>2021</v>
      </c>
      <c r="D595" s="8">
        <v>94488554633.391922</v>
      </c>
      <c r="E595" s="8">
        <v>218000000000</v>
      </c>
      <c r="F595" s="8">
        <v>10570130</v>
      </c>
      <c r="G595" s="8">
        <v>8.6544978599999993</v>
      </c>
      <c r="H595" s="8">
        <v>88.01266545</v>
      </c>
      <c r="I595" s="8">
        <v>8939.2000000000007</v>
      </c>
      <c r="J595" s="8">
        <v>20624.16</v>
      </c>
      <c r="K595" s="8">
        <v>43.34</v>
      </c>
      <c r="L595" s="8">
        <v>48</v>
      </c>
      <c r="M595" s="8">
        <v>70140923211.673981</v>
      </c>
      <c r="N595" s="8">
        <v>34.71</v>
      </c>
      <c r="O595" s="8" t="str">
        <f>vw_scenario_analysis_dataset[[#This Row],[reporter_name]] &amp; "-" &amp; vw_scenario_analysis_dataset[[#This Row],[reference_year]]</f>
        <v>Greece-2021</v>
      </c>
    </row>
    <row r="596" spans="1:15" x14ac:dyDescent="0.3">
      <c r="A596" s="8" t="s">
        <v>146</v>
      </c>
      <c r="B596" s="8" t="s">
        <v>147</v>
      </c>
      <c r="C596" s="8">
        <v>2022</v>
      </c>
      <c r="D596" s="8">
        <v>115136049942.05496</v>
      </c>
      <c r="E596" s="8">
        <v>218000000000</v>
      </c>
      <c r="F596" s="8">
        <v>10437805</v>
      </c>
      <c r="G596" s="8">
        <v>5.521985806</v>
      </c>
      <c r="H596" s="8">
        <v>108.1218432</v>
      </c>
      <c r="I596" s="8">
        <v>11030.68</v>
      </c>
      <c r="J596" s="8">
        <v>20885.62</v>
      </c>
      <c r="K596" s="8">
        <v>52.81</v>
      </c>
      <c r="L596" s="8">
        <v>48</v>
      </c>
      <c r="M596" s="8">
        <v>94488554633.391922</v>
      </c>
      <c r="N596" s="8">
        <v>21.85</v>
      </c>
      <c r="O596" s="8" t="str">
        <f>vw_scenario_analysis_dataset[[#This Row],[reporter_name]] &amp; "-" &amp; vw_scenario_analysis_dataset[[#This Row],[reference_year]]</f>
        <v>Greece-2022</v>
      </c>
    </row>
    <row r="597" spans="1:15" x14ac:dyDescent="0.3">
      <c r="A597" s="8" t="s">
        <v>146</v>
      </c>
      <c r="B597" s="8" t="s">
        <v>147</v>
      </c>
      <c r="C597" s="8">
        <v>2023</v>
      </c>
      <c r="D597" s="8">
        <v>110103173567.40707</v>
      </c>
      <c r="E597" s="8">
        <v>243000000000</v>
      </c>
      <c r="F597" s="8">
        <v>10407351</v>
      </c>
      <c r="G597" s="8">
        <v>2.1359113199999999</v>
      </c>
      <c r="H597" s="8">
        <v>92.471088289999997</v>
      </c>
      <c r="I597" s="8">
        <v>10579.37</v>
      </c>
      <c r="J597" s="8">
        <v>23348.880000000001</v>
      </c>
      <c r="K597" s="8">
        <v>45.31</v>
      </c>
      <c r="L597" s="8">
        <v>48</v>
      </c>
      <c r="M597" s="8">
        <v>115136049942.05496</v>
      </c>
      <c r="N597" s="8">
        <v>-4.37</v>
      </c>
      <c r="O597" s="8" t="str">
        <f>vw_scenario_analysis_dataset[[#This Row],[reporter_name]] &amp; "-" &amp; vw_scenario_analysis_dataset[[#This Row],[reference_year]]</f>
        <v>Greece-2023</v>
      </c>
    </row>
    <row r="598" spans="1:15" x14ac:dyDescent="0.3">
      <c r="A598" s="8" t="s">
        <v>146</v>
      </c>
      <c r="B598" s="8" t="s">
        <v>147</v>
      </c>
      <c r="C598" s="8">
        <v>2024</v>
      </c>
      <c r="D598" s="8">
        <v>106714297917.19612</v>
      </c>
      <c r="E598" s="8">
        <v>256000000000</v>
      </c>
      <c r="F598" s="8">
        <v>10405134</v>
      </c>
      <c r="G598" s="8">
        <v>2.0865743380000001</v>
      </c>
      <c r="H598" s="8">
        <v>89.776527939999994</v>
      </c>
      <c r="I598" s="8">
        <v>10255.93</v>
      </c>
      <c r="J598" s="8">
        <v>24603.24</v>
      </c>
      <c r="K598" s="8">
        <v>41.69</v>
      </c>
      <c r="L598" s="8">
        <v>46</v>
      </c>
      <c r="M598" s="8">
        <v>110103173567.40707</v>
      </c>
      <c r="N598" s="8">
        <v>-3.08</v>
      </c>
      <c r="O598" s="8" t="str">
        <f>vw_scenario_analysis_dataset[[#This Row],[reporter_name]] &amp; "-" &amp; vw_scenario_analysis_dataset[[#This Row],[reference_year]]</f>
        <v>Greece-2024</v>
      </c>
    </row>
    <row r="599" spans="1:15" x14ac:dyDescent="0.3">
      <c r="A599" s="8" t="s">
        <v>148</v>
      </c>
      <c r="B599" s="8" t="s">
        <v>149</v>
      </c>
      <c r="C599" s="8">
        <v>2015</v>
      </c>
      <c r="D599" s="8">
        <v>66638825.210000016</v>
      </c>
      <c r="E599" s="8">
        <v>997007407.39999998</v>
      </c>
      <c r="F599" s="8">
        <v>114676</v>
      </c>
      <c r="G599" s="8">
        <v>6.4452231470000001</v>
      </c>
      <c r="H599" s="8"/>
      <c r="I599" s="8">
        <v>581.11</v>
      </c>
      <c r="J599" s="8">
        <v>8694.1200000000008</v>
      </c>
      <c r="K599" s="8">
        <v>6.68</v>
      </c>
      <c r="L599" s="8">
        <v>161</v>
      </c>
      <c r="M599" s="8"/>
      <c r="N599" s="8"/>
      <c r="O599" s="8" t="str">
        <f>vw_scenario_analysis_dataset[[#This Row],[reporter_name]] &amp; "-" &amp; vw_scenario_analysis_dataset[[#This Row],[reference_year]]</f>
        <v>Grenada-2015</v>
      </c>
    </row>
    <row r="600" spans="1:15" x14ac:dyDescent="0.3">
      <c r="A600" s="8" t="s">
        <v>148</v>
      </c>
      <c r="B600" s="8" t="s">
        <v>149</v>
      </c>
      <c r="C600" s="8">
        <v>2016</v>
      </c>
      <c r="D600" s="8">
        <v>70210083.860999987</v>
      </c>
      <c r="E600" s="8">
        <v>1061640741</v>
      </c>
      <c r="F600" s="8">
        <v>115130</v>
      </c>
      <c r="G600" s="8">
        <v>3.7396039559999998</v>
      </c>
      <c r="H600" s="8"/>
      <c r="I600" s="8">
        <v>609.83000000000004</v>
      </c>
      <c r="J600" s="8">
        <v>9221.23</v>
      </c>
      <c r="K600" s="8">
        <v>6.61</v>
      </c>
      <c r="L600" s="8">
        <v>164</v>
      </c>
      <c r="M600" s="8">
        <v>66638825.210000016</v>
      </c>
      <c r="N600" s="8">
        <v>5.36</v>
      </c>
      <c r="O600" s="8" t="str">
        <f>vw_scenario_analysis_dataset[[#This Row],[reporter_name]] &amp; "-" &amp; vw_scenario_analysis_dataset[[#This Row],[reference_year]]</f>
        <v>Grenada-2016</v>
      </c>
    </row>
    <row r="601" spans="1:15" x14ac:dyDescent="0.3">
      <c r="A601" s="8" t="s">
        <v>148</v>
      </c>
      <c r="B601" s="8" t="s">
        <v>149</v>
      </c>
      <c r="C601" s="8">
        <v>2017</v>
      </c>
      <c r="D601" s="8">
        <v>61036304.148999996</v>
      </c>
      <c r="E601" s="8">
        <v>1125685185</v>
      </c>
      <c r="F601" s="8">
        <v>115438</v>
      </c>
      <c r="G601" s="8">
        <v>4.4386756690000002</v>
      </c>
      <c r="H601" s="8"/>
      <c r="I601" s="8">
        <v>528.74</v>
      </c>
      <c r="J601" s="8">
        <v>9751.43</v>
      </c>
      <c r="K601" s="8">
        <v>5.42</v>
      </c>
      <c r="L601" s="8">
        <v>167</v>
      </c>
      <c r="M601" s="8">
        <v>70210083.860999987</v>
      </c>
      <c r="N601" s="8">
        <v>-13.07</v>
      </c>
      <c r="O601" s="8" t="str">
        <f>vw_scenario_analysis_dataset[[#This Row],[reporter_name]] &amp; "-" &amp; vw_scenario_analysis_dataset[[#This Row],[reference_year]]</f>
        <v>Grenada-2017</v>
      </c>
    </row>
    <row r="602" spans="1:15" x14ac:dyDescent="0.3">
      <c r="A602" s="8" t="s">
        <v>148</v>
      </c>
      <c r="B602" s="8" t="s">
        <v>149</v>
      </c>
      <c r="C602" s="8">
        <v>2018</v>
      </c>
      <c r="D602" s="8">
        <v>75492171.17400001</v>
      </c>
      <c r="E602" s="8">
        <v>1166514815</v>
      </c>
      <c r="F602" s="8">
        <v>115691</v>
      </c>
      <c r="G602" s="8">
        <v>4.3614403939999997</v>
      </c>
      <c r="H602" s="8"/>
      <c r="I602" s="8">
        <v>652.53</v>
      </c>
      <c r="J602" s="8">
        <v>10083.02</v>
      </c>
      <c r="K602" s="8">
        <v>6.47</v>
      </c>
      <c r="L602" s="8">
        <v>161</v>
      </c>
      <c r="M602" s="8">
        <v>61036304.148999996</v>
      </c>
      <c r="N602" s="8">
        <v>23.68</v>
      </c>
      <c r="O602" s="8" t="str">
        <f>vw_scenario_analysis_dataset[[#This Row],[reporter_name]] &amp; "-" &amp; vw_scenario_analysis_dataset[[#This Row],[reference_year]]</f>
        <v>Grenada-2018</v>
      </c>
    </row>
    <row r="603" spans="1:15" x14ac:dyDescent="0.3">
      <c r="A603" s="8" t="s">
        <v>148</v>
      </c>
      <c r="B603" s="8" t="s">
        <v>149</v>
      </c>
      <c r="C603" s="8">
        <v>2019</v>
      </c>
      <c r="D603" s="8">
        <v>68962373.664000005</v>
      </c>
      <c r="E603" s="8">
        <v>1213485185</v>
      </c>
      <c r="F603" s="8">
        <v>115981</v>
      </c>
      <c r="G603" s="8">
        <v>0.67651173899999995</v>
      </c>
      <c r="H603" s="8"/>
      <c r="I603" s="8">
        <v>594.6</v>
      </c>
      <c r="J603" s="8">
        <v>10462.790000000001</v>
      </c>
      <c r="K603" s="8">
        <v>5.68</v>
      </c>
      <c r="L603" s="8">
        <v>160</v>
      </c>
      <c r="M603" s="8">
        <v>75492171.17400001</v>
      </c>
      <c r="N603" s="8">
        <v>-8.65</v>
      </c>
      <c r="O603" s="8" t="str">
        <f>vw_scenario_analysis_dataset[[#This Row],[reporter_name]] &amp; "-" &amp; vw_scenario_analysis_dataset[[#This Row],[reference_year]]</f>
        <v>Grenada-2019</v>
      </c>
    </row>
    <row r="604" spans="1:15" x14ac:dyDescent="0.3">
      <c r="A604" s="8" t="s">
        <v>148</v>
      </c>
      <c r="B604" s="8" t="s">
        <v>149</v>
      </c>
      <c r="C604" s="8">
        <v>2020</v>
      </c>
      <c r="D604" s="8">
        <v>49240965.418000005</v>
      </c>
      <c r="E604" s="8">
        <v>1043411111</v>
      </c>
      <c r="F604" s="8">
        <v>116341</v>
      </c>
      <c r="G604" s="8">
        <v>-13.75662226</v>
      </c>
      <c r="H604" s="8"/>
      <c r="I604" s="8">
        <v>423.25</v>
      </c>
      <c r="J604" s="8">
        <v>8968.56</v>
      </c>
      <c r="K604" s="8">
        <v>4.72</v>
      </c>
      <c r="L604" s="8">
        <v>154</v>
      </c>
      <c r="M604" s="8">
        <v>68962373.664000005</v>
      </c>
      <c r="N604" s="8">
        <v>-28.6</v>
      </c>
      <c r="O604" s="8" t="str">
        <f>vw_scenario_analysis_dataset[[#This Row],[reporter_name]] &amp; "-" &amp; vw_scenario_analysis_dataset[[#This Row],[reference_year]]</f>
        <v>Grenada-2020</v>
      </c>
    </row>
    <row r="605" spans="1:15" x14ac:dyDescent="0.3">
      <c r="A605" s="8" t="s">
        <v>148</v>
      </c>
      <c r="B605" s="8" t="s">
        <v>149</v>
      </c>
      <c r="C605" s="8">
        <v>2021</v>
      </c>
      <c r="D605" s="8">
        <v>70326788.817000002</v>
      </c>
      <c r="E605" s="8">
        <v>1122222222</v>
      </c>
      <c r="F605" s="8">
        <v>116688</v>
      </c>
      <c r="G605" s="8">
        <v>4.6977240230000001</v>
      </c>
      <c r="H605" s="8"/>
      <c r="I605" s="8">
        <v>602.69000000000005</v>
      </c>
      <c r="J605" s="8">
        <v>9617.2900000000009</v>
      </c>
      <c r="K605" s="8">
        <v>6.27</v>
      </c>
      <c r="L605" s="8">
        <v>151</v>
      </c>
      <c r="M605" s="8">
        <v>49240965.418000005</v>
      </c>
      <c r="N605" s="8">
        <v>42.82</v>
      </c>
      <c r="O605" s="8" t="str">
        <f>vw_scenario_analysis_dataset[[#This Row],[reporter_name]] &amp; "-" &amp; vw_scenario_analysis_dataset[[#This Row],[reference_year]]</f>
        <v>Grenada-2021</v>
      </c>
    </row>
    <row r="606" spans="1:15" x14ac:dyDescent="0.3">
      <c r="A606" s="8" t="s">
        <v>148</v>
      </c>
      <c r="B606" s="8" t="s">
        <v>149</v>
      </c>
      <c r="C606" s="8">
        <v>2022</v>
      </c>
      <c r="D606" s="8">
        <v>74944479.925999999</v>
      </c>
      <c r="E606" s="8">
        <v>1224007407</v>
      </c>
      <c r="F606" s="8">
        <v>116913</v>
      </c>
      <c r="G606" s="8">
        <v>7.3102380699999996</v>
      </c>
      <c r="H606" s="8"/>
      <c r="I606" s="8">
        <v>641.03</v>
      </c>
      <c r="J606" s="8">
        <v>10469.39</v>
      </c>
      <c r="K606" s="8">
        <v>6.12</v>
      </c>
      <c r="L606" s="8">
        <v>155</v>
      </c>
      <c r="M606" s="8">
        <v>70326788.817000002</v>
      </c>
      <c r="N606" s="8">
        <v>6.57</v>
      </c>
      <c r="O606" s="8" t="str">
        <f>vw_scenario_analysis_dataset[[#This Row],[reporter_name]] &amp; "-" &amp; vw_scenario_analysis_dataset[[#This Row],[reference_year]]</f>
        <v>Grenada-2022</v>
      </c>
    </row>
    <row r="607" spans="1:15" x14ac:dyDescent="0.3">
      <c r="A607" s="8" t="s">
        <v>148</v>
      </c>
      <c r="B607" s="8" t="s">
        <v>149</v>
      </c>
      <c r="C607" s="8">
        <v>2023</v>
      </c>
      <c r="D607" s="8">
        <v>92110188.111999989</v>
      </c>
      <c r="E607" s="8">
        <v>1336418519</v>
      </c>
      <c r="F607" s="8">
        <v>117081</v>
      </c>
      <c r="G607" s="8">
        <v>4.5265749749999999</v>
      </c>
      <c r="H607" s="8"/>
      <c r="I607" s="8">
        <v>786.72</v>
      </c>
      <c r="J607" s="8">
        <v>11414.48</v>
      </c>
      <c r="K607" s="8">
        <v>6.89</v>
      </c>
      <c r="L607" s="8">
        <v>148</v>
      </c>
      <c r="M607" s="8">
        <v>74944479.925999999</v>
      </c>
      <c r="N607" s="8">
        <v>22.9</v>
      </c>
      <c r="O607" s="8" t="str">
        <f>vw_scenario_analysis_dataset[[#This Row],[reporter_name]] &amp; "-" &amp; vw_scenario_analysis_dataset[[#This Row],[reference_year]]</f>
        <v>Grenada-2023</v>
      </c>
    </row>
    <row r="608" spans="1:15" x14ac:dyDescent="0.3">
      <c r="A608" s="8" t="s">
        <v>148</v>
      </c>
      <c r="B608" s="8" t="s">
        <v>149</v>
      </c>
      <c r="C608" s="8">
        <v>2024</v>
      </c>
      <c r="D608" s="8">
        <v>86867059.699999988</v>
      </c>
      <c r="E608" s="8">
        <v>1351270370</v>
      </c>
      <c r="F608" s="8">
        <v>117207</v>
      </c>
      <c r="G608" s="8">
        <v>2.3996478450000001</v>
      </c>
      <c r="H608" s="8"/>
      <c r="I608" s="8">
        <v>741.14</v>
      </c>
      <c r="J608" s="8">
        <v>11528.92</v>
      </c>
      <c r="K608" s="8">
        <v>6.43</v>
      </c>
      <c r="L608" s="8">
        <v>128</v>
      </c>
      <c r="M608" s="8">
        <v>92110188.111999989</v>
      </c>
      <c r="N608" s="8">
        <v>-5.69</v>
      </c>
      <c r="O608" s="8" t="str">
        <f>vw_scenario_analysis_dataset[[#This Row],[reporter_name]] &amp; "-" &amp; vw_scenario_analysis_dataset[[#This Row],[reference_year]]</f>
        <v>Grenada-2024</v>
      </c>
    </row>
    <row r="609" spans="1:15" x14ac:dyDescent="0.3">
      <c r="A609" s="8" t="s">
        <v>150</v>
      </c>
      <c r="B609" s="8" t="s">
        <v>151</v>
      </c>
      <c r="C609" s="8">
        <v>2015</v>
      </c>
      <c r="D609" s="8">
        <v>812603359.69999969</v>
      </c>
      <c r="E609" s="8">
        <v>2499113023</v>
      </c>
      <c r="F609" s="8">
        <v>56114</v>
      </c>
      <c r="G609" s="8">
        <v>-2.5293180240000002</v>
      </c>
      <c r="H609" s="8">
        <v>83.101381009999997</v>
      </c>
      <c r="I609" s="8">
        <v>14481.29</v>
      </c>
      <c r="J609" s="8">
        <v>44536.35</v>
      </c>
      <c r="K609" s="8">
        <v>32.520000000000003</v>
      </c>
      <c r="L609" s="8">
        <v>144</v>
      </c>
      <c r="M609" s="8"/>
      <c r="N609" s="8"/>
      <c r="O609" s="8" t="str">
        <f>vw_scenario_analysis_dataset[[#This Row],[reporter_name]] &amp; "-" &amp; vw_scenario_analysis_dataset[[#This Row],[reference_year]]</f>
        <v>Greenland-2015</v>
      </c>
    </row>
    <row r="610" spans="1:15" x14ac:dyDescent="0.3">
      <c r="A610" s="8" t="s">
        <v>150</v>
      </c>
      <c r="B610" s="8" t="s">
        <v>151</v>
      </c>
      <c r="C610" s="8">
        <v>2016</v>
      </c>
      <c r="D610" s="8">
        <v>1150666335.9399998</v>
      </c>
      <c r="E610" s="8">
        <v>2707139544</v>
      </c>
      <c r="F610" s="8">
        <v>56186</v>
      </c>
      <c r="G610" s="8">
        <v>4.6819541100000004</v>
      </c>
      <c r="H610" s="8">
        <v>85.837672920000003</v>
      </c>
      <c r="I610" s="8">
        <v>20479.59</v>
      </c>
      <c r="J610" s="8">
        <v>48181.75</v>
      </c>
      <c r="K610" s="8">
        <v>42.5</v>
      </c>
      <c r="L610" s="8">
        <v>141</v>
      </c>
      <c r="M610" s="8">
        <v>812603359.69999969</v>
      </c>
      <c r="N610" s="8">
        <v>41.6</v>
      </c>
      <c r="O610" s="8" t="str">
        <f>vw_scenario_analysis_dataset[[#This Row],[reporter_name]] &amp; "-" &amp; vw_scenario_analysis_dataset[[#This Row],[reference_year]]</f>
        <v>Greenland-2016</v>
      </c>
    </row>
    <row r="611" spans="1:15" x14ac:dyDescent="0.3">
      <c r="A611" s="8" t="s">
        <v>150</v>
      </c>
      <c r="B611" s="8" t="s">
        <v>151</v>
      </c>
      <c r="C611" s="8">
        <v>2017</v>
      </c>
      <c r="D611" s="8">
        <v>1191674380.3200002</v>
      </c>
      <c r="E611" s="8">
        <v>2851613679</v>
      </c>
      <c r="F611" s="8">
        <v>56172</v>
      </c>
      <c r="G611" s="8">
        <v>5.2728182999999998E-2</v>
      </c>
      <c r="H611" s="8">
        <v>84.207255869999997</v>
      </c>
      <c r="I611" s="8">
        <v>21214.74</v>
      </c>
      <c r="J611" s="8">
        <v>50765.75</v>
      </c>
      <c r="K611" s="8">
        <v>41.79</v>
      </c>
      <c r="L611" s="8">
        <v>142</v>
      </c>
      <c r="M611" s="8">
        <v>1150666335.9399998</v>
      </c>
      <c r="N611" s="8">
        <v>3.56</v>
      </c>
      <c r="O611" s="8" t="str">
        <f>vw_scenario_analysis_dataset[[#This Row],[reporter_name]] &amp; "-" &amp; vw_scenario_analysis_dataset[[#This Row],[reference_year]]</f>
        <v>Greenland-2017</v>
      </c>
    </row>
    <row r="612" spans="1:15" x14ac:dyDescent="0.3">
      <c r="A612" s="8" t="s">
        <v>150</v>
      </c>
      <c r="B612" s="8" t="s">
        <v>151</v>
      </c>
      <c r="C612" s="8">
        <v>2018</v>
      </c>
      <c r="D612" s="8">
        <v>1281794687.2800004</v>
      </c>
      <c r="E612" s="8">
        <v>3055782146</v>
      </c>
      <c r="F612" s="8">
        <v>56023</v>
      </c>
      <c r="G612" s="8">
        <v>0.62306542899999995</v>
      </c>
      <c r="H612" s="8">
        <v>89.776690630000004</v>
      </c>
      <c r="I612" s="8">
        <v>22879.79</v>
      </c>
      <c r="J612" s="8">
        <v>54545.14</v>
      </c>
      <c r="K612" s="8">
        <v>41.95</v>
      </c>
      <c r="L612" s="8">
        <v>140</v>
      </c>
      <c r="M612" s="8">
        <v>1191674380.3200002</v>
      </c>
      <c r="N612" s="8">
        <v>7.56</v>
      </c>
      <c r="O612" s="8" t="str">
        <f>vw_scenario_analysis_dataset[[#This Row],[reporter_name]] &amp; "-" &amp; vw_scenario_analysis_dataset[[#This Row],[reference_year]]</f>
        <v>Greenland-2018</v>
      </c>
    </row>
    <row r="613" spans="1:15" x14ac:dyDescent="0.3">
      <c r="A613" s="8" t="s">
        <v>152</v>
      </c>
      <c r="B613" s="8" t="s">
        <v>153</v>
      </c>
      <c r="C613" s="8">
        <v>2015</v>
      </c>
      <c r="D613" s="8">
        <v>21354788924</v>
      </c>
      <c r="E613" s="8">
        <v>62186066548</v>
      </c>
      <c r="F613" s="8">
        <v>15971743</v>
      </c>
      <c r="G613" s="8">
        <v>4.0921717009999998</v>
      </c>
      <c r="H613" s="8">
        <v>49.893451859999999</v>
      </c>
      <c r="I613" s="8">
        <v>1337.04</v>
      </c>
      <c r="J613" s="8">
        <v>3893.51</v>
      </c>
      <c r="K613" s="8">
        <v>34.340000000000003</v>
      </c>
      <c r="L613" s="8">
        <v>77</v>
      </c>
      <c r="M613" s="8"/>
      <c r="N613" s="8"/>
      <c r="O613" s="8" t="str">
        <f>vw_scenario_analysis_dataset[[#This Row],[reporter_name]] &amp; "-" &amp; vw_scenario_analysis_dataset[[#This Row],[reference_year]]</f>
        <v>Guatemala-2015</v>
      </c>
    </row>
    <row r="614" spans="1:15" x14ac:dyDescent="0.3">
      <c r="A614" s="8" t="s">
        <v>152</v>
      </c>
      <c r="B614" s="8" t="s">
        <v>153</v>
      </c>
      <c r="C614" s="8">
        <v>2016</v>
      </c>
      <c r="D614" s="8">
        <v>21182659196</v>
      </c>
      <c r="E614" s="8">
        <v>66053408206</v>
      </c>
      <c r="F614" s="8">
        <v>16268760</v>
      </c>
      <c r="G614" s="8">
        <v>2.6778031929999999</v>
      </c>
      <c r="H614" s="8">
        <v>46.372734389999998</v>
      </c>
      <c r="I614" s="8">
        <v>1302.05</v>
      </c>
      <c r="J614" s="8">
        <v>4060.14</v>
      </c>
      <c r="K614" s="8">
        <v>32.07</v>
      </c>
      <c r="L614" s="8">
        <v>76</v>
      </c>
      <c r="M614" s="8">
        <v>21354788924</v>
      </c>
      <c r="N614" s="8">
        <v>-0.81</v>
      </c>
      <c r="O614" s="8" t="str">
        <f>vw_scenario_analysis_dataset[[#This Row],[reporter_name]] &amp; "-" &amp; vw_scenario_analysis_dataset[[#This Row],[reference_year]]</f>
        <v>Guatemala-2016</v>
      </c>
    </row>
    <row r="615" spans="1:15" x14ac:dyDescent="0.3">
      <c r="A615" s="8" t="s">
        <v>152</v>
      </c>
      <c r="B615" s="8" t="s">
        <v>153</v>
      </c>
      <c r="C615" s="8">
        <v>2017</v>
      </c>
      <c r="D615" s="8">
        <v>22022782794</v>
      </c>
      <c r="E615" s="8">
        <v>71653780740</v>
      </c>
      <c r="F615" s="8">
        <v>16567357</v>
      </c>
      <c r="G615" s="8">
        <v>3.0798512210000002</v>
      </c>
      <c r="H615" s="8">
        <v>46.069403440000002</v>
      </c>
      <c r="I615" s="8">
        <v>1329.29</v>
      </c>
      <c r="J615" s="8">
        <v>4325</v>
      </c>
      <c r="K615" s="8">
        <v>30.73</v>
      </c>
      <c r="L615" s="8">
        <v>80</v>
      </c>
      <c r="M615" s="8">
        <v>21182659196</v>
      </c>
      <c r="N615" s="8">
        <v>3.97</v>
      </c>
      <c r="O615" s="8" t="str">
        <f>vw_scenario_analysis_dataset[[#This Row],[reporter_name]] &amp; "-" &amp; vw_scenario_analysis_dataset[[#This Row],[reference_year]]</f>
        <v>Guatemala-2017</v>
      </c>
    </row>
    <row r="616" spans="1:15" x14ac:dyDescent="0.3">
      <c r="A616" s="8" t="s">
        <v>152</v>
      </c>
      <c r="B616" s="8" t="s">
        <v>153</v>
      </c>
      <c r="C616" s="8">
        <v>2018</v>
      </c>
      <c r="D616" s="8">
        <v>21726967872</v>
      </c>
      <c r="E616" s="8">
        <v>73328356008</v>
      </c>
      <c r="F616" s="8">
        <v>16845685</v>
      </c>
      <c r="G616" s="8">
        <v>3.4068732819999998</v>
      </c>
      <c r="H616" s="8">
        <v>47.01168534</v>
      </c>
      <c r="I616" s="8">
        <v>1289.76</v>
      </c>
      <c r="J616" s="8">
        <v>4352.95</v>
      </c>
      <c r="K616" s="8">
        <v>29.63</v>
      </c>
      <c r="L616" s="8">
        <v>80</v>
      </c>
      <c r="M616" s="8">
        <v>22022782794</v>
      </c>
      <c r="N616" s="8">
        <v>-1.34</v>
      </c>
      <c r="O616" s="8" t="str">
        <f>vw_scenario_analysis_dataset[[#This Row],[reporter_name]] &amp; "-" &amp; vw_scenario_analysis_dataset[[#This Row],[reference_year]]</f>
        <v>Guatemala-2018</v>
      </c>
    </row>
    <row r="617" spans="1:15" x14ac:dyDescent="0.3">
      <c r="A617" s="8" t="s">
        <v>152</v>
      </c>
      <c r="B617" s="8" t="s">
        <v>153</v>
      </c>
      <c r="C617" s="8">
        <v>2019</v>
      </c>
      <c r="D617" s="8">
        <v>22578352248</v>
      </c>
      <c r="E617" s="8">
        <v>77172331693</v>
      </c>
      <c r="F617" s="8">
        <v>17103803</v>
      </c>
      <c r="G617" s="8">
        <v>4.0178983089999996</v>
      </c>
      <c r="H617" s="8">
        <v>45.51673418</v>
      </c>
      <c r="I617" s="8">
        <v>1320.08</v>
      </c>
      <c r="J617" s="8">
        <v>4512</v>
      </c>
      <c r="K617" s="8">
        <v>29.26</v>
      </c>
      <c r="L617" s="8">
        <v>78</v>
      </c>
      <c r="M617" s="8">
        <v>21726967872</v>
      </c>
      <c r="N617" s="8">
        <v>3.92</v>
      </c>
      <c r="O617" s="8" t="str">
        <f>vw_scenario_analysis_dataset[[#This Row],[reporter_name]] &amp; "-" &amp; vw_scenario_analysis_dataset[[#This Row],[reference_year]]</f>
        <v>Guatemala-2019</v>
      </c>
    </row>
    <row r="618" spans="1:15" x14ac:dyDescent="0.3">
      <c r="A618" s="8" t="s">
        <v>152</v>
      </c>
      <c r="B618" s="8" t="s">
        <v>153</v>
      </c>
      <c r="C618" s="8">
        <v>2020</v>
      </c>
      <c r="D618" s="8">
        <v>23316938088</v>
      </c>
      <c r="E618" s="8">
        <v>77719468248</v>
      </c>
      <c r="F618" s="8">
        <v>17357325</v>
      </c>
      <c r="G618" s="8">
        <v>-1.785551176</v>
      </c>
      <c r="H618" s="8">
        <v>41.1407594</v>
      </c>
      <c r="I618" s="8">
        <v>1343.35</v>
      </c>
      <c r="J618" s="8">
        <v>4477.62</v>
      </c>
      <c r="K618" s="8">
        <v>30</v>
      </c>
      <c r="L618" s="8">
        <v>73</v>
      </c>
      <c r="M618" s="8">
        <v>22578352248</v>
      </c>
      <c r="N618" s="8">
        <v>3.27</v>
      </c>
      <c r="O618" s="8" t="str">
        <f>vw_scenario_analysis_dataset[[#This Row],[reporter_name]] &amp; "-" &amp; vw_scenario_analysis_dataset[[#This Row],[reference_year]]</f>
        <v>Guatemala-2020</v>
      </c>
    </row>
    <row r="619" spans="1:15" x14ac:dyDescent="0.3">
      <c r="A619" s="8" t="s">
        <v>152</v>
      </c>
      <c r="B619" s="8" t="s">
        <v>153</v>
      </c>
      <c r="C619" s="8">
        <v>2021</v>
      </c>
      <c r="D619" s="8">
        <v>27471198390</v>
      </c>
      <c r="E619" s="8">
        <v>86455522273</v>
      </c>
      <c r="F619" s="8">
        <v>17598650</v>
      </c>
      <c r="G619" s="8">
        <v>8.0417039890000002</v>
      </c>
      <c r="H619" s="8">
        <v>49.261149439999997</v>
      </c>
      <c r="I619" s="8">
        <v>1560.98</v>
      </c>
      <c r="J619" s="8">
        <v>4912.62</v>
      </c>
      <c r="K619" s="8">
        <v>31.77</v>
      </c>
      <c r="L619" s="8">
        <v>76</v>
      </c>
      <c r="M619" s="8">
        <v>23316938088</v>
      </c>
      <c r="N619" s="8">
        <v>17.82</v>
      </c>
      <c r="O619" s="8" t="str">
        <f>vw_scenario_analysis_dataset[[#This Row],[reporter_name]] &amp; "-" &amp; vw_scenario_analysis_dataset[[#This Row],[reference_year]]</f>
        <v>Guatemala-2021</v>
      </c>
    </row>
    <row r="620" spans="1:15" x14ac:dyDescent="0.3">
      <c r="A620" s="8" t="s">
        <v>152</v>
      </c>
      <c r="B620" s="8" t="s">
        <v>153</v>
      </c>
      <c r="C620" s="8">
        <v>2022</v>
      </c>
      <c r="D620" s="8">
        <v>31612304352</v>
      </c>
      <c r="E620" s="8">
        <v>95609727056</v>
      </c>
      <c r="F620" s="8">
        <v>17847877</v>
      </c>
      <c r="G620" s="8">
        <v>4.1549219659999999</v>
      </c>
      <c r="H620" s="8">
        <v>54.44909646</v>
      </c>
      <c r="I620" s="8">
        <v>1771.21</v>
      </c>
      <c r="J620" s="8">
        <v>5356.92</v>
      </c>
      <c r="K620" s="8">
        <v>33.06</v>
      </c>
      <c r="L620" s="8">
        <v>72</v>
      </c>
      <c r="M620" s="8">
        <v>27471198390</v>
      </c>
      <c r="N620" s="8">
        <v>15.07</v>
      </c>
      <c r="O620" s="8" t="str">
        <f>vw_scenario_analysis_dataset[[#This Row],[reporter_name]] &amp; "-" &amp; vw_scenario_analysis_dataset[[#This Row],[reference_year]]</f>
        <v>Guatemala-2022</v>
      </c>
    </row>
    <row r="621" spans="1:15" x14ac:dyDescent="0.3">
      <c r="A621" s="8" t="s">
        <v>152</v>
      </c>
      <c r="B621" s="8" t="s">
        <v>153</v>
      </c>
      <c r="C621" s="8">
        <v>2023</v>
      </c>
      <c r="D621" s="8">
        <v>28522065256</v>
      </c>
      <c r="E621" s="8">
        <v>104000000000</v>
      </c>
      <c r="F621" s="8">
        <v>18124838</v>
      </c>
      <c r="G621" s="8">
        <v>3.52430434</v>
      </c>
      <c r="H621" s="8">
        <v>48.329797849999999</v>
      </c>
      <c r="I621" s="8">
        <v>1573.65</v>
      </c>
      <c r="J621" s="8">
        <v>5737.98</v>
      </c>
      <c r="K621" s="8">
        <v>27.43</v>
      </c>
      <c r="L621" s="8">
        <v>73</v>
      </c>
      <c r="M621" s="8">
        <v>31612304352</v>
      </c>
      <c r="N621" s="8">
        <v>-9.7799999999999994</v>
      </c>
      <c r="O621" s="8" t="str">
        <f>vw_scenario_analysis_dataset[[#This Row],[reporter_name]] &amp; "-" &amp; vw_scenario_analysis_dataset[[#This Row],[reference_year]]</f>
        <v>Guatemala-2023</v>
      </c>
    </row>
    <row r="622" spans="1:15" x14ac:dyDescent="0.3">
      <c r="A622" s="8" t="s">
        <v>152</v>
      </c>
      <c r="B622" s="8" t="s">
        <v>153</v>
      </c>
      <c r="C622" s="8">
        <v>2024</v>
      </c>
      <c r="D622" s="8">
        <v>29520689580</v>
      </c>
      <c r="E622" s="8">
        <v>113000000000</v>
      </c>
      <c r="F622" s="8">
        <v>18406359</v>
      </c>
      <c r="G622" s="8">
        <v>3.7155845379999999</v>
      </c>
      <c r="H622" s="8">
        <v>47.305298139999998</v>
      </c>
      <c r="I622" s="8">
        <v>1603.83</v>
      </c>
      <c r="J622" s="8">
        <v>6139.18</v>
      </c>
      <c r="K622" s="8">
        <v>26.12</v>
      </c>
      <c r="L622" s="8">
        <v>70</v>
      </c>
      <c r="M622" s="8">
        <v>28522065256</v>
      </c>
      <c r="N622" s="8">
        <v>3.5</v>
      </c>
      <c r="O622" s="8" t="str">
        <f>vw_scenario_analysis_dataset[[#This Row],[reporter_name]] &amp; "-" &amp; vw_scenario_analysis_dataset[[#This Row],[reference_year]]</f>
        <v>Guatemala-2024</v>
      </c>
    </row>
    <row r="623" spans="1:15" x14ac:dyDescent="0.3">
      <c r="A623" s="8" t="s">
        <v>154</v>
      </c>
      <c r="B623" s="8" t="s">
        <v>155</v>
      </c>
      <c r="C623" s="8">
        <v>2015</v>
      </c>
      <c r="D623" s="8">
        <v>2338734533.3459997</v>
      </c>
      <c r="E623" s="8">
        <v>4279840194</v>
      </c>
      <c r="F623" s="8">
        <v>758781</v>
      </c>
      <c r="G623" s="8">
        <v>0.68740459099999995</v>
      </c>
      <c r="H623" s="8"/>
      <c r="I623" s="8">
        <v>3082.23</v>
      </c>
      <c r="J623" s="8">
        <v>5640.42</v>
      </c>
      <c r="K623" s="8">
        <v>54.65</v>
      </c>
      <c r="L623" s="8">
        <v>128</v>
      </c>
      <c r="M623" s="8"/>
      <c r="N623" s="8"/>
      <c r="O623" s="8" t="str">
        <f>vw_scenario_analysis_dataset[[#This Row],[reporter_name]] &amp; "-" &amp; vw_scenario_analysis_dataset[[#This Row],[reference_year]]</f>
        <v>Guyana-2015</v>
      </c>
    </row>
    <row r="624" spans="1:15" x14ac:dyDescent="0.3">
      <c r="A624" s="8" t="s">
        <v>154</v>
      </c>
      <c r="B624" s="8" t="s">
        <v>155</v>
      </c>
      <c r="C624" s="8">
        <v>2016</v>
      </c>
      <c r="D624" s="8">
        <v>2905263122</v>
      </c>
      <c r="E624" s="8">
        <v>4482697337</v>
      </c>
      <c r="F624" s="8">
        <v>763548</v>
      </c>
      <c r="G624" s="8">
        <v>3.8074562639999998</v>
      </c>
      <c r="H624" s="8"/>
      <c r="I624" s="8">
        <v>3804.95</v>
      </c>
      <c r="J624" s="8">
        <v>5870.88</v>
      </c>
      <c r="K624" s="8">
        <v>64.81</v>
      </c>
      <c r="L624" s="8">
        <v>126</v>
      </c>
      <c r="M624" s="8">
        <v>2338734533.3459997</v>
      </c>
      <c r="N624" s="8">
        <v>24.22</v>
      </c>
      <c r="O624" s="8" t="str">
        <f>vw_scenario_analysis_dataset[[#This Row],[reporter_name]] &amp; "-" &amp; vw_scenario_analysis_dataset[[#This Row],[reference_year]]</f>
        <v>Guyana-2016</v>
      </c>
    </row>
    <row r="625" spans="1:15" x14ac:dyDescent="0.3">
      <c r="A625" s="8" t="s">
        <v>154</v>
      </c>
      <c r="B625" s="8" t="s">
        <v>155</v>
      </c>
      <c r="C625" s="8">
        <v>2017</v>
      </c>
      <c r="D625" s="8">
        <v>3579379815.5019989</v>
      </c>
      <c r="E625" s="8">
        <v>4748174334</v>
      </c>
      <c r="F625" s="8">
        <v>768479</v>
      </c>
      <c r="G625" s="8">
        <v>3.7344915460000001</v>
      </c>
      <c r="H625" s="8"/>
      <c r="I625" s="8">
        <v>4657.75</v>
      </c>
      <c r="J625" s="8">
        <v>6178.67</v>
      </c>
      <c r="K625" s="8">
        <v>75.38</v>
      </c>
      <c r="L625" s="8">
        <v>127</v>
      </c>
      <c r="M625" s="8">
        <v>2905263122</v>
      </c>
      <c r="N625" s="8">
        <v>23.2</v>
      </c>
      <c r="O625" s="8" t="str">
        <f>vw_scenario_analysis_dataset[[#This Row],[reporter_name]] &amp; "-" &amp; vw_scenario_analysis_dataset[[#This Row],[reference_year]]</f>
        <v>Guyana-2017</v>
      </c>
    </row>
    <row r="626" spans="1:15" x14ac:dyDescent="0.3">
      <c r="A626" s="8" t="s">
        <v>154</v>
      </c>
      <c r="B626" s="8" t="s">
        <v>155</v>
      </c>
      <c r="C626" s="8">
        <v>2018</v>
      </c>
      <c r="D626" s="8">
        <v>2759004083.9770002</v>
      </c>
      <c r="E626" s="8">
        <v>4787636998</v>
      </c>
      <c r="F626" s="8">
        <v>791556</v>
      </c>
      <c r="G626" s="8">
        <v>4.4409128850000004</v>
      </c>
      <c r="H626" s="8"/>
      <c r="I626" s="8">
        <v>3485.55</v>
      </c>
      <c r="J626" s="8">
        <v>6048.39</v>
      </c>
      <c r="K626" s="8">
        <v>57.63</v>
      </c>
      <c r="L626" s="8">
        <v>126</v>
      </c>
      <c r="M626" s="8">
        <v>3579379815.5019989</v>
      </c>
      <c r="N626" s="8">
        <v>-22.92</v>
      </c>
      <c r="O626" s="8" t="str">
        <f>vw_scenario_analysis_dataset[[#This Row],[reporter_name]] &amp; "-" &amp; vw_scenario_analysis_dataset[[#This Row],[reference_year]]</f>
        <v>Guyana-2018</v>
      </c>
    </row>
    <row r="627" spans="1:15" x14ac:dyDescent="0.3">
      <c r="A627" s="8" t="s">
        <v>154</v>
      </c>
      <c r="B627" s="8" t="s">
        <v>155</v>
      </c>
      <c r="C627" s="8">
        <v>2019</v>
      </c>
      <c r="D627" s="8">
        <v>3131446119.8559999</v>
      </c>
      <c r="E627" s="8">
        <v>5173760192</v>
      </c>
      <c r="F627" s="8">
        <v>807665</v>
      </c>
      <c r="G627" s="8">
        <v>5.3528400349999998</v>
      </c>
      <c r="H627" s="8"/>
      <c r="I627" s="8">
        <v>3877.16</v>
      </c>
      <c r="J627" s="8">
        <v>6405.82</v>
      </c>
      <c r="K627" s="8">
        <v>60.53</v>
      </c>
      <c r="L627" s="8">
        <v>126</v>
      </c>
      <c r="M627" s="8">
        <v>2759004083.9770002</v>
      </c>
      <c r="N627" s="8">
        <v>13.5</v>
      </c>
      <c r="O627" s="8" t="str">
        <f>vw_scenario_analysis_dataset[[#This Row],[reporter_name]] &amp; "-" &amp; vw_scenario_analysis_dataset[[#This Row],[reference_year]]</f>
        <v>Guyana-2019</v>
      </c>
    </row>
    <row r="628" spans="1:15" x14ac:dyDescent="0.3">
      <c r="A628" s="8" t="s">
        <v>154</v>
      </c>
      <c r="B628" s="8" t="s">
        <v>155</v>
      </c>
      <c r="C628" s="8">
        <v>2020</v>
      </c>
      <c r="D628" s="8">
        <v>10393341195.877001</v>
      </c>
      <c r="E628" s="8">
        <v>5471256595</v>
      </c>
      <c r="F628" s="8">
        <v>807481</v>
      </c>
      <c r="G628" s="8">
        <v>43.47965172</v>
      </c>
      <c r="H628" s="8"/>
      <c r="I628" s="8">
        <v>12871.31</v>
      </c>
      <c r="J628" s="8">
        <v>6775.71</v>
      </c>
      <c r="K628" s="8">
        <v>189.96</v>
      </c>
      <c r="L628" s="8">
        <v>93</v>
      </c>
      <c r="M628" s="8">
        <v>3131446119.8559999</v>
      </c>
      <c r="N628" s="8">
        <v>231.9</v>
      </c>
      <c r="O628" s="8" t="str">
        <f>vw_scenario_analysis_dataset[[#This Row],[reporter_name]] &amp; "-" &amp; vw_scenario_analysis_dataset[[#This Row],[reference_year]]</f>
        <v>Guyana-2020</v>
      </c>
    </row>
    <row r="629" spans="1:15" x14ac:dyDescent="0.3">
      <c r="A629" s="8" t="s">
        <v>154</v>
      </c>
      <c r="B629" s="8" t="s">
        <v>155</v>
      </c>
      <c r="C629" s="8">
        <v>2021</v>
      </c>
      <c r="D629" s="8">
        <v>17415812783.016994</v>
      </c>
      <c r="E629" s="8">
        <v>8041362110</v>
      </c>
      <c r="F629" s="8">
        <v>815482</v>
      </c>
      <c r="G629" s="8">
        <v>20.059997559999999</v>
      </c>
      <c r="H629" s="8"/>
      <c r="I629" s="8">
        <v>21356.46</v>
      </c>
      <c r="J629" s="8">
        <v>9860.8700000000008</v>
      </c>
      <c r="K629" s="8">
        <v>216.58</v>
      </c>
      <c r="L629" s="8">
        <v>87</v>
      </c>
      <c r="M629" s="8">
        <v>10393341195.877001</v>
      </c>
      <c r="N629" s="8">
        <v>67.569999999999993</v>
      </c>
      <c r="O629" s="8" t="str">
        <f>vw_scenario_analysis_dataset[[#This Row],[reporter_name]] &amp; "-" &amp; vw_scenario_analysis_dataset[[#This Row],[reference_year]]</f>
        <v>Guyana-2021</v>
      </c>
    </row>
    <row r="630" spans="1:15" x14ac:dyDescent="0.3">
      <c r="A630" s="8" t="s">
        <v>154</v>
      </c>
      <c r="B630" s="8" t="s">
        <v>155</v>
      </c>
      <c r="C630" s="8">
        <v>2022</v>
      </c>
      <c r="D630" s="8">
        <v>45124693696.20697</v>
      </c>
      <c r="E630" s="8">
        <v>14718388489</v>
      </c>
      <c r="F630" s="8">
        <v>821637</v>
      </c>
      <c r="G630" s="8">
        <v>63.334634370000003</v>
      </c>
      <c r="H630" s="8"/>
      <c r="I630" s="8">
        <v>54920.47</v>
      </c>
      <c r="J630" s="8">
        <v>17913.490000000002</v>
      </c>
      <c r="K630" s="8">
        <v>306.58999999999997</v>
      </c>
      <c r="L630" s="8">
        <v>64</v>
      </c>
      <c r="M630" s="8">
        <v>17415812783.016994</v>
      </c>
      <c r="N630" s="8">
        <v>159.1</v>
      </c>
      <c r="O630" s="8" t="str">
        <f>vw_scenario_analysis_dataset[[#This Row],[reporter_name]] &amp; "-" &amp; vw_scenario_analysis_dataset[[#This Row],[reference_year]]</f>
        <v>Guyana-2022</v>
      </c>
    </row>
    <row r="631" spans="1:15" x14ac:dyDescent="0.3">
      <c r="A631" s="8" t="s">
        <v>154</v>
      </c>
      <c r="B631" s="8" t="s">
        <v>155</v>
      </c>
      <c r="C631" s="8">
        <v>2023</v>
      </c>
      <c r="D631" s="8">
        <v>21623512460.402004</v>
      </c>
      <c r="E631" s="8">
        <v>16918503597</v>
      </c>
      <c r="F631" s="8">
        <v>826353</v>
      </c>
      <c r="G631" s="8">
        <v>33.795011119999998</v>
      </c>
      <c r="H631" s="8"/>
      <c r="I631" s="8">
        <v>26167.4</v>
      </c>
      <c r="J631" s="8">
        <v>20473.7</v>
      </c>
      <c r="K631" s="8">
        <v>127.81</v>
      </c>
      <c r="L631" s="8">
        <v>82</v>
      </c>
      <c r="M631" s="8">
        <v>45124693696.20697</v>
      </c>
      <c r="N631" s="8">
        <v>-52.08</v>
      </c>
      <c r="O631" s="8" t="str">
        <f>vw_scenario_analysis_dataset[[#This Row],[reporter_name]] &amp; "-" &amp; vw_scenario_analysis_dataset[[#This Row],[reference_year]]</f>
        <v>Guyana-2023</v>
      </c>
    </row>
    <row r="632" spans="1:15" x14ac:dyDescent="0.3">
      <c r="A632" s="8" t="s">
        <v>154</v>
      </c>
      <c r="B632" s="8" t="s">
        <v>155</v>
      </c>
      <c r="C632" s="8">
        <v>2024</v>
      </c>
      <c r="D632" s="8">
        <v>44829167100.029984</v>
      </c>
      <c r="E632" s="8">
        <v>24662714628</v>
      </c>
      <c r="F632" s="8">
        <v>831087</v>
      </c>
      <c r="G632" s="8">
        <v>43.819272640000001</v>
      </c>
      <c r="H632" s="8"/>
      <c r="I632" s="8">
        <v>53940.4</v>
      </c>
      <c r="J632" s="8">
        <v>29675.25</v>
      </c>
      <c r="K632" s="8">
        <v>181.77</v>
      </c>
      <c r="L632" s="8">
        <v>62</v>
      </c>
      <c r="M632" s="8">
        <v>21623512460.402004</v>
      </c>
      <c r="N632" s="8">
        <v>107.32</v>
      </c>
      <c r="O632" s="8" t="str">
        <f>vw_scenario_analysis_dataset[[#This Row],[reporter_name]] &amp; "-" &amp; vw_scenario_analysis_dataset[[#This Row],[reference_year]]</f>
        <v>Guyana-2024</v>
      </c>
    </row>
    <row r="633" spans="1:15" x14ac:dyDescent="0.3">
      <c r="A633" s="8" t="s">
        <v>156</v>
      </c>
      <c r="B633" s="8" t="s">
        <v>157</v>
      </c>
      <c r="C633" s="8">
        <v>2015</v>
      </c>
      <c r="D633" s="8">
        <v>1021105557270.4033</v>
      </c>
      <c r="E633" s="8">
        <v>309000000000</v>
      </c>
      <c r="F633" s="8">
        <v>7291300</v>
      </c>
      <c r="G633" s="8">
        <v>2.38780116</v>
      </c>
      <c r="H633" s="8">
        <v>389.40594929999997</v>
      </c>
      <c r="I633" s="8">
        <v>140044.38</v>
      </c>
      <c r="J633" s="8">
        <v>42379.27</v>
      </c>
      <c r="K633" s="8">
        <v>330.45</v>
      </c>
      <c r="L633" s="8">
        <v>5</v>
      </c>
      <c r="M633" s="8"/>
      <c r="N633" s="8"/>
      <c r="O633" s="8" t="str">
        <f>vw_scenario_analysis_dataset[[#This Row],[reporter_name]] &amp; "-" &amp; vw_scenario_analysis_dataset[[#This Row],[reference_year]]</f>
        <v>China, Hong Kong SAR-2015</v>
      </c>
    </row>
    <row r="634" spans="1:15" x14ac:dyDescent="0.3">
      <c r="A634" s="8" t="s">
        <v>156</v>
      </c>
      <c r="B634" s="8" t="s">
        <v>157</v>
      </c>
      <c r="C634" s="8">
        <v>2016</v>
      </c>
      <c r="D634" s="8">
        <v>1033176261866.1112</v>
      </c>
      <c r="E634" s="8">
        <v>321000000000</v>
      </c>
      <c r="F634" s="8">
        <v>7336600</v>
      </c>
      <c r="G634" s="8">
        <v>2.1754482030000002</v>
      </c>
      <c r="H634" s="8">
        <v>371.72723180000003</v>
      </c>
      <c r="I634" s="8">
        <v>140824.94</v>
      </c>
      <c r="J634" s="8">
        <v>43753.24</v>
      </c>
      <c r="K634" s="8">
        <v>321.86</v>
      </c>
      <c r="L634" s="8">
        <v>4</v>
      </c>
      <c r="M634" s="8">
        <v>1021105557270.4033</v>
      </c>
      <c r="N634" s="8">
        <v>1.18</v>
      </c>
      <c r="O634" s="8" t="str">
        <f>vw_scenario_analysis_dataset[[#This Row],[reporter_name]] &amp; "-" &amp; vw_scenario_analysis_dataset[[#This Row],[reference_year]]</f>
        <v>China, Hong Kong SAR-2016</v>
      </c>
    </row>
    <row r="635" spans="1:15" x14ac:dyDescent="0.3">
      <c r="A635" s="8" t="s">
        <v>156</v>
      </c>
      <c r="B635" s="8" t="s">
        <v>157</v>
      </c>
      <c r="C635" s="8">
        <v>2017</v>
      </c>
      <c r="D635" s="8">
        <v>1099722910426.6221</v>
      </c>
      <c r="E635" s="8">
        <v>341000000000</v>
      </c>
      <c r="F635" s="8">
        <v>7393200</v>
      </c>
      <c r="G635" s="8">
        <v>3.7961093720000001</v>
      </c>
      <c r="H635" s="8">
        <v>376.79566670000003</v>
      </c>
      <c r="I635" s="8">
        <v>148747.89000000001</v>
      </c>
      <c r="J635" s="8">
        <v>46123.46</v>
      </c>
      <c r="K635" s="8">
        <v>322.5</v>
      </c>
      <c r="L635" s="8">
        <v>5</v>
      </c>
      <c r="M635" s="8">
        <v>1033176261866.1112</v>
      </c>
      <c r="N635" s="8">
        <v>6.44</v>
      </c>
      <c r="O635" s="8" t="str">
        <f>vw_scenario_analysis_dataset[[#This Row],[reporter_name]] &amp; "-" &amp; vw_scenario_analysis_dataset[[#This Row],[reference_year]]</f>
        <v>China, Hong Kong SAR-2017</v>
      </c>
    </row>
    <row r="636" spans="1:15" x14ac:dyDescent="0.3">
      <c r="A636" s="8" t="s">
        <v>156</v>
      </c>
      <c r="B636" s="8" t="s">
        <v>157</v>
      </c>
      <c r="C636" s="8">
        <v>2018</v>
      </c>
      <c r="D636" s="8">
        <v>1138211479462.2312</v>
      </c>
      <c r="E636" s="8">
        <v>362000000000</v>
      </c>
      <c r="F636" s="8">
        <v>7452600</v>
      </c>
      <c r="G636" s="8">
        <v>2.8469092269999998</v>
      </c>
      <c r="H636" s="8">
        <v>376.89277349999998</v>
      </c>
      <c r="I636" s="8">
        <v>152726.76</v>
      </c>
      <c r="J636" s="8">
        <v>48573.65</v>
      </c>
      <c r="K636" s="8">
        <v>314.42</v>
      </c>
      <c r="L636" s="8">
        <v>6</v>
      </c>
      <c r="M636" s="8">
        <v>1099722910426.6221</v>
      </c>
      <c r="N636" s="8">
        <v>3.5</v>
      </c>
      <c r="O636" s="8" t="str">
        <f>vw_scenario_analysis_dataset[[#This Row],[reporter_name]] &amp; "-" &amp; vw_scenario_analysis_dataset[[#This Row],[reference_year]]</f>
        <v>China, Hong Kong SAR-2018</v>
      </c>
    </row>
    <row r="637" spans="1:15" x14ac:dyDescent="0.3">
      <c r="A637" s="8" t="s">
        <v>156</v>
      </c>
      <c r="B637" s="8" t="s">
        <v>157</v>
      </c>
      <c r="C637" s="8">
        <v>2019</v>
      </c>
      <c r="D637" s="8">
        <v>1071422037810.1497</v>
      </c>
      <c r="E637" s="8">
        <v>363000000000</v>
      </c>
      <c r="F637" s="8">
        <v>7507900</v>
      </c>
      <c r="G637" s="8">
        <v>-1.67242866</v>
      </c>
      <c r="H637" s="8">
        <v>353.74352110000001</v>
      </c>
      <c r="I637" s="8">
        <v>142705.95000000001</v>
      </c>
      <c r="J637" s="8">
        <v>48349.07</v>
      </c>
      <c r="K637" s="8">
        <v>295.16000000000003</v>
      </c>
      <c r="L637" s="8">
        <v>8</v>
      </c>
      <c r="M637" s="8">
        <v>1138211479462.2312</v>
      </c>
      <c r="N637" s="8">
        <v>-5.87</v>
      </c>
      <c r="O637" s="8" t="str">
        <f>vw_scenario_analysis_dataset[[#This Row],[reporter_name]] &amp; "-" &amp; vw_scenario_analysis_dataset[[#This Row],[reference_year]]</f>
        <v>China, Hong Kong SAR-2019</v>
      </c>
    </row>
    <row r="638" spans="1:15" x14ac:dyDescent="0.3">
      <c r="A638" s="8" t="s">
        <v>156</v>
      </c>
      <c r="B638" s="8" t="s">
        <v>157</v>
      </c>
      <c r="C638" s="8">
        <v>2020</v>
      </c>
      <c r="D638" s="8">
        <v>1103031511849.2498</v>
      </c>
      <c r="E638" s="8">
        <v>345000000000</v>
      </c>
      <c r="F638" s="8">
        <v>7481000</v>
      </c>
      <c r="G638" s="8">
        <v>-6.5447964049999996</v>
      </c>
      <c r="H638" s="8">
        <v>350.67970500000001</v>
      </c>
      <c r="I638" s="8">
        <v>147444.39000000001</v>
      </c>
      <c r="J638" s="8">
        <v>46116.83</v>
      </c>
      <c r="K638" s="8">
        <v>319.72000000000003</v>
      </c>
      <c r="L638" s="8">
        <v>4</v>
      </c>
      <c r="M638" s="8">
        <v>1071422037810.1497</v>
      </c>
      <c r="N638" s="8">
        <v>2.95</v>
      </c>
      <c r="O638" s="8" t="str">
        <f>vw_scenario_analysis_dataset[[#This Row],[reporter_name]] &amp; "-" &amp; vw_scenario_analysis_dataset[[#This Row],[reference_year]]</f>
        <v>China, Hong Kong SAR-2020</v>
      </c>
    </row>
    <row r="639" spans="1:15" x14ac:dyDescent="0.3">
      <c r="A639" s="8" t="s">
        <v>156</v>
      </c>
      <c r="B639" s="8" t="s">
        <v>157</v>
      </c>
      <c r="C639" s="8">
        <v>2021</v>
      </c>
      <c r="D639" s="8">
        <v>1341852158914.1067</v>
      </c>
      <c r="E639" s="8">
        <v>369000000000</v>
      </c>
      <c r="F639" s="8">
        <v>7413100</v>
      </c>
      <c r="G639" s="8">
        <v>6.454430383</v>
      </c>
      <c r="H639" s="8">
        <v>402.45968149999999</v>
      </c>
      <c r="I639" s="8">
        <v>181010.93</v>
      </c>
      <c r="J639" s="8">
        <v>49776.75</v>
      </c>
      <c r="K639" s="8">
        <v>363.65</v>
      </c>
      <c r="L639" s="8">
        <v>5</v>
      </c>
      <c r="M639" s="8">
        <v>1103031511849.2498</v>
      </c>
      <c r="N639" s="8">
        <v>21.65</v>
      </c>
      <c r="O639" s="8" t="str">
        <f>vw_scenario_analysis_dataset[[#This Row],[reporter_name]] &amp; "-" &amp; vw_scenario_analysis_dataset[[#This Row],[reference_year]]</f>
        <v>China, Hong Kong SAR-2021</v>
      </c>
    </row>
    <row r="640" spans="1:15" x14ac:dyDescent="0.3">
      <c r="A640" s="8" t="s">
        <v>156</v>
      </c>
      <c r="B640" s="8" t="s">
        <v>157</v>
      </c>
      <c r="C640" s="8">
        <v>2022</v>
      </c>
      <c r="D640" s="8">
        <v>1220276708522.2219</v>
      </c>
      <c r="E640" s="8">
        <v>359000000000</v>
      </c>
      <c r="F640" s="8">
        <v>7346100</v>
      </c>
      <c r="G640" s="8">
        <v>-3.6852835929999999</v>
      </c>
      <c r="H640" s="8">
        <v>384.88591000000002</v>
      </c>
      <c r="I640" s="8">
        <v>166112.18</v>
      </c>
      <c r="J640" s="8">
        <v>48869.47</v>
      </c>
      <c r="K640" s="8">
        <v>339.91</v>
      </c>
      <c r="L640" s="8">
        <v>8</v>
      </c>
      <c r="M640" s="8">
        <v>1341852158914.1067</v>
      </c>
      <c r="N640" s="8">
        <v>-9.06</v>
      </c>
      <c r="O640" s="8" t="str">
        <f>vw_scenario_analysis_dataset[[#This Row],[reporter_name]] &amp; "-" &amp; vw_scenario_analysis_dataset[[#This Row],[reference_year]]</f>
        <v>China, Hong Kong SAR-2022</v>
      </c>
    </row>
    <row r="641" spans="1:15" x14ac:dyDescent="0.3">
      <c r="A641" s="8" t="s">
        <v>156</v>
      </c>
      <c r="B641" s="8" t="s">
        <v>157</v>
      </c>
      <c r="C641" s="8">
        <v>2023</v>
      </c>
      <c r="D641" s="8">
        <v>1150088755291.6431</v>
      </c>
      <c r="E641" s="8">
        <v>381000000000</v>
      </c>
      <c r="F641" s="8">
        <v>7536100</v>
      </c>
      <c r="G641" s="8">
        <v>3.1503446180000001</v>
      </c>
      <c r="H641" s="8">
        <v>353.19460889999999</v>
      </c>
      <c r="I641" s="8">
        <v>152610.6</v>
      </c>
      <c r="J641" s="8">
        <v>50556.65</v>
      </c>
      <c r="K641" s="8">
        <v>301.86</v>
      </c>
      <c r="L641" s="8">
        <v>9</v>
      </c>
      <c r="M641" s="8">
        <v>1220276708522.2219</v>
      </c>
      <c r="N641" s="8">
        <v>-5.75</v>
      </c>
      <c r="O641" s="8" t="str">
        <f>vw_scenario_analysis_dataset[[#This Row],[reporter_name]] &amp; "-" &amp; vw_scenario_analysis_dataset[[#This Row],[reference_year]]</f>
        <v>China, Hong Kong SAR-2023</v>
      </c>
    </row>
    <row r="642" spans="1:15" x14ac:dyDescent="0.3">
      <c r="A642" s="8" t="s">
        <v>156</v>
      </c>
      <c r="B642" s="8" t="s">
        <v>157</v>
      </c>
      <c r="C642" s="8">
        <v>2024</v>
      </c>
      <c r="D642" s="8">
        <v>1278821108595.5044</v>
      </c>
      <c r="E642" s="8">
        <v>408000000000</v>
      </c>
      <c r="F642" s="8">
        <v>7524100</v>
      </c>
      <c r="G642" s="8">
        <v>2.6293686119999999</v>
      </c>
      <c r="H642" s="8">
        <v>359.39066300000002</v>
      </c>
      <c r="I642" s="8">
        <v>169963.33</v>
      </c>
      <c r="J642" s="8">
        <v>54225.75</v>
      </c>
      <c r="K642" s="8">
        <v>313.44</v>
      </c>
      <c r="L642" s="8">
        <v>8</v>
      </c>
      <c r="M642" s="8">
        <v>1150088755291.6431</v>
      </c>
      <c r="N642" s="8">
        <v>11.19</v>
      </c>
      <c r="O642" s="8" t="str">
        <f>vw_scenario_analysis_dataset[[#This Row],[reporter_name]] &amp; "-" &amp; vw_scenario_analysis_dataset[[#This Row],[reference_year]]</f>
        <v>China, Hong Kong SAR-2024</v>
      </c>
    </row>
    <row r="643" spans="1:15" x14ac:dyDescent="0.3">
      <c r="A643" s="8" t="s">
        <v>158</v>
      </c>
      <c r="B643" s="8" t="s">
        <v>159</v>
      </c>
      <c r="C643" s="8">
        <v>2015</v>
      </c>
      <c r="D643" s="8">
        <v>8402946762</v>
      </c>
      <c r="E643" s="8">
        <v>20979791685</v>
      </c>
      <c r="F643" s="8">
        <v>9237305</v>
      </c>
      <c r="G643" s="8">
        <v>3.8400799710000002</v>
      </c>
      <c r="H643" s="8">
        <v>107.2644054</v>
      </c>
      <c r="I643" s="8">
        <v>909.68</v>
      </c>
      <c r="J643" s="8">
        <v>2271.1999999999998</v>
      </c>
      <c r="K643" s="8">
        <v>40.049999999999997</v>
      </c>
      <c r="L643" s="8">
        <v>102</v>
      </c>
      <c r="M643" s="8"/>
      <c r="N643" s="8"/>
      <c r="O643" s="8" t="str">
        <f>vw_scenario_analysis_dataset[[#This Row],[reporter_name]] &amp; "-" &amp; vw_scenario_analysis_dataset[[#This Row],[reference_year]]</f>
        <v>Honduras-2015</v>
      </c>
    </row>
    <row r="644" spans="1:15" x14ac:dyDescent="0.3">
      <c r="A644" s="8" t="s">
        <v>158</v>
      </c>
      <c r="B644" s="8" t="s">
        <v>159</v>
      </c>
      <c r="C644" s="8">
        <v>2016</v>
      </c>
      <c r="D644" s="8">
        <v>8169283832</v>
      </c>
      <c r="E644" s="8">
        <v>21717604952</v>
      </c>
      <c r="F644" s="8">
        <v>9412380</v>
      </c>
      <c r="G644" s="8">
        <v>3.8929721970000002</v>
      </c>
      <c r="H644" s="8">
        <v>99.815716949999995</v>
      </c>
      <c r="I644" s="8">
        <v>867.93</v>
      </c>
      <c r="J644" s="8">
        <v>2307.34</v>
      </c>
      <c r="K644" s="8">
        <v>37.619999999999997</v>
      </c>
      <c r="L644" s="8">
        <v>102</v>
      </c>
      <c r="M644" s="8">
        <v>8402946762</v>
      </c>
      <c r="N644" s="8">
        <v>-2.78</v>
      </c>
      <c r="O644" s="8" t="str">
        <f>vw_scenario_analysis_dataset[[#This Row],[reporter_name]] &amp; "-" &amp; vw_scenario_analysis_dataset[[#This Row],[reference_year]]</f>
        <v>Honduras-2016</v>
      </c>
    </row>
    <row r="645" spans="1:15" x14ac:dyDescent="0.3">
      <c r="A645" s="8" t="s">
        <v>158</v>
      </c>
      <c r="B645" s="8" t="s">
        <v>159</v>
      </c>
      <c r="C645" s="8">
        <v>2017</v>
      </c>
      <c r="D645" s="8">
        <v>9940288791.960001</v>
      </c>
      <c r="E645" s="8">
        <v>23136247991</v>
      </c>
      <c r="F645" s="8">
        <v>9588137</v>
      </c>
      <c r="G645" s="8">
        <v>4.8429139110000001</v>
      </c>
      <c r="H645" s="8">
        <v>101.8131111</v>
      </c>
      <c r="I645" s="8">
        <v>1036.73</v>
      </c>
      <c r="J645" s="8">
        <v>2413.0100000000002</v>
      </c>
      <c r="K645" s="8">
        <v>42.96</v>
      </c>
      <c r="L645" s="8">
        <v>99</v>
      </c>
      <c r="M645" s="8">
        <v>8169283832</v>
      </c>
      <c r="N645" s="8">
        <v>21.68</v>
      </c>
      <c r="O645" s="8" t="str">
        <f>vw_scenario_analysis_dataset[[#This Row],[reporter_name]] &amp; "-" &amp; vw_scenario_analysis_dataset[[#This Row],[reference_year]]</f>
        <v>Honduras-2017</v>
      </c>
    </row>
    <row r="646" spans="1:15" x14ac:dyDescent="0.3">
      <c r="A646" s="8" t="s">
        <v>158</v>
      </c>
      <c r="B646" s="8" t="s">
        <v>159</v>
      </c>
      <c r="C646" s="8">
        <v>2018</v>
      </c>
      <c r="D646" s="8">
        <v>8973260364.3400002</v>
      </c>
      <c r="E646" s="8">
        <v>24067750760</v>
      </c>
      <c r="F646" s="8">
        <v>9765210</v>
      </c>
      <c r="G646" s="8">
        <v>3.84499477</v>
      </c>
      <c r="H646" s="8">
        <v>103.55116219999999</v>
      </c>
      <c r="I646" s="8">
        <v>918.9</v>
      </c>
      <c r="J646" s="8">
        <v>2464.64</v>
      </c>
      <c r="K646" s="8">
        <v>37.28</v>
      </c>
      <c r="L646" s="8">
        <v>102</v>
      </c>
      <c r="M646" s="8">
        <v>9940288791.960001</v>
      </c>
      <c r="N646" s="8">
        <v>-9.73</v>
      </c>
      <c r="O646" s="8" t="str">
        <f>vw_scenario_analysis_dataset[[#This Row],[reporter_name]] &amp; "-" &amp; vw_scenario_analysis_dataset[[#This Row],[reference_year]]</f>
        <v>Honduras-2018</v>
      </c>
    </row>
    <row r="647" spans="1:15" x14ac:dyDescent="0.3">
      <c r="A647" s="8" t="s">
        <v>158</v>
      </c>
      <c r="B647" s="8" t="s">
        <v>159</v>
      </c>
      <c r="C647" s="8">
        <v>2019</v>
      </c>
      <c r="D647" s="8">
        <v>6182326198.4599991</v>
      </c>
      <c r="E647" s="8">
        <v>24882225742</v>
      </c>
      <c r="F647" s="8">
        <v>9943633</v>
      </c>
      <c r="G647" s="8">
        <v>2.5596343460000002</v>
      </c>
      <c r="H647" s="8">
        <v>99.459535250000002</v>
      </c>
      <c r="I647" s="8">
        <v>621.74</v>
      </c>
      <c r="J647" s="8">
        <v>2502.33</v>
      </c>
      <c r="K647" s="8">
        <v>24.85</v>
      </c>
      <c r="L647" s="8">
        <v>113</v>
      </c>
      <c r="M647" s="8">
        <v>8973260364.3400002</v>
      </c>
      <c r="N647" s="8">
        <v>-31.1</v>
      </c>
      <c r="O647" s="8" t="str">
        <f>vw_scenario_analysis_dataset[[#This Row],[reporter_name]] &amp; "-" &amp; vw_scenario_analysis_dataset[[#This Row],[reference_year]]</f>
        <v>Honduras-2019</v>
      </c>
    </row>
    <row r="648" spans="1:15" x14ac:dyDescent="0.3">
      <c r="A648" s="8" t="s">
        <v>158</v>
      </c>
      <c r="B648" s="8" t="s">
        <v>159</v>
      </c>
      <c r="C648" s="8">
        <v>2020</v>
      </c>
      <c r="D648" s="8">
        <v>9332592872.8599987</v>
      </c>
      <c r="E648" s="8">
        <v>23352232484</v>
      </c>
      <c r="F648" s="8">
        <v>10119640</v>
      </c>
      <c r="G648" s="8">
        <v>-8.9650822330000004</v>
      </c>
      <c r="H648" s="8">
        <v>88.000856380000002</v>
      </c>
      <c r="I648" s="8">
        <v>922.23</v>
      </c>
      <c r="J648" s="8">
        <v>2307.61</v>
      </c>
      <c r="K648" s="8">
        <v>39.96</v>
      </c>
      <c r="L648" s="8">
        <v>98</v>
      </c>
      <c r="M648" s="8">
        <v>6182326198.4599991</v>
      </c>
      <c r="N648" s="8">
        <v>50.96</v>
      </c>
      <c r="O648" s="8" t="str">
        <f>vw_scenario_analysis_dataset[[#This Row],[reporter_name]] &amp; "-" &amp; vw_scenario_analysis_dataset[[#This Row],[reference_year]]</f>
        <v>Honduras-2020</v>
      </c>
    </row>
    <row r="649" spans="1:15" x14ac:dyDescent="0.3">
      <c r="A649" s="8" t="s">
        <v>158</v>
      </c>
      <c r="B649" s="8" t="s">
        <v>159</v>
      </c>
      <c r="C649" s="8">
        <v>2021</v>
      </c>
      <c r="D649" s="8">
        <v>9951897976.2800007</v>
      </c>
      <c r="E649" s="8">
        <v>28144331507</v>
      </c>
      <c r="F649" s="8">
        <v>10289877</v>
      </c>
      <c r="G649" s="8">
        <v>12.56528438</v>
      </c>
      <c r="H649" s="8">
        <v>103.3726435</v>
      </c>
      <c r="I649" s="8">
        <v>967.15</v>
      </c>
      <c r="J649" s="8">
        <v>2735.15</v>
      </c>
      <c r="K649" s="8">
        <v>35.36</v>
      </c>
      <c r="L649" s="8">
        <v>103</v>
      </c>
      <c r="M649" s="8">
        <v>9332592872.8599987</v>
      </c>
      <c r="N649" s="8">
        <v>6.64</v>
      </c>
      <c r="O649" s="8" t="str">
        <f>vw_scenario_analysis_dataset[[#This Row],[reporter_name]] &amp; "-" &amp; vw_scenario_analysis_dataset[[#This Row],[reference_year]]</f>
        <v>Honduras-2021</v>
      </c>
    </row>
    <row r="650" spans="1:15" x14ac:dyDescent="0.3">
      <c r="A650" s="8" t="s">
        <v>158</v>
      </c>
      <c r="B650" s="8" t="s">
        <v>159</v>
      </c>
      <c r="C650" s="8">
        <v>2023</v>
      </c>
      <c r="D650" s="8">
        <v>14341941548.779999</v>
      </c>
      <c r="E650" s="8">
        <v>34355805528</v>
      </c>
      <c r="F650" s="8">
        <v>10644851</v>
      </c>
      <c r="G650" s="8">
        <v>3.5758476049999999</v>
      </c>
      <c r="H650" s="8">
        <v>98.791979830000002</v>
      </c>
      <c r="I650" s="8">
        <v>1347.31</v>
      </c>
      <c r="J650" s="8">
        <v>3227.46</v>
      </c>
      <c r="K650" s="8">
        <v>41.75</v>
      </c>
      <c r="L650" s="8">
        <v>95</v>
      </c>
      <c r="M650" s="8">
        <v>9951897976.2800007</v>
      </c>
      <c r="N650" s="8">
        <v>44.11</v>
      </c>
      <c r="O650" s="8" t="str">
        <f>vw_scenario_analysis_dataset[[#This Row],[reporter_name]] &amp; "-" &amp; vw_scenario_analysis_dataset[[#This Row],[reference_year]]</f>
        <v>Honduras-2023</v>
      </c>
    </row>
    <row r="651" spans="1:15" x14ac:dyDescent="0.3">
      <c r="A651" s="8" t="s">
        <v>158</v>
      </c>
      <c r="B651" s="8" t="s">
        <v>159</v>
      </c>
      <c r="C651" s="8">
        <v>2024</v>
      </c>
      <c r="D651" s="8">
        <v>13941039744.739994</v>
      </c>
      <c r="E651" s="8">
        <v>36980171442</v>
      </c>
      <c r="F651" s="8">
        <v>10825703</v>
      </c>
      <c r="G651" s="8">
        <v>3.6324074550000001</v>
      </c>
      <c r="H651" s="8">
        <v>91.669411789999998</v>
      </c>
      <c r="I651" s="8">
        <v>1287.77</v>
      </c>
      <c r="J651" s="8">
        <v>3415.96</v>
      </c>
      <c r="K651" s="8">
        <v>37.700000000000003</v>
      </c>
      <c r="L651" s="8">
        <v>90</v>
      </c>
      <c r="M651" s="8">
        <v>14341941548.779999</v>
      </c>
      <c r="N651" s="8">
        <v>-2.8</v>
      </c>
      <c r="O651" s="8" t="str">
        <f>vw_scenario_analysis_dataset[[#This Row],[reporter_name]] &amp; "-" &amp; vw_scenario_analysis_dataset[[#This Row],[reference_year]]</f>
        <v>Honduras-2024</v>
      </c>
    </row>
    <row r="652" spans="1:15" x14ac:dyDescent="0.3">
      <c r="A652" s="8" t="s">
        <v>160</v>
      </c>
      <c r="B652" s="8" t="s">
        <v>161</v>
      </c>
      <c r="C652" s="8">
        <v>2015</v>
      </c>
      <c r="D652" s="8">
        <v>25687058644</v>
      </c>
      <c r="E652" s="8">
        <v>50999271059</v>
      </c>
      <c r="F652" s="8">
        <v>4151725</v>
      </c>
      <c r="G652" s="8">
        <v>2.3205667929999998</v>
      </c>
      <c r="H652" s="8">
        <v>90.651786099999995</v>
      </c>
      <c r="I652" s="8">
        <v>6187.08</v>
      </c>
      <c r="J652" s="8">
        <v>12283.88</v>
      </c>
      <c r="K652" s="8">
        <v>50.37</v>
      </c>
      <c r="L652" s="8">
        <v>70</v>
      </c>
      <c r="M652" s="8"/>
      <c r="N652" s="8"/>
      <c r="O652" s="8" t="str">
        <f>vw_scenario_analysis_dataset[[#This Row],[reporter_name]] &amp; "-" &amp; vw_scenario_analysis_dataset[[#This Row],[reference_year]]</f>
        <v>Croatia-2015</v>
      </c>
    </row>
    <row r="653" spans="1:15" x14ac:dyDescent="0.3">
      <c r="A653" s="8" t="s">
        <v>160</v>
      </c>
      <c r="B653" s="8" t="s">
        <v>161</v>
      </c>
      <c r="C653" s="8">
        <v>2016</v>
      </c>
      <c r="D653" s="8">
        <v>27295068116</v>
      </c>
      <c r="E653" s="8">
        <v>52650804052</v>
      </c>
      <c r="F653" s="8">
        <v>4106867</v>
      </c>
      <c r="G653" s="8">
        <v>3.4661314600000002</v>
      </c>
      <c r="H653" s="8">
        <v>92.139343229999994</v>
      </c>
      <c r="I653" s="8">
        <v>6646.2</v>
      </c>
      <c r="J653" s="8">
        <v>12820.19</v>
      </c>
      <c r="K653" s="8">
        <v>51.84</v>
      </c>
      <c r="L653" s="8">
        <v>68</v>
      </c>
      <c r="M653" s="8">
        <v>25687058644</v>
      </c>
      <c r="N653" s="8">
        <v>6.26</v>
      </c>
      <c r="O653" s="8" t="str">
        <f>vw_scenario_analysis_dataset[[#This Row],[reporter_name]] &amp; "-" &amp; vw_scenario_analysis_dataset[[#This Row],[reference_year]]</f>
        <v>Croatia-2016</v>
      </c>
    </row>
    <row r="654" spans="1:15" x14ac:dyDescent="0.3">
      <c r="A654" s="8" t="s">
        <v>160</v>
      </c>
      <c r="B654" s="8" t="s">
        <v>161</v>
      </c>
      <c r="C654" s="8">
        <v>2017</v>
      </c>
      <c r="D654" s="8">
        <v>31541981116</v>
      </c>
      <c r="E654" s="8">
        <v>56182225079</v>
      </c>
      <c r="F654" s="8">
        <v>4041407</v>
      </c>
      <c r="G654" s="8">
        <v>3.2840626940000002</v>
      </c>
      <c r="H654" s="8">
        <v>97.245234460000006</v>
      </c>
      <c r="I654" s="8">
        <v>7804.7</v>
      </c>
      <c r="J654" s="8">
        <v>13901.65</v>
      </c>
      <c r="K654" s="8">
        <v>56.14</v>
      </c>
      <c r="L654" s="8">
        <v>66</v>
      </c>
      <c r="M654" s="8">
        <v>27295068116</v>
      </c>
      <c r="N654" s="8">
        <v>15.56</v>
      </c>
      <c r="O654" s="8" t="str">
        <f>vw_scenario_analysis_dataset[[#This Row],[reporter_name]] &amp; "-" &amp; vw_scenario_analysis_dataset[[#This Row],[reference_year]]</f>
        <v>Croatia-2017</v>
      </c>
    </row>
    <row r="655" spans="1:15" x14ac:dyDescent="0.3">
      <c r="A655" s="8" t="s">
        <v>160</v>
      </c>
      <c r="B655" s="8" t="s">
        <v>161</v>
      </c>
      <c r="C655" s="8">
        <v>2018</v>
      </c>
      <c r="D655" s="8">
        <v>34420938580</v>
      </c>
      <c r="E655" s="8">
        <v>61668280700</v>
      </c>
      <c r="F655" s="8">
        <v>3988775</v>
      </c>
      <c r="G655" s="8">
        <v>2.9110714620000002</v>
      </c>
      <c r="H655" s="8">
        <v>99.084589309999998</v>
      </c>
      <c r="I655" s="8">
        <v>8629.4500000000007</v>
      </c>
      <c r="J655" s="8">
        <v>15460.46</v>
      </c>
      <c r="K655" s="8">
        <v>55.82</v>
      </c>
      <c r="L655" s="8">
        <v>68</v>
      </c>
      <c r="M655" s="8">
        <v>31541981116</v>
      </c>
      <c r="N655" s="8">
        <v>9.1300000000000008</v>
      </c>
      <c r="O655" s="8" t="str">
        <f>vw_scenario_analysis_dataset[[#This Row],[reporter_name]] &amp; "-" &amp; vw_scenario_analysis_dataset[[#This Row],[reference_year]]</f>
        <v>Croatia-2018</v>
      </c>
    </row>
    <row r="656" spans="1:15" x14ac:dyDescent="0.3">
      <c r="A656" s="8" t="s">
        <v>160</v>
      </c>
      <c r="B656" s="8" t="s">
        <v>161</v>
      </c>
      <c r="C656" s="8">
        <v>2019</v>
      </c>
      <c r="D656" s="8">
        <v>34126099630</v>
      </c>
      <c r="E656" s="8">
        <v>61467261345</v>
      </c>
      <c r="F656" s="8">
        <v>3949390</v>
      </c>
      <c r="G656" s="8">
        <v>3.1024728530000001</v>
      </c>
      <c r="H656" s="8">
        <v>101.39511160000001</v>
      </c>
      <c r="I656" s="8">
        <v>8640.85</v>
      </c>
      <c r="J656" s="8">
        <v>15563.74</v>
      </c>
      <c r="K656" s="8">
        <v>55.52</v>
      </c>
      <c r="L656" s="8">
        <v>66</v>
      </c>
      <c r="M656" s="8">
        <v>34420938580</v>
      </c>
      <c r="N656" s="8">
        <v>-0.86</v>
      </c>
      <c r="O656" s="8" t="str">
        <f>vw_scenario_analysis_dataset[[#This Row],[reporter_name]] &amp; "-" &amp; vw_scenario_analysis_dataset[[#This Row],[reference_year]]</f>
        <v>Croatia-2019</v>
      </c>
    </row>
    <row r="657" spans="1:15" x14ac:dyDescent="0.3">
      <c r="A657" s="8" t="s">
        <v>160</v>
      </c>
      <c r="B657" s="8" t="s">
        <v>161</v>
      </c>
      <c r="C657" s="8">
        <v>2020</v>
      </c>
      <c r="D657" s="8">
        <v>33982560596</v>
      </c>
      <c r="E657" s="8">
        <v>57959824238</v>
      </c>
      <c r="F657" s="8">
        <v>3914206</v>
      </c>
      <c r="G657" s="8">
        <v>-8.3104699530000001</v>
      </c>
      <c r="H657" s="8">
        <v>89.547532709999999</v>
      </c>
      <c r="I657" s="8">
        <v>8681.85</v>
      </c>
      <c r="J657" s="8">
        <v>14807.56</v>
      </c>
      <c r="K657" s="8">
        <v>58.63</v>
      </c>
      <c r="L657" s="8">
        <v>64</v>
      </c>
      <c r="M657" s="8">
        <v>34126099630</v>
      </c>
      <c r="N657" s="8">
        <v>-0.42</v>
      </c>
      <c r="O657" s="8" t="str">
        <f>vw_scenario_analysis_dataset[[#This Row],[reporter_name]] &amp; "-" &amp; vw_scenario_analysis_dataset[[#This Row],[reference_year]]</f>
        <v>Croatia-2020</v>
      </c>
    </row>
    <row r="658" spans="1:15" x14ac:dyDescent="0.3">
      <c r="A658" s="8" t="s">
        <v>160</v>
      </c>
      <c r="B658" s="8" t="s">
        <v>161</v>
      </c>
      <c r="C658" s="8">
        <v>2021</v>
      </c>
      <c r="D658" s="8">
        <v>43655897928</v>
      </c>
      <c r="E658" s="8">
        <v>69002262505</v>
      </c>
      <c r="F658" s="8">
        <v>3878981</v>
      </c>
      <c r="G658" s="8">
        <v>12.63127413</v>
      </c>
      <c r="H658" s="8">
        <v>102.32761429999999</v>
      </c>
      <c r="I658" s="8">
        <v>11254.48</v>
      </c>
      <c r="J658" s="8">
        <v>17788.759999999998</v>
      </c>
      <c r="K658" s="8">
        <v>63.27</v>
      </c>
      <c r="L658" s="8">
        <v>65</v>
      </c>
      <c r="M658" s="8">
        <v>33982560596</v>
      </c>
      <c r="N658" s="8">
        <v>28.47</v>
      </c>
      <c r="O658" s="8" t="str">
        <f>vw_scenario_analysis_dataset[[#This Row],[reporter_name]] &amp; "-" &amp; vw_scenario_analysis_dataset[[#This Row],[reference_year]]</f>
        <v>Croatia-2021</v>
      </c>
    </row>
    <row r="659" spans="1:15" x14ac:dyDescent="0.3">
      <c r="A659" s="8" t="s">
        <v>160</v>
      </c>
      <c r="B659" s="8" t="s">
        <v>161</v>
      </c>
      <c r="C659" s="8">
        <v>2022</v>
      </c>
      <c r="D659" s="8">
        <v>50766089292</v>
      </c>
      <c r="E659" s="8">
        <v>71196460237</v>
      </c>
      <c r="F659" s="8">
        <v>3855641</v>
      </c>
      <c r="G659" s="8">
        <v>7.2947911489999999</v>
      </c>
      <c r="H659" s="8">
        <v>125.41079379999999</v>
      </c>
      <c r="I659" s="8">
        <v>13166.71</v>
      </c>
      <c r="J659" s="8">
        <v>18465.53</v>
      </c>
      <c r="K659" s="8">
        <v>71.3</v>
      </c>
      <c r="L659" s="8">
        <v>62</v>
      </c>
      <c r="M659" s="8">
        <v>43655897928</v>
      </c>
      <c r="N659" s="8">
        <v>16.29</v>
      </c>
      <c r="O659" s="8" t="str">
        <f>vw_scenario_analysis_dataset[[#This Row],[reporter_name]] &amp; "-" &amp; vw_scenario_analysis_dataset[[#This Row],[reference_year]]</f>
        <v>Croatia-2022</v>
      </c>
    </row>
    <row r="660" spans="1:15" x14ac:dyDescent="0.3">
      <c r="A660" s="8" t="s">
        <v>160</v>
      </c>
      <c r="B660" s="8" t="s">
        <v>161</v>
      </c>
      <c r="C660" s="8">
        <v>2023</v>
      </c>
      <c r="D660" s="8">
        <v>49340861516</v>
      </c>
      <c r="E660" s="8">
        <v>85621337533</v>
      </c>
      <c r="F660" s="8">
        <v>3859686</v>
      </c>
      <c r="G660" s="8">
        <v>3.7620409270000001</v>
      </c>
      <c r="H660" s="8">
        <v>107.2778016</v>
      </c>
      <c r="I660" s="8">
        <v>12783.65</v>
      </c>
      <c r="J660" s="8">
        <v>22183.5</v>
      </c>
      <c r="K660" s="8">
        <v>57.63</v>
      </c>
      <c r="L660" s="8">
        <v>62</v>
      </c>
      <c r="M660" s="8">
        <v>50766089292</v>
      </c>
      <c r="N660" s="8">
        <v>-2.81</v>
      </c>
      <c r="O660" s="8" t="str">
        <f>vw_scenario_analysis_dataset[[#This Row],[reporter_name]] &amp; "-" &amp; vw_scenario_analysis_dataset[[#This Row],[reference_year]]</f>
        <v>Croatia-2023</v>
      </c>
    </row>
    <row r="661" spans="1:15" x14ac:dyDescent="0.3">
      <c r="A661" s="8" t="s">
        <v>160</v>
      </c>
      <c r="B661" s="8" t="s">
        <v>161</v>
      </c>
      <c r="C661" s="8">
        <v>2024</v>
      </c>
      <c r="D661" s="8">
        <v>52125569766</v>
      </c>
      <c r="E661" s="8">
        <v>92981894168</v>
      </c>
      <c r="F661" s="8">
        <v>3866200</v>
      </c>
      <c r="G661" s="8">
        <v>3.8257844009999999</v>
      </c>
      <c r="H661" s="8">
        <v>104.9124032</v>
      </c>
      <c r="I661" s="8">
        <v>13482.38</v>
      </c>
      <c r="J661" s="8">
        <v>24049.94</v>
      </c>
      <c r="K661" s="8">
        <v>56.06</v>
      </c>
      <c r="L661" s="8">
        <v>61</v>
      </c>
      <c r="M661" s="8">
        <v>49340861516</v>
      </c>
      <c r="N661" s="8">
        <v>5.64</v>
      </c>
      <c r="O661" s="8" t="str">
        <f>vw_scenario_analysis_dataset[[#This Row],[reporter_name]] &amp; "-" &amp; vw_scenario_analysis_dataset[[#This Row],[reference_year]]</f>
        <v>Croatia-2024</v>
      </c>
    </row>
    <row r="662" spans="1:15" x14ac:dyDescent="0.3">
      <c r="A662" s="8" t="s">
        <v>162</v>
      </c>
      <c r="B662" s="8" t="s">
        <v>163</v>
      </c>
      <c r="C662" s="8">
        <v>2015</v>
      </c>
      <c r="D662" s="8">
        <v>432010201.0819999</v>
      </c>
      <c r="E662" s="8">
        <v>14849629309</v>
      </c>
      <c r="F662" s="8">
        <v>10523242</v>
      </c>
      <c r="G662" s="8">
        <v>1.400000009</v>
      </c>
      <c r="H662" s="8">
        <v>41.945738120000001</v>
      </c>
      <c r="I662" s="8">
        <v>41.05</v>
      </c>
      <c r="J662" s="8">
        <v>1411.13</v>
      </c>
      <c r="K662" s="8">
        <v>2.91</v>
      </c>
      <c r="L662" s="8">
        <v>149</v>
      </c>
      <c r="M662" s="8"/>
      <c r="N662" s="8"/>
      <c r="O662" s="8" t="str">
        <f>vw_scenario_analysis_dataset[[#This Row],[reporter_name]] &amp; "-" &amp; vw_scenario_analysis_dataset[[#This Row],[reference_year]]</f>
        <v>Haiti-2015</v>
      </c>
    </row>
    <row r="663" spans="1:15" x14ac:dyDescent="0.3">
      <c r="A663" s="8" t="s">
        <v>162</v>
      </c>
      <c r="B663" s="8" t="s">
        <v>163</v>
      </c>
      <c r="C663" s="8">
        <v>2016</v>
      </c>
      <c r="D663" s="8">
        <v>710629410.88200009</v>
      </c>
      <c r="E663" s="8">
        <v>14069277526</v>
      </c>
      <c r="F663" s="8">
        <v>10671457</v>
      </c>
      <c r="G663" s="8">
        <v>1.812468078</v>
      </c>
      <c r="H663" s="8">
        <v>41.410902219999997</v>
      </c>
      <c r="I663" s="8">
        <v>66.59</v>
      </c>
      <c r="J663" s="8">
        <v>1318.4</v>
      </c>
      <c r="K663" s="8">
        <v>5.05</v>
      </c>
      <c r="L663" s="8">
        <v>148</v>
      </c>
      <c r="M663" s="8">
        <v>432010201.0819999</v>
      </c>
      <c r="N663" s="8">
        <v>64.489999999999995</v>
      </c>
      <c r="O663" s="8" t="str">
        <f>vw_scenario_analysis_dataset[[#This Row],[reporter_name]] &amp; "-" &amp; vw_scenario_analysis_dataset[[#This Row],[reference_year]]</f>
        <v>Haiti-2016</v>
      </c>
    </row>
    <row r="664" spans="1:15" x14ac:dyDescent="0.3">
      <c r="A664" s="8" t="s">
        <v>162</v>
      </c>
      <c r="B664" s="8" t="s">
        <v>163</v>
      </c>
      <c r="C664" s="8">
        <v>2017</v>
      </c>
      <c r="D664" s="8">
        <v>347840461.62400001</v>
      </c>
      <c r="E664" s="8">
        <v>15093357161</v>
      </c>
      <c r="F664" s="8">
        <v>10817754</v>
      </c>
      <c r="G664" s="8">
        <v>2.510271345</v>
      </c>
      <c r="H664" s="8">
        <v>42.074547789999997</v>
      </c>
      <c r="I664" s="8">
        <v>32.15</v>
      </c>
      <c r="J664" s="8">
        <v>1395.24</v>
      </c>
      <c r="K664" s="8">
        <v>2.2999999999999998</v>
      </c>
      <c r="L664" s="8">
        <v>153</v>
      </c>
      <c r="M664" s="8">
        <v>710629410.88200009</v>
      </c>
      <c r="N664" s="8">
        <v>-51.05</v>
      </c>
      <c r="O664" s="8" t="str">
        <f>vw_scenario_analysis_dataset[[#This Row],[reporter_name]] &amp; "-" &amp; vw_scenario_analysis_dataset[[#This Row],[reference_year]]</f>
        <v>Haiti-2017</v>
      </c>
    </row>
    <row r="665" spans="1:15" x14ac:dyDescent="0.3">
      <c r="A665" s="8" t="s">
        <v>164</v>
      </c>
      <c r="B665" s="8" t="s">
        <v>165</v>
      </c>
      <c r="C665" s="8">
        <v>2015</v>
      </c>
      <c r="D665" s="8">
        <v>200593694646</v>
      </c>
      <c r="E665" s="8">
        <v>125000000000</v>
      </c>
      <c r="F665" s="8">
        <v>9797755</v>
      </c>
      <c r="G665" s="8">
        <v>3.659816154</v>
      </c>
      <c r="H665" s="8">
        <v>167.2907385</v>
      </c>
      <c r="I665" s="8">
        <v>20473.43</v>
      </c>
      <c r="J665" s="8">
        <v>12758.02</v>
      </c>
      <c r="K665" s="8">
        <v>160.47</v>
      </c>
      <c r="L665" s="8">
        <v>31</v>
      </c>
      <c r="M665" s="8"/>
      <c r="N665" s="8"/>
      <c r="O665" s="8" t="str">
        <f>vw_scenario_analysis_dataset[[#This Row],[reporter_name]] &amp; "-" &amp; vw_scenario_analysis_dataset[[#This Row],[reference_year]]</f>
        <v>Hungary-2015</v>
      </c>
    </row>
    <row r="666" spans="1:15" x14ac:dyDescent="0.3">
      <c r="A666" s="8" t="s">
        <v>164</v>
      </c>
      <c r="B666" s="8" t="s">
        <v>165</v>
      </c>
      <c r="C666" s="8">
        <v>2016</v>
      </c>
      <c r="D666" s="8">
        <v>206019016592</v>
      </c>
      <c r="E666" s="8">
        <v>129000000000</v>
      </c>
      <c r="F666" s="8">
        <v>9759755</v>
      </c>
      <c r="G666" s="8">
        <v>2.438641413</v>
      </c>
      <c r="H666" s="8">
        <v>163.97194450000001</v>
      </c>
      <c r="I666" s="8">
        <v>21109.040000000001</v>
      </c>
      <c r="J666" s="8">
        <v>13217.54</v>
      </c>
      <c r="K666" s="8">
        <v>159.69999999999999</v>
      </c>
      <c r="L666" s="8">
        <v>31</v>
      </c>
      <c r="M666" s="8">
        <v>200593694646</v>
      </c>
      <c r="N666" s="8">
        <v>2.7</v>
      </c>
      <c r="O666" s="8" t="str">
        <f>vw_scenario_analysis_dataset[[#This Row],[reporter_name]] &amp; "-" &amp; vw_scenario_analysis_dataset[[#This Row],[reference_year]]</f>
        <v>Hungary-2016</v>
      </c>
    </row>
    <row r="667" spans="1:15" x14ac:dyDescent="0.3">
      <c r="A667" s="8" t="s">
        <v>164</v>
      </c>
      <c r="B667" s="8" t="s">
        <v>165</v>
      </c>
      <c r="C667" s="8">
        <v>2017</v>
      </c>
      <c r="D667" s="8">
        <v>226993483026</v>
      </c>
      <c r="E667" s="8">
        <v>143000000000</v>
      </c>
      <c r="F667" s="8">
        <v>9726756</v>
      </c>
      <c r="G667" s="8">
        <v>4.1241838949999998</v>
      </c>
      <c r="H667" s="8">
        <v>165.03285579999999</v>
      </c>
      <c r="I667" s="8">
        <v>23337.02</v>
      </c>
      <c r="J667" s="8">
        <v>14701.72</v>
      </c>
      <c r="K667" s="8">
        <v>158.74</v>
      </c>
      <c r="L667" s="8">
        <v>31</v>
      </c>
      <c r="M667" s="8">
        <v>206019016592</v>
      </c>
      <c r="N667" s="8">
        <v>10.18</v>
      </c>
      <c r="O667" s="8" t="str">
        <f>vw_scenario_analysis_dataset[[#This Row],[reporter_name]] &amp; "-" &amp; vw_scenario_analysis_dataset[[#This Row],[reference_year]]</f>
        <v>Hungary-2017</v>
      </c>
    </row>
    <row r="668" spans="1:15" x14ac:dyDescent="0.3">
      <c r="A668" s="8" t="s">
        <v>164</v>
      </c>
      <c r="B668" s="8" t="s">
        <v>165</v>
      </c>
      <c r="C668" s="8">
        <v>2018</v>
      </c>
      <c r="D668" s="8">
        <v>247915770096</v>
      </c>
      <c r="E668" s="8">
        <v>161000000000</v>
      </c>
      <c r="F668" s="8">
        <v>9706964</v>
      </c>
      <c r="G668" s="8">
        <v>5.6061381380000004</v>
      </c>
      <c r="H668" s="8">
        <v>162.70085879999999</v>
      </c>
      <c r="I668" s="8">
        <v>25539.99</v>
      </c>
      <c r="J668" s="8">
        <v>16586.03</v>
      </c>
      <c r="K668" s="8">
        <v>153.97999999999999</v>
      </c>
      <c r="L668" s="8">
        <v>31</v>
      </c>
      <c r="M668" s="8">
        <v>226993483026</v>
      </c>
      <c r="N668" s="8">
        <v>9.2200000000000006</v>
      </c>
      <c r="O668" s="8" t="str">
        <f>vw_scenario_analysis_dataset[[#This Row],[reporter_name]] &amp; "-" &amp; vw_scenario_analysis_dataset[[#This Row],[reference_year]]</f>
        <v>Hungary-2018</v>
      </c>
    </row>
    <row r="669" spans="1:15" x14ac:dyDescent="0.3">
      <c r="A669" s="8" t="s">
        <v>164</v>
      </c>
      <c r="B669" s="8" t="s">
        <v>165</v>
      </c>
      <c r="C669" s="8">
        <v>2019</v>
      </c>
      <c r="D669" s="8">
        <v>244361315390</v>
      </c>
      <c r="E669" s="8">
        <v>165000000000</v>
      </c>
      <c r="F669" s="8">
        <v>9694824</v>
      </c>
      <c r="G669" s="8">
        <v>5.0771849509999996</v>
      </c>
      <c r="H669" s="8">
        <v>159.9255565</v>
      </c>
      <c r="I669" s="8">
        <v>25205.34</v>
      </c>
      <c r="J669" s="8">
        <v>17019.39</v>
      </c>
      <c r="K669" s="8">
        <v>148.1</v>
      </c>
      <c r="L669" s="8">
        <v>31</v>
      </c>
      <c r="M669" s="8">
        <v>247915770096</v>
      </c>
      <c r="N669" s="8">
        <v>-1.43</v>
      </c>
      <c r="O669" s="8" t="str">
        <f>vw_scenario_analysis_dataset[[#This Row],[reporter_name]] &amp; "-" &amp; vw_scenario_analysis_dataset[[#This Row],[reference_year]]</f>
        <v>Hungary-2019</v>
      </c>
    </row>
    <row r="670" spans="1:15" x14ac:dyDescent="0.3">
      <c r="A670" s="8" t="s">
        <v>164</v>
      </c>
      <c r="B670" s="8" t="s">
        <v>165</v>
      </c>
      <c r="C670" s="8">
        <v>2020</v>
      </c>
      <c r="D670" s="8">
        <v>239941440964</v>
      </c>
      <c r="E670" s="8">
        <v>158000000000</v>
      </c>
      <c r="F670" s="8">
        <v>9670419</v>
      </c>
      <c r="G670" s="8">
        <v>-4.3387254000000004</v>
      </c>
      <c r="H670" s="8">
        <v>154.52700290000001</v>
      </c>
      <c r="I670" s="8">
        <v>24811.9</v>
      </c>
      <c r="J670" s="8">
        <v>16338.49</v>
      </c>
      <c r="K670" s="8">
        <v>151.86000000000001</v>
      </c>
      <c r="L670" s="8">
        <v>31</v>
      </c>
      <c r="M670" s="8">
        <v>244361315390</v>
      </c>
      <c r="N670" s="8">
        <v>-1.81</v>
      </c>
      <c r="O670" s="8" t="str">
        <f>vw_scenario_analysis_dataset[[#This Row],[reporter_name]] &amp; "-" &amp; vw_scenario_analysis_dataset[[#This Row],[reference_year]]</f>
        <v>Hungary-2020</v>
      </c>
    </row>
    <row r="671" spans="1:15" x14ac:dyDescent="0.3">
      <c r="A671" s="8" t="s">
        <v>164</v>
      </c>
      <c r="B671" s="8" t="s">
        <v>165</v>
      </c>
      <c r="C671" s="8">
        <v>2021</v>
      </c>
      <c r="D671" s="8">
        <v>282314183362</v>
      </c>
      <c r="E671" s="8">
        <v>183000000000</v>
      </c>
      <c r="F671" s="8">
        <v>9630932</v>
      </c>
      <c r="G671" s="8">
        <v>7.2229158079999998</v>
      </c>
      <c r="H671" s="8">
        <v>159.1875273</v>
      </c>
      <c r="I671" s="8">
        <v>29313.279999999999</v>
      </c>
      <c r="J671" s="8">
        <v>19001.28</v>
      </c>
      <c r="K671" s="8">
        <v>154.27000000000001</v>
      </c>
      <c r="L671" s="8">
        <v>31</v>
      </c>
      <c r="M671" s="8">
        <v>239941440964</v>
      </c>
      <c r="N671" s="8">
        <v>17.66</v>
      </c>
      <c r="O671" s="8" t="str">
        <f>vw_scenario_analysis_dataset[[#This Row],[reporter_name]] &amp; "-" &amp; vw_scenario_analysis_dataset[[#This Row],[reference_year]]</f>
        <v>Hungary-2021</v>
      </c>
    </row>
    <row r="672" spans="1:15" x14ac:dyDescent="0.3">
      <c r="A672" s="8" t="s">
        <v>164</v>
      </c>
      <c r="B672" s="8" t="s">
        <v>165</v>
      </c>
      <c r="C672" s="8">
        <v>2022</v>
      </c>
      <c r="D672" s="8">
        <v>299868229428</v>
      </c>
      <c r="E672" s="8">
        <v>177000000000</v>
      </c>
      <c r="F672" s="8">
        <v>9605074</v>
      </c>
      <c r="G672" s="8">
        <v>4.1523805779999998</v>
      </c>
      <c r="H672" s="8">
        <v>184.9699526</v>
      </c>
      <c r="I672" s="8">
        <v>31219.77</v>
      </c>
      <c r="J672" s="8">
        <v>18427.759999999998</v>
      </c>
      <c r="K672" s="8">
        <v>169.42</v>
      </c>
      <c r="L672" s="8">
        <v>30</v>
      </c>
      <c r="M672" s="8">
        <v>282314183362</v>
      </c>
      <c r="N672" s="8">
        <v>6.22</v>
      </c>
      <c r="O672" s="8" t="str">
        <f>vw_scenario_analysis_dataset[[#This Row],[reporter_name]] &amp; "-" &amp; vw_scenario_analysis_dataset[[#This Row],[reference_year]]</f>
        <v>Hungary-2022</v>
      </c>
    </row>
    <row r="673" spans="1:15" x14ac:dyDescent="0.3">
      <c r="A673" s="8" t="s">
        <v>164</v>
      </c>
      <c r="B673" s="8" t="s">
        <v>165</v>
      </c>
      <c r="C673" s="8">
        <v>2023</v>
      </c>
      <c r="D673" s="8">
        <v>317186178459.11792</v>
      </c>
      <c r="E673" s="8">
        <v>213000000000</v>
      </c>
      <c r="F673" s="8">
        <v>9592186</v>
      </c>
      <c r="G673" s="8">
        <v>-0.81710737099999997</v>
      </c>
      <c r="H673" s="8">
        <v>158.61882560000001</v>
      </c>
      <c r="I673" s="8">
        <v>33067.14</v>
      </c>
      <c r="J673" s="8">
        <v>22205.57</v>
      </c>
      <c r="K673" s="8">
        <v>148.91</v>
      </c>
      <c r="L673" s="8">
        <v>30</v>
      </c>
      <c r="M673" s="8">
        <v>299868229428</v>
      </c>
      <c r="N673" s="8">
        <v>5.78</v>
      </c>
      <c r="O673" s="8" t="str">
        <f>vw_scenario_analysis_dataset[[#This Row],[reporter_name]] &amp; "-" &amp; vw_scenario_analysis_dataset[[#This Row],[reference_year]]</f>
        <v>Hungary-2023</v>
      </c>
    </row>
    <row r="674" spans="1:15" x14ac:dyDescent="0.3">
      <c r="A674" s="8" t="s">
        <v>164</v>
      </c>
      <c r="B674" s="8" t="s">
        <v>165</v>
      </c>
      <c r="C674" s="8">
        <v>2024</v>
      </c>
      <c r="D674" s="8">
        <v>309091427650.07983</v>
      </c>
      <c r="E674" s="8">
        <v>223000000000</v>
      </c>
      <c r="F674" s="8">
        <v>9562065</v>
      </c>
      <c r="G674" s="8">
        <v>0.70907059900000002</v>
      </c>
      <c r="H674" s="8">
        <v>147.92666650000001</v>
      </c>
      <c r="I674" s="8">
        <v>32324.76</v>
      </c>
      <c r="J674" s="8">
        <v>23321.32</v>
      </c>
      <c r="K674" s="8">
        <v>138.61000000000001</v>
      </c>
      <c r="L674" s="8">
        <v>28</v>
      </c>
      <c r="M674" s="8">
        <v>317186178459.11792</v>
      </c>
      <c r="N674" s="8">
        <v>-2.5499999999999998</v>
      </c>
      <c r="O674" s="8" t="str">
        <f>vw_scenario_analysis_dataset[[#This Row],[reporter_name]] &amp; "-" &amp; vw_scenario_analysis_dataset[[#This Row],[reference_year]]</f>
        <v>Hungary-2024</v>
      </c>
    </row>
    <row r="675" spans="1:15" x14ac:dyDescent="0.3">
      <c r="A675" s="8" t="s">
        <v>166</v>
      </c>
      <c r="B675" s="8" t="s">
        <v>167</v>
      </c>
      <c r="C675" s="8">
        <v>2015</v>
      </c>
      <c r="D675" s="8">
        <v>300732562610</v>
      </c>
      <c r="E675" s="8">
        <v>861000000000</v>
      </c>
      <c r="F675" s="8">
        <v>261799249</v>
      </c>
      <c r="G675" s="8">
        <v>4.8763223</v>
      </c>
      <c r="H675" s="8">
        <v>41.93764024</v>
      </c>
      <c r="I675" s="8">
        <v>1148.71</v>
      </c>
      <c r="J675" s="8">
        <v>3288.78</v>
      </c>
      <c r="K675" s="8">
        <v>34.93</v>
      </c>
      <c r="L675" s="8">
        <v>27</v>
      </c>
      <c r="M675" s="8"/>
      <c r="N675" s="8"/>
      <c r="O675" s="8" t="str">
        <f>vw_scenario_analysis_dataset[[#This Row],[reporter_name]] &amp; "-" &amp; vw_scenario_analysis_dataset[[#This Row],[reference_year]]</f>
        <v>Indonesia-2015</v>
      </c>
    </row>
    <row r="676" spans="1:15" x14ac:dyDescent="0.3">
      <c r="A676" s="8" t="s">
        <v>166</v>
      </c>
      <c r="B676" s="8" t="s">
        <v>167</v>
      </c>
      <c r="C676" s="8">
        <v>2016</v>
      </c>
      <c r="D676" s="8">
        <v>288979592833</v>
      </c>
      <c r="E676" s="8">
        <v>932000000000</v>
      </c>
      <c r="F676" s="8">
        <v>264627418</v>
      </c>
      <c r="G676" s="8">
        <v>5.0330691830000003</v>
      </c>
      <c r="H676" s="8">
        <v>37.4213418</v>
      </c>
      <c r="I676" s="8">
        <v>1092.02</v>
      </c>
      <c r="J676" s="8">
        <v>3521.93</v>
      </c>
      <c r="K676" s="8">
        <v>31.01</v>
      </c>
      <c r="L676" s="8">
        <v>28</v>
      </c>
      <c r="M676" s="8">
        <v>300732562610</v>
      </c>
      <c r="N676" s="8">
        <v>-3.91</v>
      </c>
      <c r="O676" s="8" t="str">
        <f>vw_scenario_analysis_dataset[[#This Row],[reporter_name]] &amp; "-" &amp; vw_scenario_analysis_dataset[[#This Row],[reference_year]]</f>
        <v>Indonesia-2016</v>
      </c>
    </row>
    <row r="677" spans="1:15" x14ac:dyDescent="0.3">
      <c r="A677" s="8" t="s">
        <v>166</v>
      </c>
      <c r="B677" s="8" t="s">
        <v>167</v>
      </c>
      <c r="C677" s="8">
        <v>2017</v>
      </c>
      <c r="D677" s="8">
        <v>337655108085.16779</v>
      </c>
      <c r="E677" s="8">
        <v>1020000000000</v>
      </c>
      <c r="F677" s="8">
        <v>267346658</v>
      </c>
      <c r="G677" s="8">
        <v>5.0697859010000004</v>
      </c>
      <c r="H677" s="8">
        <v>39.355497069999998</v>
      </c>
      <c r="I677" s="8">
        <v>1262.99</v>
      </c>
      <c r="J677" s="8">
        <v>3815.27</v>
      </c>
      <c r="K677" s="8">
        <v>33.1</v>
      </c>
      <c r="L677" s="8">
        <v>26</v>
      </c>
      <c r="M677" s="8">
        <v>288979592833</v>
      </c>
      <c r="N677" s="8">
        <v>16.84</v>
      </c>
      <c r="O677" s="8" t="str">
        <f>vw_scenario_analysis_dataset[[#This Row],[reporter_name]] &amp; "-" &amp; vw_scenario_analysis_dataset[[#This Row],[reference_year]]</f>
        <v>Indonesia-2017</v>
      </c>
    </row>
    <row r="678" spans="1:15" x14ac:dyDescent="0.3">
      <c r="A678" s="8" t="s">
        <v>166</v>
      </c>
      <c r="B678" s="8" t="s">
        <v>167</v>
      </c>
      <c r="C678" s="8">
        <v>2018</v>
      </c>
      <c r="D678" s="8">
        <v>360430068189.06616</v>
      </c>
      <c r="E678" s="8">
        <v>1040000000000</v>
      </c>
      <c r="F678" s="8">
        <v>269951846</v>
      </c>
      <c r="G678" s="8">
        <v>5.1742915399999996</v>
      </c>
      <c r="H678" s="8">
        <v>43.074308960000003</v>
      </c>
      <c r="I678" s="8">
        <v>1335.16</v>
      </c>
      <c r="J678" s="8">
        <v>3852.54</v>
      </c>
      <c r="K678" s="8">
        <v>34.659999999999997</v>
      </c>
      <c r="L678" s="8">
        <v>26</v>
      </c>
      <c r="M678" s="8">
        <v>337655108085.16779</v>
      </c>
      <c r="N678" s="8">
        <v>6.75</v>
      </c>
      <c r="O678" s="8" t="str">
        <f>vw_scenario_analysis_dataset[[#This Row],[reporter_name]] &amp; "-" &amp; vw_scenario_analysis_dataset[[#This Row],[reference_year]]</f>
        <v>Indonesia-2018</v>
      </c>
    </row>
    <row r="679" spans="1:15" x14ac:dyDescent="0.3">
      <c r="A679" s="8" t="s">
        <v>166</v>
      </c>
      <c r="B679" s="8" t="s">
        <v>167</v>
      </c>
      <c r="C679" s="8">
        <v>2019</v>
      </c>
      <c r="D679" s="8">
        <v>335365990266.44824</v>
      </c>
      <c r="E679" s="8">
        <v>1120000000000</v>
      </c>
      <c r="F679" s="8">
        <v>272489381</v>
      </c>
      <c r="G679" s="8">
        <v>5.0192876799999997</v>
      </c>
      <c r="H679" s="8">
        <v>37.627777539999997</v>
      </c>
      <c r="I679" s="8">
        <v>1230.75</v>
      </c>
      <c r="J679" s="8">
        <v>4110.25</v>
      </c>
      <c r="K679" s="8">
        <v>29.94</v>
      </c>
      <c r="L679" s="8">
        <v>29</v>
      </c>
      <c r="M679" s="8">
        <v>360430068189.06616</v>
      </c>
      <c r="N679" s="8">
        <v>-6.95</v>
      </c>
      <c r="O679" s="8" t="str">
        <f>vw_scenario_analysis_dataset[[#This Row],[reporter_name]] &amp; "-" &amp; vw_scenario_analysis_dataset[[#This Row],[reference_year]]</f>
        <v>Indonesia-2019</v>
      </c>
    </row>
    <row r="680" spans="1:15" x14ac:dyDescent="0.3">
      <c r="A680" s="8" t="s">
        <v>166</v>
      </c>
      <c r="B680" s="8" t="s">
        <v>167</v>
      </c>
      <c r="C680" s="8">
        <v>2020</v>
      </c>
      <c r="D680" s="8">
        <v>326383674621.25189</v>
      </c>
      <c r="E680" s="8">
        <v>1060000000000</v>
      </c>
      <c r="F680" s="8">
        <v>274814866</v>
      </c>
      <c r="G680" s="8">
        <v>-2.0655118290000001</v>
      </c>
      <c r="H680" s="8">
        <v>32.972175399999998</v>
      </c>
      <c r="I680" s="8">
        <v>1187.6500000000001</v>
      </c>
      <c r="J680" s="8">
        <v>3857.14</v>
      </c>
      <c r="K680" s="8">
        <v>30.79</v>
      </c>
      <c r="L680" s="8">
        <v>28</v>
      </c>
      <c r="M680" s="8">
        <v>335365990266.44824</v>
      </c>
      <c r="N680" s="8">
        <v>-2.68</v>
      </c>
      <c r="O680" s="8" t="str">
        <f>vw_scenario_analysis_dataset[[#This Row],[reporter_name]] &amp; "-" &amp; vw_scenario_analysis_dataset[[#This Row],[reference_year]]</f>
        <v>Indonesia-2020</v>
      </c>
    </row>
    <row r="681" spans="1:15" x14ac:dyDescent="0.3">
      <c r="A681" s="8" t="s">
        <v>166</v>
      </c>
      <c r="B681" s="8" t="s">
        <v>167</v>
      </c>
      <c r="C681" s="8">
        <v>2021</v>
      </c>
      <c r="D681" s="8">
        <v>463420197050.34381</v>
      </c>
      <c r="E681" s="8">
        <v>1190000000000</v>
      </c>
      <c r="F681" s="8">
        <v>276758053</v>
      </c>
      <c r="G681" s="8">
        <v>3.7028856280000002</v>
      </c>
      <c r="H681" s="8">
        <v>40.204758269999999</v>
      </c>
      <c r="I681" s="8">
        <v>1674.46</v>
      </c>
      <c r="J681" s="8">
        <v>4299.78</v>
      </c>
      <c r="K681" s="8">
        <v>38.94</v>
      </c>
      <c r="L681" s="8">
        <v>25</v>
      </c>
      <c r="M681" s="8">
        <v>326383674621.25189</v>
      </c>
      <c r="N681" s="8">
        <v>41.99</v>
      </c>
      <c r="O681" s="8" t="str">
        <f>vw_scenario_analysis_dataset[[#This Row],[reporter_name]] &amp; "-" &amp; vw_scenario_analysis_dataset[[#This Row],[reference_year]]</f>
        <v>Indonesia-2021</v>
      </c>
    </row>
    <row r="682" spans="1:15" x14ac:dyDescent="0.3">
      <c r="A682" s="8" t="s">
        <v>166</v>
      </c>
      <c r="B682" s="8" t="s">
        <v>167</v>
      </c>
      <c r="C682" s="8">
        <v>2022</v>
      </c>
      <c r="D682" s="8">
        <v>584373354989.7439</v>
      </c>
      <c r="E682" s="8">
        <v>1320000000000</v>
      </c>
      <c r="F682" s="8">
        <v>278830529</v>
      </c>
      <c r="G682" s="8">
        <v>5.3071972269999996</v>
      </c>
      <c r="H682" s="8">
        <v>45.4646702</v>
      </c>
      <c r="I682" s="8">
        <v>2095.8000000000002</v>
      </c>
      <c r="J682" s="8">
        <v>4734.0600000000004</v>
      </c>
      <c r="K682" s="8">
        <v>44.27</v>
      </c>
      <c r="L682" s="8">
        <v>23</v>
      </c>
      <c r="M682" s="8">
        <v>463420197050.34381</v>
      </c>
      <c r="N682" s="8">
        <v>26.1</v>
      </c>
      <c r="O682" s="8" t="str">
        <f>vw_scenario_analysis_dataset[[#This Row],[reporter_name]] &amp; "-" &amp; vw_scenario_analysis_dataset[[#This Row],[reference_year]]</f>
        <v>Indonesia-2022</v>
      </c>
    </row>
    <row r="683" spans="1:15" x14ac:dyDescent="0.3">
      <c r="A683" s="8" t="s">
        <v>166</v>
      </c>
      <c r="B683" s="8" t="s">
        <v>167</v>
      </c>
      <c r="C683" s="8">
        <v>2023</v>
      </c>
      <c r="D683" s="8">
        <v>519055448232.97803</v>
      </c>
      <c r="E683" s="8">
        <v>1370000000000</v>
      </c>
      <c r="F683" s="8">
        <v>281190067</v>
      </c>
      <c r="G683" s="8">
        <v>5.0488311789999996</v>
      </c>
      <c r="H683" s="8">
        <v>41.460476540000002</v>
      </c>
      <c r="I683" s="8">
        <v>1845.92</v>
      </c>
      <c r="J683" s="8">
        <v>4872.1499999999996</v>
      </c>
      <c r="K683" s="8">
        <v>37.89</v>
      </c>
      <c r="L683" s="8">
        <v>24</v>
      </c>
      <c r="M683" s="8">
        <v>584373354989.7439</v>
      </c>
      <c r="N683" s="8">
        <v>-11.18</v>
      </c>
      <c r="O683" s="8" t="str">
        <f>vw_scenario_analysis_dataset[[#This Row],[reporter_name]] &amp; "-" &amp; vw_scenario_analysis_dataset[[#This Row],[reference_year]]</f>
        <v>Indonesia-2023</v>
      </c>
    </row>
    <row r="684" spans="1:15" x14ac:dyDescent="0.3">
      <c r="A684" s="8" t="s">
        <v>166</v>
      </c>
      <c r="B684" s="8" t="s">
        <v>167</v>
      </c>
      <c r="C684" s="8">
        <v>2024</v>
      </c>
      <c r="D684" s="8">
        <v>532643941213.37598</v>
      </c>
      <c r="E684" s="8">
        <v>1400000000000</v>
      </c>
      <c r="F684" s="8">
        <v>283487931</v>
      </c>
      <c r="G684" s="8">
        <v>5.0325747710000002</v>
      </c>
      <c r="H684" s="8">
        <v>42.809937869999999</v>
      </c>
      <c r="I684" s="8">
        <v>1878.89</v>
      </c>
      <c r="J684" s="8">
        <v>4938.4799999999996</v>
      </c>
      <c r="K684" s="8">
        <v>38.049999999999997</v>
      </c>
      <c r="L684" s="8">
        <v>22</v>
      </c>
      <c r="M684" s="8">
        <v>519055448232.97803</v>
      </c>
      <c r="N684" s="8">
        <v>2.62</v>
      </c>
      <c r="O684" s="8" t="str">
        <f>vw_scenario_analysis_dataset[[#This Row],[reporter_name]] &amp; "-" &amp; vw_scenario_analysis_dataset[[#This Row],[reference_year]]</f>
        <v>Indonesia-2024</v>
      </c>
    </row>
    <row r="685" spans="1:15" x14ac:dyDescent="0.3">
      <c r="A685" s="8" t="s">
        <v>168</v>
      </c>
      <c r="B685" s="8" t="s">
        <v>169</v>
      </c>
      <c r="C685" s="8">
        <v>2015</v>
      </c>
      <c r="D685" s="8">
        <v>528762007255</v>
      </c>
      <c r="E685" s="8">
        <v>2100000000000</v>
      </c>
      <c r="F685" s="8">
        <v>1328024498</v>
      </c>
      <c r="G685" s="8">
        <v>7.9962537859999996</v>
      </c>
      <c r="H685" s="8">
        <v>41.922913870000002</v>
      </c>
      <c r="I685" s="8">
        <v>398.16</v>
      </c>
      <c r="J685" s="8">
        <v>1581.3</v>
      </c>
      <c r="K685" s="8">
        <v>25.18</v>
      </c>
      <c r="L685" s="8">
        <v>16</v>
      </c>
      <c r="M685" s="8"/>
      <c r="N685" s="8"/>
      <c r="O685" s="8" t="str">
        <f>vw_scenario_analysis_dataset[[#This Row],[reporter_name]] &amp; "-" &amp; vw_scenario_analysis_dataset[[#This Row],[reference_year]]</f>
        <v>India-2015</v>
      </c>
    </row>
    <row r="686" spans="1:15" x14ac:dyDescent="0.3">
      <c r="A686" s="8" t="s">
        <v>168</v>
      </c>
      <c r="B686" s="8" t="s">
        <v>169</v>
      </c>
      <c r="C686" s="8">
        <v>2016</v>
      </c>
      <c r="D686" s="8">
        <v>520653824665</v>
      </c>
      <c r="E686" s="8">
        <v>2290000000000</v>
      </c>
      <c r="F686" s="8">
        <v>1343944296</v>
      </c>
      <c r="G686" s="8">
        <v>8.256305502</v>
      </c>
      <c r="H686" s="8">
        <v>40.08248571</v>
      </c>
      <c r="I686" s="8">
        <v>387.41</v>
      </c>
      <c r="J686" s="8">
        <v>1703.94</v>
      </c>
      <c r="K686" s="8">
        <v>22.74</v>
      </c>
      <c r="L686" s="8">
        <v>17</v>
      </c>
      <c r="M686" s="8">
        <v>528762007255</v>
      </c>
      <c r="N686" s="8">
        <v>-1.53</v>
      </c>
      <c r="O686" s="8" t="str">
        <f>vw_scenario_analysis_dataset[[#This Row],[reporter_name]] &amp; "-" &amp; vw_scenario_analysis_dataset[[#This Row],[reference_year]]</f>
        <v>India-2016</v>
      </c>
    </row>
    <row r="687" spans="1:15" x14ac:dyDescent="0.3">
      <c r="A687" s="8" t="s">
        <v>168</v>
      </c>
      <c r="B687" s="8" t="s">
        <v>169</v>
      </c>
      <c r="C687" s="8">
        <v>2017</v>
      </c>
      <c r="D687" s="8">
        <v>588728980325.17981</v>
      </c>
      <c r="E687" s="8">
        <v>2650000000000</v>
      </c>
      <c r="F687" s="8">
        <v>1359657400</v>
      </c>
      <c r="G687" s="8">
        <v>6.7953834190000002</v>
      </c>
      <c r="H687" s="8">
        <v>40.742496950000003</v>
      </c>
      <c r="I687" s="8">
        <v>433</v>
      </c>
      <c r="J687" s="8">
        <v>1949.02</v>
      </c>
      <c r="K687" s="8">
        <v>22.22</v>
      </c>
      <c r="L687" s="8">
        <v>17</v>
      </c>
      <c r="M687" s="8">
        <v>520653824665</v>
      </c>
      <c r="N687" s="8">
        <v>13.07</v>
      </c>
      <c r="O687" s="8" t="str">
        <f>vw_scenario_analysis_dataset[[#This Row],[reporter_name]] &amp; "-" &amp; vw_scenario_analysis_dataset[[#This Row],[reference_year]]</f>
        <v>India-2017</v>
      </c>
    </row>
    <row r="688" spans="1:15" x14ac:dyDescent="0.3">
      <c r="A688" s="8" t="s">
        <v>168</v>
      </c>
      <c r="B688" s="8" t="s">
        <v>169</v>
      </c>
      <c r="C688" s="8">
        <v>2018</v>
      </c>
      <c r="D688" s="8">
        <v>644984199794.04224</v>
      </c>
      <c r="E688" s="8">
        <v>2700000000000</v>
      </c>
      <c r="F688" s="8">
        <v>1374659064</v>
      </c>
      <c r="G688" s="8">
        <v>6.4538513450000004</v>
      </c>
      <c r="H688" s="8">
        <v>43.616969330000003</v>
      </c>
      <c r="I688" s="8">
        <v>469.2</v>
      </c>
      <c r="J688" s="8">
        <v>1964.12</v>
      </c>
      <c r="K688" s="8">
        <v>23.89</v>
      </c>
      <c r="L688" s="8">
        <v>17</v>
      </c>
      <c r="M688" s="8">
        <v>588728980325.17981</v>
      </c>
      <c r="N688" s="8">
        <v>9.56</v>
      </c>
      <c r="O688" s="8" t="str">
        <f>vw_scenario_analysis_dataset[[#This Row],[reporter_name]] &amp; "-" &amp; vw_scenario_analysis_dataset[[#This Row],[reference_year]]</f>
        <v>India-2018</v>
      </c>
    </row>
    <row r="689" spans="1:15" x14ac:dyDescent="0.3">
      <c r="A689" s="8" t="s">
        <v>168</v>
      </c>
      <c r="B689" s="8" t="s">
        <v>169</v>
      </c>
      <c r="C689" s="8">
        <v>2019</v>
      </c>
      <c r="D689" s="8">
        <v>646501452849.44202</v>
      </c>
      <c r="E689" s="8">
        <v>2840000000000</v>
      </c>
      <c r="F689" s="8">
        <v>1389030312</v>
      </c>
      <c r="G689" s="8">
        <v>3.8714369409999998</v>
      </c>
      <c r="H689" s="8">
        <v>39.905403530000001</v>
      </c>
      <c r="I689" s="8">
        <v>465.43</v>
      </c>
      <c r="J689" s="8">
        <v>2044.59</v>
      </c>
      <c r="K689" s="8">
        <v>22.76</v>
      </c>
      <c r="L689" s="8">
        <v>16</v>
      </c>
      <c r="M689" s="8">
        <v>644984199794.04224</v>
      </c>
      <c r="N689" s="8">
        <v>0.24</v>
      </c>
      <c r="O689" s="8" t="str">
        <f>vw_scenario_analysis_dataset[[#This Row],[reporter_name]] &amp; "-" &amp; vw_scenario_analysis_dataset[[#This Row],[reference_year]]</f>
        <v>India-2019</v>
      </c>
    </row>
    <row r="690" spans="1:15" x14ac:dyDescent="0.3">
      <c r="A690" s="8" t="s">
        <v>168</v>
      </c>
      <c r="B690" s="8" t="s">
        <v>169</v>
      </c>
      <c r="C690" s="8">
        <v>2020</v>
      </c>
      <c r="D690" s="8">
        <v>550977489855.09692</v>
      </c>
      <c r="E690" s="8">
        <v>2670000000000</v>
      </c>
      <c r="F690" s="8">
        <v>1402617695</v>
      </c>
      <c r="G690" s="8">
        <v>-5.777724707</v>
      </c>
      <c r="H690" s="8">
        <v>37.758105329999999</v>
      </c>
      <c r="I690" s="8">
        <v>392.82</v>
      </c>
      <c r="J690" s="8">
        <v>1903.58</v>
      </c>
      <c r="K690" s="8">
        <v>20.64</v>
      </c>
      <c r="L690" s="8">
        <v>18</v>
      </c>
      <c r="M690" s="8">
        <v>646501452849.44202</v>
      </c>
      <c r="N690" s="8">
        <v>-14.78</v>
      </c>
      <c r="O690" s="8" t="str">
        <f>vw_scenario_analysis_dataset[[#This Row],[reporter_name]] &amp; "-" &amp; vw_scenario_analysis_dataset[[#This Row],[reference_year]]</f>
        <v>India-2020</v>
      </c>
    </row>
    <row r="691" spans="1:15" x14ac:dyDescent="0.3">
      <c r="A691" s="8" t="s">
        <v>168</v>
      </c>
      <c r="B691" s="8" t="s">
        <v>169</v>
      </c>
      <c r="C691" s="8">
        <v>2021</v>
      </c>
      <c r="D691" s="8">
        <v>789627346694.59387</v>
      </c>
      <c r="E691" s="8">
        <v>3170000000000</v>
      </c>
      <c r="F691" s="8">
        <v>1414203896</v>
      </c>
      <c r="G691" s="8">
        <v>9.6895924919999992</v>
      </c>
      <c r="H691" s="8">
        <v>45.42308878</v>
      </c>
      <c r="I691" s="8">
        <v>558.35</v>
      </c>
      <c r="J691" s="8">
        <v>2241.54</v>
      </c>
      <c r="K691" s="8">
        <v>24.91</v>
      </c>
      <c r="L691" s="8">
        <v>15</v>
      </c>
      <c r="M691" s="8">
        <v>550977489855.09692</v>
      </c>
      <c r="N691" s="8">
        <v>43.31</v>
      </c>
      <c r="O691" s="8" t="str">
        <f>vw_scenario_analysis_dataset[[#This Row],[reporter_name]] &amp; "-" &amp; vw_scenario_analysis_dataset[[#This Row],[reference_year]]</f>
        <v>India-2021</v>
      </c>
    </row>
    <row r="692" spans="1:15" x14ac:dyDescent="0.3">
      <c r="A692" s="8" t="s">
        <v>168</v>
      </c>
      <c r="B692" s="8" t="s">
        <v>169</v>
      </c>
      <c r="C692" s="8">
        <v>2022</v>
      </c>
      <c r="D692" s="8">
        <v>905368427293.49768</v>
      </c>
      <c r="E692" s="8">
        <v>3250000000000</v>
      </c>
      <c r="F692" s="8">
        <v>1425423212</v>
      </c>
      <c r="G692" s="8">
        <v>7.6093649780000003</v>
      </c>
      <c r="H692" s="8">
        <v>50.697938280000002</v>
      </c>
      <c r="I692" s="8">
        <v>635.16</v>
      </c>
      <c r="J692" s="8">
        <v>2280.02</v>
      </c>
      <c r="K692" s="8">
        <v>27.86</v>
      </c>
      <c r="L692" s="8">
        <v>15</v>
      </c>
      <c r="M692" s="8">
        <v>789627346694.59387</v>
      </c>
      <c r="N692" s="8">
        <v>14.66</v>
      </c>
      <c r="O692" s="8" t="str">
        <f>vw_scenario_analysis_dataset[[#This Row],[reporter_name]] &amp; "-" &amp; vw_scenario_analysis_dataset[[#This Row],[reference_year]]</f>
        <v>India-2022</v>
      </c>
    </row>
    <row r="693" spans="1:15" x14ac:dyDescent="0.3">
      <c r="A693" s="8" t="s">
        <v>168</v>
      </c>
      <c r="B693" s="8" t="s">
        <v>169</v>
      </c>
      <c r="C693" s="8">
        <v>2023</v>
      </c>
      <c r="D693" s="8">
        <v>862823954422.59949</v>
      </c>
      <c r="E693" s="8">
        <v>3500000000000</v>
      </c>
      <c r="F693" s="8">
        <v>1438069596</v>
      </c>
      <c r="G693" s="8">
        <v>7.2102246289999998</v>
      </c>
      <c r="H693" s="8">
        <v>46.322952059999999</v>
      </c>
      <c r="I693" s="8">
        <v>599.99</v>
      </c>
      <c r="J693" s="8">
        <v>2433.8200000000002</v>
      </c>
      <c r="K693" s="8">
        <v>24.65</v>
      </c>
      <c r="L693" s="8">
        <v>14</v>
      </c>
      <c r="M693" s="8">
        <v>905368427293.49768</v>
      </c>
      <c r="N693" s="8">
        <v>-4.7</v>
      </c>
      <c r="O693" s="8" t="str">
        <f>vw_scenario_analysis_dataset[[#This Row],[reporter_name]] &amp; "-" &amp; vw_scenario_analysis_dataset[[#This Row],[reference_year]]</f>
        <v>India-2023</v>
      </c>
    </row>
    <row r="694" spans="1:15" x14ac:dyDescent="0.3">
      <c r="A694" s="8" t="s">
        <v>168</v>
      </c>
      <c r="B694" s="8" t="s">
        <v>169</v>
      </c>
      <c r="C694" s="8">
        <v>2024</v>
      </c>
      <c r="D694" s="8">
        <v>868870968427.89001</v>
      </c>
      <c r="E694" s="8">
        <v>3760000000000</v>
      </c>
      <c r="F694" s="8">
        <v>1450935791</v>
      </c>
      <c r="G694" s="8">
        <v>7.0992789319999998</v>
      </c>
      <c r="H694" s="8">
        <v>45.916690770000002</v>
      </c>
      <c r="I694" s="8">
        <v>598.83000000000004</v>
      </c>
      <c r="J694" s="8">
        <v>2591.4299999999998</v>
      </c>
      <c r="K694" s="8">
        <v>23.11</v>
      </c>
      <c r="L694" s="8">
        <v>13</v>
      </c>
      <c r="M694" s="8">
        <v>862823954422.59949</v>
      </c>
      <c r="N694" s="8">
        <v>0.7</v>
      </c>
      <c r="O694" s="8" t="str">
        <f>vw_scenario_analysis_dataset[[#This Row],[reporter_name]] &amp; "-" &amp; vw_scenario_analysis_dataset[[#This Row],[reference_year]]</f>
        <v>India-2024</v>
      </c>
    </row>
    <row r="695" spans="1:15" x14ac:dyDescent="0.3">
      <c r="A695" s="8" t="s">
        <v>170</v>
      </c>
      <c r="B695" s="8" t="s">
        <v>171</v>
      </c>
      <c r="C695" s="8">
        <v>2015</v>
      </c>
      <c r="D695" s="8">
        <v>249434727545.23495</v>
      </c>
      <c r="E695" s="8">
        <v>302000000000</v>
      </c>
      <c r="F695" s="8">
        <v>4701957</v>
      </c>
      <c r="G695" s="8">
        <v>24.623985640000001</v>
      </c>
      <c r="H695" s="8">
        <v>223.7029383</v>
      </c>
      <c r="I695" s="8">
        <v>53049.13</v>
      </c>
      <c r="J695" s="8">
        <v>64228.58</v>
      </c>
      <c r="K695" s="8">
        <v>82.59</v>
      </c>
      <c r="L695" s="8">
        <v>30</v>
      </c>
      <c r="M695" s="8"/>
      <c r="N695" s="8"/>
      <c r="O695" s="8" t="str">
        <f>vw_scenario_analysis_dataset[[#This Row],[reporter_name]] &amp; "-" &amp; vw_scenario_analysis_dataset[[#This Row],[reference_year]]</f>
        <v>Ireland-2015</v>
      </c>
    </row>
    <row r="696" spans="1:15" x14ac:dyDescent="0.3">
      <c r="A696" s="8" t="s">
        <v>170</v>
      </c>
      <c r="B696" s="8" t="s">
        <v>171</v>
      </c>
      <c r="C696" s="8">
        <v>2016</v>
      </c>
      <c r="D696" s="8">
        <v>264089424378.22809</v>
      </c>
      <c r="E696" s="8">
        <v>305000000000</v>
      </c>
      <c r="F696" s="8">
        <v>4762722</v>
      </c>
      <c r="G696" s="8">
        <v>1.2227166110000001</v>
      </c>
      <c r="H696" s="8">
        <v>239.70852780000001</v>
      </c>
      <c r="I696" s="8">
        <v>55449.26</v>
      </c>
      <c r="J696" s="8">
        <v>64039.01</v>
      </c>
      <c r="K696" s="8">
        <v>86.59</v>
      </c>
      <c r="L696" s="8">
        <v>30</v>
      </c>
      <c r="M696" s="8">
        <v>249434727545.23495</v>
      </c>
      <c r="N696" s="8">
        <v>5.88</v>
      </c>
      <c r="O696" s="8" t="str">
        <f>vw_scenario_analysis_dataset[[#This Row],[reporter_name]] &amp; "-" &amp; vw_scenario_analysis_dataset[[#This Row],[reference_year]]</f>
        <v>Ireland-2016</v>
      </c>
    </row>
    <row r="697" spans="1:15" x14ac:dyDescent="0.3">
      <c r="A697" s="8" t="s">
        <v>170</v>
      </c>
      <c r="B697" s="8" t="s">
        <v>171</v>
      </c>
      <c r="C697" s="8">
        <v>2017</v>
      </c>
      <c r="D697" s="8">
        <v>277414895382.94373</v>
      </c>
      <c r="E697" s="8">
        <v>348000000000</v>
      </c>
      <c r="F697" s="8">
        <v>4827445</v>
      </c>
      <c r="G697" s="8">
        <v>10.108857609999999</v>
      </c>
      <c r="H697" s="8">
        <v>233.3040833</v>
      </c>
      <c r="I697" s="8">
        <v>57466.19</v>
      </c>
      <c r="J697" s="8">
        <v>72087.820000000007</v>
      </c>
      <c r="K697" s="8">
        <v>79.72</v>
      </c>
      <c r="L697" s="8">
        <v>30</v>
      </c>
      <c r="M697" s="8">
        <v>264089424378.22809</v>
      </c>
      <c r="N697" s="8">
        <v>5.05</v>
      </c>
      <c r="O697" s="8" t="str">
        <f>vw_scenario_analysis_dataset[[#This Row],[reporter_name]] &amp; "-" &amp; vw_scenario_analysis_dataset[[#This Row],[reference_year]]</f>
        <v>Ireland-2017</v>
      </c>
    </row>
    <row r="698" spans="1:15" x14ac:dyDescent="0.3">
      <c r="A698" s="8" t="s">
        <v>170</v>
      </c>
      <c r="B698" s="8" t="s">
        <v>171</v>
      </c>
      <c r="C698" s="8">
        <v>2018</v>
      </c>
      <c r="D698" s="8">
        <v>332190443117.60785</v>
      </c>
      <c r="E698" s="8">
        <v>396000000000</v>
      </c>
      <c r="F698" s="8">
        <v>4898022</v>
      </c>
      <c r="G698" s="8">
        <v>7.6886593740000002</v>
      </c>
      <c r="H698" s="8">
        <v>222.45371599999999</v>
      </c>
      <c r="I698" s="8">
        <v>67821.350000000006</v>
      </c>
      <c r="J698" s="8">
        <v>80848.960000000006</v>
      </c>
      <c r="K698" s="8">
        <v>83.89</v>
      </c>
      <c r="L698" s="8">
        <v>29</v>
      </c>
      <c r="M698" s="8">
        <v>277414895382.94373</v>
      </c>
      <c r="N698" s="8">
        <v>19.739999999999998</v>
      </c>
      <c r="O698" s="8" t="str">
        <f>vw_scenario_analysis_dataset[[#This Row],[reporter_name]] &amp; "-" &amp; vw_scenario_analysis_dataset[[#This Row],[reference_year]]</f>
        <v>Ireland-2018</v>
      </c>
    </row>
    <row r="699" spans="1:15" x14ac:dyDescent="0.3">
      <c r="A699" s="8" t="s">
        <v>170</v>
      </c>
      <c r="B699" s="8" t="s">
        <v>171</v>
      </c>
      <c r="C699" s="8">
        <v>2019</v>
      </c>
      <c r="D699" s="8">
        <v>341515977682.94391</v>
      </c>
      <c r="E699" s="8">
        <v>407000000000</v>
      </c>
      <c r="F699" s="8">
        <v>4976456</v>
      </c>
      <c r="G699" s="8">
        <v>4.9728800379999996</v>
      </c>
      <c r="H699" s="8">
        <v>257.6527729</v>
      </c>
      <c r="I699" s="8">
        <v>68626.34</v>
      </c>
      <c r="J699" s="8">
        <v>81785.11</v>
      </c>
      <c r="K699" s="8">
        <v>83.91</v>
      </c>
      <c r="L699" s="8">
        <v>28</v>
      </c>
      <c r="M699" s="8">
        <v>332190443117.60785</v>
      </c>
      <c r="N699" s="8">
        <v>2.81</v>
      </c>
      <c r="O699" s="8" t="str">
        <f>vw_scenario_analysis_dataset[[#This Row],[reporter_name]] &amp; "-" &amp; vw_scenario_analysis_dataset[[#This Row],[reference_year]]</f>
        <v>Ireland-2019</v>
      </c>
    </row>
    <row r="700" spans="1:15" x14ac:dyDescent="0.3">
      <c r="A700" s="8" t="s">
        <v>170</v>
      </c>
      <c r="B700" s="8" t="s">
        <v>171</v>
      </c>
      <c r="C700" s="8">
        <v>2020</v>
      </c>
      <c r="D700" s="8">
        <v>370370729970.15399</v>
      </c>
      <c r="E700" s="8">
        <v>436000000000</v>
      </c>
      <c r="F700" s="8">
        <v>5039747</v>
      </c>
      <c r="G700" s="8">
        <v>7.1536950570000002</v>
      </c>
      <c r="H700" s="8">
        <v>258.78043700000001</v>
      </c>
      <c r="I700" s="8">
        <v>73489.95</v>
      </c>
      <c r="J700" s="8">
        <v>86512.28</v>
      </c>
      <c r="K700" s="8">
        <v>84.95</v>
      </c>
      <c r="L700" s="8">
        <v>25</v>
      </c>
      <c r="M700" s="8">
        <v>341515977682.94391</v>
      </c>
      <c r="N700" s="8">
        <v>8.4499999999999993</v>
      </c>
      <c r="O700" s="8" t="str">
        <f>vw_scenario_analysis_dataset[[#This Row],[reporter_name]] &amp; "-" &amp; vw_scenario_analysis_dataset[[#This Row],[reference_year]]</f>
        <v>Ireland-2020</v>
      </c>
    </row>
    <row r="701" spans="1:15" x14ac:dyDescent="0.3">
      <c r="A701" s="8" t="s">
        <v>170</v>
      </c>
      <c r="B701" s="8" t="s">
        <v>171</v>
      </c>
      <c r="C701" s="8">
        <v>2021</v>
      </c>
      <c r="D701" s="8">
        <v>391995751770.94281</v>
      </c>
      <c r="E701" s="8">
        <v>530000000000</v>
      </c>
      <c r="F701" s="8">
        <v>5110585</v>
      </c>
      <c r="G701" s="8">
        <v>16.25818812</v>
      </c>
      <c r="H701" s="8">
        <v>231.03235090000001</v>
      </c>
      <c r="I701" s="8">
        <v>76702.720000000001</v>
      </c>
      <c r="J701" s="8">
        <v>103706.33</v>
      </c>
      <c r="K701" s="8">
        <v>73.959999999999994</v>
      </c>
      <c r="L701" s="8">
        <v>28</v>
      </c>
      <c r="M701" s="8">
        <v>370370729970.15399</v>
      </c>
      <c r="N701" s="8">
        <v>5.84</v>
      </c>
      <c r="O701" s="8" t="str">
        <f>vw_scenario_analysis_dataset[[#This Row],[reporter_name]] &amp; "-" &amp; vw_scenario_analysis_dataset[[#This Row],[reference_year]]</f>
        <v>Ireland-2021</v>
      </c>
    </row>
    <row r="702" spans="1:15" x14ac:dyDescent="0.3">
      <c r="A702" s="8" t="s">
        <v>170</v>
      </c>
      <c r="B702" s="8" t="s">
        <v>171</v>
      </c>
      <c r="C702" s="8">
        <v>2022</v>
      </c>
      <c r="D702" s="8">
        <v>439673430252.34503</v>
      </c>
      <c r="E702" s="8">
        <v>548000000000</v>
      </c>
      <c r="F702" s="8">
        <v>5212836</v>
      </c>
      <c r="G702" s="8">
        <v>7.5111388840000002</v>
      </c>
      <c r="H702" s="8">
        <v>237.75541960000001</v>
      </c>
      <c r="I702" s="8">
        <v>84344.38</v>
      </c>
      <c r="J702" s="8">
        <v>105125.12</v>
      </c>
      <c r="K702" s="8">
        <v>80.23</v>
      </c>
      <c r="L702" s="8">
        <v>27</v>
      </c>
      <c r="M702" s="8">
        <v>391995751770.94281</v>
      </c>
      <c r="N702" s="8">
        <v>12.16</v>
      </c>
      <c r="O702" s="8" t="str">
        <f>vw_scenario_analysis_dataset[[#This Row],[reporter_name]] &amp; "-" &amp; vw_scenario_analysis_dataset[[#This Row],[reference_year]]</f>
        <v>Ireland-2022</v>
      </c>
    </row>
    <row r="703" spans="1:15" x14ac:dyDescent="0.3">
      <c r="A703" s="8" t="s">
        <v>170</v>
      </c>
      <c r="B703" s="8" t="s">
        <v>171</v>
      </c>
      <c r="C703" s="8">
        <v>2023</v>
      </c>
      <c r="D703" s="8">
        <v>425739028481.67877</v>
      </c>
      <c r="E703" s="8">
        <v>567000000000</v>
      </c>
      <c r="F703" s="8">
        <v>5311538</v>
      </c>
      <c r="G703" s="8">
        <v>-2.5363740930000001</v>
      </c>
      <c r="H703" s="8">
        <v>239.6496276</v>
      </c>
      <c r="I703" s="8">
        <v>80153.63</v>
      </c>
      <c r="J703" s="8">
        <v>106748.74</v>
      </c>
      <c r="K703" s="8">
        <v>75.09</v>
      </c>
      <c r="L703" s="8">
        <v>28</v>
      </c>
      <c r="M703" s="8">
        <v>439673430252.34503</v>
      </c>
      <c r="N703" s="8">
        <v>-3.17</v>
      </c>
      <c r="O703" s="8" t="str">
        <f>vw_scenario_analysis_dataset[[#This Row],[reporter_name]] &amp; "-" &amp; vw_scenario_analysis_dataset[[#This Row],[reference_year]]</f>
        <v>Ireland-2023</v>
      </c>
    </row>
    <row r="704" spans="1:15" x14ac:dyDescent="0.3">
      <c r="A704" s="8" t="s">
        <v>170</v>
      </c>
      <c r="B704" s="8" t="s">
        <v>171</v>
      </c>
      <c r="C704" s="8">
        <v>2024</v>
      </c>
      <c r="D704" s="8">
        <v>484437944679.24823</v>
      </c>
      <c r="E704" s="8">
        <v>609000000000</v>
      </c>
      <c r="F704" s="8">
        <v>5395790</v>
      </c>
      <c r="G704" s="8">
        <v>2.5994672159999999</v>
      </c>
      <c r="H704" s="8">
        <v>246.1698749</v>
      </c>
      <c r="I704" s="8">
        <v>89780.73</v>
      </c>
      <c r="J704" s="8">
        <v>112865.77</v>
      </c>
      <c r="K704" s="8">
        <v>79.55</v>
      </c>
      <c r="L704" s="8">
        <v>25</v>
      </c>
      <c r="M704" s="8">
        <v>425739028481.67877</v>
      </c>
      <c r="N704" s="8">
        <v>13.79</v>
      </c>
      <c r="O704" s="8" t="str">
        <f>vw_scenario_analysis_dataset[[#This Row],[reporter_name]] &amp; "-" &amp; vw_scenario_analysis_dataset[[#This Row],[reference_year]]</f>
        <v>Ireland-2024</v>
      </c>
    </row>
    <row r="705" spans="1:15" x14ac:dyDescent="0.3">
      <c r="A705" s="8" t="s">
        <v>172</v>
      </c>
      <c r="B705" s="8" t="s">
        <v>173</v>
      </c>
      <c r="C705" s="8">
        <v>2015</v>
      </c>
      <c r="D705" s="8">
        <v>120081284217.39999</v>
      </c>
      <c r="E705" s="8">
        <v>409000000000</v>
      </c>
      <c r="F705" s="8">
        <v>82619362</v>
      </c>
      <c r="G705" s="8">
        <v>-1.424884939</v>
      </c>
      <c r="H705" s="8">
        <v>39.422588660000002</v>
      </c>
      <c r="I705" s="8">
        <v>1453.43</v>
      </c>
      <c r="J705" s="8">
        <v>4950.41</v>
      </c>
      <c r="K705" s="8">
        <v>29.36</v>
      </c>
      <c r="L705" s="8">
        <v>39</v>
      </c>
      <c r="M705" s="8"/>
      <c r="N705" s="8"/>
      <c r="O705" s="8" t="str">
        <f>vw_scenario_analysis_dataset[[#This Row],[reporter_name]] &amp; "-" &amp; vw_scenario_analysis_dataset[[#This Row],[reference_year]]</f>
        <v>Iran-2015</v>
      </c>
    </row>
    <row r="706" spans="1:15" x14ac:dyDescent="0.3">
      <c r="A706" s="8" t="s">
        <v>172</v>
      </c>
      <c r="B706" s="8" t="s">
        <v>173</v>
      </c>
      <c r="C706" s="8">
        <v>2016</v>
      </c>
      <c r="D706" s="8">
        <v>166296388367.07993</v>
      </c>
      <c r="E706" s="8">
        <v>479000000000</v>
      </c>
      <c r="F706" s="8">
        <v>83812228</v>
      </c>
      <c r="G706" s="8">
        <v>8.8150866430000008</v>
      </c>
      <c r="H706" s="8">
        <v>39.877241769999998</v>
      </c>
      <c r="I706" s="8">
        <v>1984.15</v>
      </c>
      <c r="J706" s="8">
        <v>5715.16</v>
      </c>
      <c r="K706" s="8">
        <v>34.72</v>
      </c>
      <c r="L706" s="8">
        <v>33</v>
      </c>
      <c r="M706" s="8">
        <v>120081284217.39999</v>
      </c>
      <c r="N706" s="8">
        <v>38.49</v>
      </c>
      <c r="O706" s="8" t="str">
        <f>vw_scenario_analysis_dataset[[#This Row],[reporter_name]] &amp; "-" &amp; vw_scenario_analysis_dataset[[#This Row],[reference_year]]</f>
        <v>Iran-2016</v>
      </c>
    </row>
    <row r="707" spans="1:15" x14ac:dyDescent="0.3">
      <c r="A707" s="8" t="s">
        <v>172</v>
      </c>
      <c r="B707" s="8" t="s">
        <v>173</v>
      </c>
      <c r="C707" s="8">
        <v>2017</v>
      </c>
      <c r="D707" s="8">
        <v>211688171497.88</v>
      </c>
      <c r="E707" s="8">
        <v>510000000000</v>
      </c>
      <c r="F707" s="8">
        <v>85026754</v>
      </c>
      <c r="G707" s="8">
        <v>3.0268546870000002</v>
      </c>
      <c r="H707" s="8">
        <v>43.155693139999997</v>
      </c>
      <c r="I707" s="8">
        <v>2489.67</v>
      </c>
      <c r="J707" s="8">
        <v>5998.11</v>
      </c>
      <c r="K707" s="8">
        <v>41.51</v>
      </c>
      <c r="L707" s="8">
        <v>32</v>
      </c>
      <c r="M707" s="8">
        <v>166296388367.07993</v>
      </c>
      <c r="N707" s="8">
        <v>27.3</v>
      </c>
      <c r="O707" s="8" t="str">
        <f>vw_scenario_analysis_dataset[[#This Row],[reporter_name]] &amp; "-" &amp; vw_scenario_analysis_dataset[[#This Row],[reference_year]]</f>
        <v>Iran-2017</v>
      </c>
    </row>
    <row r="708" spans="1:15" x14ac:dyDescent="0.3">
      <c r="A708" s="8" t="s">
        <v>172</v>
      </c>
      <c r="B708" s="8" t="s">
        <v>173</v>
      </c>
      <c r="C708" s="8">
        <v>2018</v>
      </c>
      <c r="D708" s="8">
        <v>193235042552.32001</v>
      </c>
      <c r="E708" s="8">
        <v>412000000000</v>
      </c>
      <c r="F708" s="8">
        <v>86117998</v>
      </c>
      <c r="G708" s="8">
        <v>-3.7479601570000001</v>
      </c>
      <c r="H708" s="8">
        <v>56.615349610000003</v>
      </c>
      <c r="I708" s="8">
        <v>2243.84</v>
      </c>
      <c r="J708" s="8">
        <v>4784.13</v>
      </c>
      <c r="K708" s="8">
        <v>46.9</v>
      </c>
      <c r="L708" s="8">
        <v>33</v>
      </c>
      <c r="M708" s="8">
        <v>211688171497.88</v>
      </c>
      <c r="N708" s="8">
        <v>-8.7200000000000006</v>
      </c>
      <c r="O708" s="8" t="str">
        <f>vw_scenario_analysis_dataset[[#This Row],[reporter_name]] &amp; "-" &amp; vw_scenario_analysis_dataset[[#This Row],[reference_year]]</f>
        <v>Iran-2018</v>
      </c>
    </row>
    <row r="709" spans="1:15" x14ac:dyDescent="0.3">
      <c r="A709" s="8" t="s">
        <v>172</v>
      </c>
      <c r="B709" s="8" t="s">
        <v>173</v>
      </c>
      <c r="C709" s="8">
        <v>2019</v>
      </c>
      <c r="D709" s="8">
        <v>83847615168.355011</v>
      </c>
      <c r="E709" s="8">
        <v>348000000000</v>
      </c>
      <c r="F709" s="8">
        <v>87051648</v>
      </c>
      <c r="G709" s="8">
        <v>-2.3614353879999999</v>
      </c>
      <c r="H709" s="8">
        <v>48.591771209999997</v>
      </c>
      <c r="I709" s="8">
        <v>963.19</v>
      </c>
      <c r="J709" s="8">
        <v>3997.63</v>
      </c>
      <c r="K709" s="8">
        <v>24.09</v>
      </c>
      <c r="L709" s="8">
        <v>48</v>
      </c>
      <c r="M709" s="8">
        <v>193235042552.32001</v>
      </c>
      <c r="N709" s="8">
        <v>-56.61</v>
      </c>
      <c r="O709" s="8" t="str">
        <f>vw_scenario_analysis_dataset[[#This Row],[reporter_name]] &amp; "-" &amp; vw_scenario_analysis_dataset[[#This Row],[reference_year]]</f>
        <v>Iran-2019</v>
      </c>
    </row>
    <row r="710" spans="1:15" x14ac:dyDescent="0.3">
      <c r="A710" s="8" t="s">
        <v>172</v>
      </c>
      <c r="B710" s="8" t="s">
        <v>173</v>
      </c>
      <c r="C710" s="8">
        <v>2020</v>
      </c>
      <c r="D710" s="8">
        <v>68818209623.199997</v>
      </c>
      <c r="E710" s="8">
        <v>281000000000</v>
      </c>
      <c r="F710" s="8">
        <v>87723443</v>
      </c>
      <c r="G710" s="8">
        <v>4.4418086539999999</v>
      </c>
      <c r="H710" s="8">
        <v>43.884467489999999</v>
      </c>
      <c r="I710" s="8">
        <v>784.49</v>
      </c>
      <c r="J710" s="8">
        <v>3203.25</v>
      </c>
      <c r="K710" s="8">
        <v>24.49</v>
      </c>
      <c r="L710" s="8">
        <v>51</v>
      </c>
      <c r="M710" s="8">
        <v>83847615168.355011</v>
      </c>
      <c r="N710" s="8">
        <v>-17.920000000000002</v>
      </c>
      <c r="O710" s="8" t="str">
        <f>vw_scenario_analysis_dataset[[#This Row],[reporter_name]] &amp; "-" &amp; vw_scenario_analysis_dataset[[#This Row],[reference_year]]</f>
        <v>Iran-2020</v>
      </c>
    </row>
    <row r="711" spans="1:15" x14ac:dyDescent="0.3">
      <c r="A711" s="8" t="s">
        <v>172</v>
      </c>
      <c r="B711" s="8" t="s">
        <v>173</v>
      </c>
      <c r="C711" s="8">
        <v>2021</v>
      </c>
      <c r="D711" s="8">
        <v>134542809864.82002</v>
      </c>
      <c r="E711" s="8">
        <v>407000000000</v>
      </c>
      <c r="F711" s="8">
        <v>88455488</v>
      </c>
      <c r="G711" s="8">
        <v>4.1308968500000001</v>
      </c>
      <c r="H711" s="8">
        <v>42.672379540000001</v>
      </c>
      <c r="I711" s="8">
        <v>1521.02</v>
      </c>
      <c r="J711" s="8">
        <v>4601.18</v>
      </c>
      <c r="K711" s="8">
        <v>33.06</v>
      </c>
      <c r="L711" s="8">
        <v>42</v>
      </c>
      <c r="M711" s="8">
        <v>68818209623.199997</v>
      </c>
      <c r="N711" s="8">
        <v>95.5</v>
      </c>
      <c r="O711" s="8" t="str">
        <f>vw_scenario_analysis_dataset[[#This Row],[reporter_name]] &amp; "-" &amp; vw_scenario_analysis_dataset[[#This Row],[reference_year]]</f>
        <v>Iran-2021</v>
      </c>
    </row>
    <row r="712" spans="1:15" x14ac:dyDescent="0.3">
      <c r="A712" s="8" t="s">
        <v>172</v>
      </c>
      <c r="B712" s="8" t="s">
        <v>173</v>
      </c>
      <c r="C712" s="8">
        <v>2022</v>
      </c>
      <c r="D712" s="8">
        <v>161800796503.60001</v>
      </c>
      <c r="E712" s="8">
        <v>423000000000</v>
      </c>
      <c r="F712" s="8">
        <v>89524246</v>
      </c>
      <c r="G712" s="8">
        <v>4.3528108750000003</v>
      </c>
      <c r="H712" s="8">
        <v>48.918350820000001</v>
      </c>
      <c r="I712" s="8">
        <v>1807.34</v>
      </c>
      <c r="J712" s="8">
        <v>4724.9799999999996</v>
      </c>
      <c r="K712" s="8">
        <v>38.25</v>
      </c>
      <c r="L712" s="8">
        <v>41</v>
      </c>
      <c r="M712" s="8">
        <v>134542809864.82002</v>
      </c>
      <c r="N712" s="8">
        <v>20.260000000000002</v>
      </c>
      <c r="O712" s="8" t="str">
        <f>vw_scenario_analysis_dataset[[#This Row],[reporter_name]] &amp; "-" &amp; vw_scenario_analysis_dataset[[#This Row],[reference_year]]</f>
        <v>Iran-2022</v>
      </c>
    </row>
    <row r="713" spans="1:15" x14ac:dyDescent="0.3">
      <c r="A713" s="8" t="s">
        <v>174</v>
      </c>
      <c r="B713" s="8" t="s">
        <v>175</v>
      </c>
      <c r="C713" s="8">
        <v>2015</v>
      </c>
      <c r="D713" s="8">
        <v>98805164560</v>
      </c>
      <c r="E713" s="8">
        <v>167000000000</v>
      </c>
      <c r="F713" s="8">
        <v>37560535</v>
      </c>
      <c r="G713" s="8">
        <v>2.6067664289999999</v>
      </c>
      <c r="H713" s="8">
        <v>69.591768599999995</v>
      </c>
      <c r="I713" s="8">
        <v>2630.56</v>
      </c>
      <c r="J713" s="8">
        <v>4446.16</v>
      </c>
      <c r="K713" s="8">
        <v>59.16</v>
      </c>
      <c r="L713" s="8">
        <v>45</v>
      </c>
      <c r="M713" s="8"/>
      <c r="N713" s="8"/>
      <c r="O713" s="8" t="str">
        <f>vw_scenario_analysis_dataset[[#This Row],[reporter_name]] &amp; "-" &amp; vw_scenario_analysis_dataset[[#This Row],[reference_year]]</f>
        <v>Iraq-2015</v>
      </c>
    </row>
    <row r="714" spans="1:15" x14ac:dyDescent="0.3">
      <c r="A714" s="8" t="s">
        <v>174</v>
      </c>
      <c r="B714" s="8" t="s">
        <v>175</v>
      </c>
      <c r="C714" s="8">
        <v>2016</v>
      </c>
      <c r="D714" s="8">
        <v>87548035618</v>
      </c>
      <c r="E714" s="8">
        <v>167000000000</v>
      </c>
      <c r="F714" s="8">
        <v>38469627</v>
      </c>
      <c r="G714" s="8">
        <v>13.78737302</v>
      </c>
      <c r="H714" s="8">
        <v>54.588320189999997</v>
      </c>
      <c r="I714" s="8">
        <v>2275.77</v>
      </c>
      <c r="J714" s="8">
        <v>4341.09</v>
      </c>
      <c r="K714" s="8">
        <v>52.42</v>
      </c>
      <c r="L714" s="8">
        <v>45</v>
      </c>
      <c r="M714" s="8">
        <v>98805164560</v>
      </c>
      <c r="N714" s="8">
        <v>-11.39</v>
      </c>
      <c r="O714" s="8" t="str">
        <f>vw_scenario_analysis_dataset[[#This Row],[reporter_name]] &amp; "-" &amp; vw_scenario_analysis_dataset[[#This Row],[reference_year]]</f>
        <v>Iraq-2016</v>
      </c>
    </row>
    <row r="715" spans="1:15" x14ac:dyDescent="0.3">
      <c r="A715" s="8" t="s">
        <v>176</v>
      </c>
      <c r="B715" s="8" t="s">
        <v>177</v>
      </c>
      <c r="C715" s="8">
        <v>2015</v>
      </c>
      <c r="D715" s="8">
        <v>9443969893</v>
      </c>
      <c r="E715" s="8">
        <v>17700486957</v>
      </c>
      <c r="F715" s="8">
        <v>330815</v>
      </c>
      <c r="G715" s="8">
        <v>3.7685902019999999</v>
      </c>
      <c r="H715" s="8">
        <v>94.888802749999996</v>
      </c>
      <c r="I715" s="8">
        <v>28547.59</v>
      </c>
      <c r="J715" s="8">
        <v>53505.7</v>
      </c>
      <c r="K715" s="8">
        <v>53.35</v>
      </c>
      <c r="L715" s="8">
        <v>97</v>
      </c>
      <c r="M715" s="8"/>
      <c r="N715" s="8"/>
      <c r="O715" s="8" t="str">
        <f>vw_scenario_analysis_dataset[[#This Row],[reporter_name]] &amp; "-" &amp; vw_scenario_analysis_dataset[[#This Row],[reference_year]]</f>
        <v>Iceland-2015</v>
      </c>
    </row>
    <row r="716" spans="1:15" x14ac:dyDescent="0.3">
      <c r="A716" s="8" t="s">
        <v>176</v>
      </c>
      <c r="B716" s="8" t="s">
        <v>177</v>
      </c>
      <c r="C716" s="8">
        <v>2016</v>
      </c>
      <c r="D716" s="8">
        <v>8899459507</v>
      </c>
      <c r="E716" s="8">
        <v>21083713310</v>
      </c>
      <c r="F716" s="8">
        <v>335439</v>
      </c>
      <c r="G716" s="8">
        <v>6.2180876469999999</v>
      </c>
      <c r="H716" s="8">
        <v>87.7600166</v>
      </c>
      <c r="I716" s="8">
        <v>26530.78</v>
      </c>
      <c r="J716" s="8">
        <v>62854.09</v>
      </c>
      <c r="K716" s="8">
        <v>42.21</v>
      </c>
      <c r="L716" s="8">
        <v>101</v>
      </c>
      <c r="M716" s="8">
        <v>9443969893</v>
      </c>
      <c r="N716" s="8">
        <v>-5.77</v>
      </c>
      <c r="O716" s="8" t="str">
        <f>vw_scenario_analysis_dataset[[#This Row],[reporter_name]] &amp; "-" &amp; vw_scenario_analysis_dataset[[#This Row],[reference_year]]</f>
        <v>Iceland-2016</v>
      </c>
    </row>
    <row r="717" spans="1:15" x14ac:dyDescent="0.3">
      <c r="A717" s="8" t="s">
        <v>176</v>
      </c>
      <c r="B717" s="8" t="s">
        <v>177</v>
      </c>
      <c r="C717" s="8">
        <v>2017</v>
      </c>
      <c r="D717" s="8">
        <v>9765211770.0690002</v>
      </c>
      <c r="E717" s="8">
        <v>25060086488</v>
      </c>
      <c r="F717" s="8">
        <v>343400</v>
      </c>
      <c r="G717" s="8">
        <v>3.4850670419999998</v>
      </c>
      <c r="H717" s="8">
        <v>86.358533690000002</v>
      </c>
      <c r="I717" s="8">
        <v>28436.84</v>
      </c>
      <c r="J717" s="8">
        <v>72976.37</v>
      </c>
      <c r="K717" s="8">
        <v>38.97</v>
      </c>
      <c r="L717" s="8">
        <v>102</v>
      </c>
      <c r="M717" s="8">
        <v>8899459507</v>
      </c>
      <c r="N717" s="8">
        <v>9.73</v>
      </c>
      <c r="O717" s="8" t="str">
        <f>vw_scenario_analysis_dataset[[#This Row],[reporter_name]] &amp; "-" &amp; vw_scenario_analysis_dataset[[#This Row],[reference_year]]</f>
        <v>Iceland-2017</v>
      </c>
    </row>
    <row r="718" spans="1:15" x14ac:dyDescent="0.3">
      <c r="A718" s="8" t="s">
        <v>176</v>
      </c>
      <c r="B718" s="8" t="s">
        <v>177</v>
      </c>
      <c r="C718" s="8">
        <v>2018</v>
      </c>
      <c r="D718" s="8">
        <v>11122951682.257996</v>
      </c>
      <c r="E718" s="8">
        <v>26677652544</v>
      </c>
      <c r="F718" s="8">
        <v>352721</v>
      </c>
      <c r="G718" s="8">
        <v>4.6607703620000001</v>
      </c>
      <c r="H718" s="8">
        <v>88.93499697</v>
      </c>
      <c r="I718" s="8">
        <v>31534.7</v>
      </c>
      <c r="J718" s="8">
        <v>75633.87</v>
      </c>
      <c r="K718" s="8">
        <v>41.69</v>
      </c>
      <c r="L718" s="8">
        <v>99</v>
      </c>
      <c r="M718" s="8">
        <v>9765211770.0690002</v>
      </c>
      <c r="N718" s="8">
        <v>13.9</v>
      </c>
      <c r="O718" s="8" t="str">
        <f>vw_scenario_analysis_dataset[[#This Row],[reporter_name]] &amp; "-" &amp; vw_scenario_analysis_dataset[[#This Row],[reference_year]]</f>
        <v>Iceland-2018</v>
      </c>
    </row>
    <row r="719" spans="1:15" x14ac:dyDescent="0.3">
      <c r="A719" s="8" t="s">
        <v>176</v>
      </c>
      <c r="B719" s="8" t="s">
        <v>177</v>
      </c>
      <c r="C719" s="8">
        <v>2019</v>
      </c>
      <c r="D719" s="8">
        <v>10456721033.019001</v>
      </c>
      <c r="E719" s="8">
        <v>24985687022</v>
      </c>
      <c r="F719" s="8">
        <v>360563</v>
      </c>
      <c r="G719" s="8">
        <v>1.1382122729999999</v>
      </c>
      <c r="H719" s="8">
        <v>83.792365950000004</v>
      </c>
      <c r="I719" s="8">
        <v>29001.09</v>
      </c>
      <c r="J719" s="8">
        <v>69296.31</v>
      </c>
      <c r="K719" s="8">
        <v>41.85</v>
      </c>
      <c r="L719" s="8">
        <v>99</v>
      </c>
      <c r="M719" s="8">
        <v>11122951682.257996</v>
      </c>
      <c r="N719" s="8">
        <v>-5.99</v>
      </c>
      <c r="O719" s="8" t="str">
        <f>vw_scenario_analysis_dataset[[#This Row],[reporter_name]] &amp; "-" &amp; vw_scenario_analysis_dataset[[#This Row],[reference_year]]</f>
        <v>Iceland-2019</v>
      </c>
    </row>
    <row r="720" spans="1:15" x14ac:dyDescent="0.3">
      <c r="A720" s="8" t="s">
        <v>176</v>
      </c>
      <c r="B720" s="8" t="s">
        <v>177</v>
      </c>
      <c r="C720" s="8">
        <v>2020</v>
      </c>
      <c r="D720" s="8">
        <v>9160830980.4509964</v>
      </c>
      <c r="E720" s="8">
        <v>22034665041</v>
      </c>
      <c r="F720" s="8">
        <v>366463</v>
      </c>
      <c r="G720" s="8">
        <v>-6.6458781050000004</v>
      </c>
      <c r="H720" s="8">
        <v>68.655023349999993</v>
      </c>
      <c r="I720" s="8">
        <v>24997.97</v>
      </c>
      <c r="J720" s="8">
        <v>60127.94</v>
      </c>
      <c r="K720" s="8">
        <v>41.57</v>
      </c>
      <c r="L720" s="8">
        <v>99</v>
      </c>
      <c r="M720" s="8">
        <v>10456721033.019001</v>
      </c>
      <c r="N720" s="8">
        <v>-12.39</v>
      </c>
      <c r="O720" s="8" t="str">
        <f>vw_scenario_analysis_dataset[[#This Row],[reporter_name]] &amp; "-" &amp; vw_scenario_analysis_dataset[[#This Row],[reference_year]]</f>
        <v>Iceland-2020</v>
      </c>
    </row>
    <row r="721" spans="1:15" x14ac:dyDescent="0.3">
      <c r="A721" s="8" t="s">
        <v>176</v>
      </c>
      <c r="B721" s="8" t="s">
        <v>177</v>
      </c>
      <c r="C721" s="8">
        <v>2021</v>
      </c>
      <c r="D721" s="8">
        <v>11947485300.917004</v>
      </c>
      <c r="E721" s="8">
        <v>26234872402</v>
      </c>
      <c r="F721" s="8">
        <v>372520</v>
      </c>
      <c r="G721" s="8">
        <v>5.180571907</v>
      </c>
      <c r="H721" s="8">
        <v>76.231724990000004</v>
      </c>
      <c r="I721" s="8">
        <v>32072.06</v>
      </c>
      <c r="J721" s="8">
        <v>70425.41</v>
      </c>
      <c r="K721" s="8">
        <v>45.54</v>
      </c>
      <c r="L721" s="8">
        <v>99</v>
      </c>
      <c r="M721" s="8">
        <v>9160830980.4509964</v>
      </c>
      <c r="N721" s="8">
        <v>30.42</v>
      </c>
      <c r="O721" s="8" t="str">
        <f>vw_scenario_analysis_dataset[[#This Row],[reporter_name]] &amp; "-" &amp; vw_scenario_analysis_dataset[[#This Row],[reference_year]]</f>
        <v>Iceland-2021</v>
      </c>
    </row>
    <row r="722" spans="1:15" x14ac:dyDescent="0.3">
      <c r="A722" s="8" t="s">
        <v>176</v>
      </c>
      <c r="B722" s="8" t="s">
        <v>177</v>
      </c>
      <c r="C722" s="8">
        <v>2022</v>
      </c>
      <c r="D722" s="8">
        <v>14807594738.176001</v>
      </c>
      <c r="E722" s="8">
        <v>29176227825</v>
      </c>
      <c r="F722" s="8">
        <v>382003</v>
      </c>
      <c r="G722" s="8">
        <v>8.8572989789999994</v>
      </c>
      <c r="H722" s="8">
        <v>93.016429509999995</v>
      </c>
      <c r="I722" s="8">
        <v>38763.03</v>
      </c>
      <c r="J722" s="8">
        <v>76376.960000000006</v>
      </c>
      <c r="K722" s="8">
        <v>50.75</v>
      </c>
      <c r="L722" s="8">
        <v>94</v>
      </c>
      <c r="M722" s="8">
        <v>11947485300.917004</v>
      </c>
      <c r="N722" s="8">
        <v>23.94</v>
      </c>
      <c r="O722" s="8" t="str">
        <f>vw_scenario_analysis_dataset[[#This Row],[reporter_name]] &amp; "-" &amp; vw_scenario_analysis_dataset[[#This Row],[reference_year]]</f>
        <v>Iceland-2022</v>
      </c>
    </row>
    <row r="723" spans="1:15" x14ac:dyDescent="0.3">
      <c r="A723" s="8" t="s">
        <v>176</v>
      </c>
      <c r="B723" s="8" t="s">
        <v>177</v>
      </c>
      <c r="C723" s="8">
        <v>2023</v>
      </c>
      <c r="D723" s="8">
        <v>13615079953.443998</v>
      </c>
      <c r="E723" s="8">
        <v>31701996434</v>
      </c>
      <c r="F723" s="8">
        <v>385663</v>
      </c>
      <c r="G723" s="8">
        <v>5.0322597379999996</v>
      </c>
      <c r="H723" s="8">
        <v>87.238881090000007</v>
      </c>
      <c r="I723" s="8">
        <v>35303.050000000003</v>
      </c>
      <c r="J723" s="8">
        <v>82201.289999999994</v>
      </c>
      <c r="K723" s="8">
        <v>42.95</v>
      </c>
      <c r="L723" s="8">
        <v>97</v>
      </c>
      <c r="M723" s="8">
        <v>14807594738.176001</v>
      </c>
      <c r="N723" s="8">
        <v>-8.0500000000000007</v>
      </c>
      <c r="O723" s="8" t="str">
        <f>vw_scenario_analysis_dataset[[#This Row],[reporter_name]] &amp; "-" &amp; vw_scenario_analysis_dataset[[#This Row],[reference_year]]</f>
        <v>Iceland-2023</v>
      </c>
    </row>
    <row r="724" spans="1:15" x14ac:dyDescent="0.3">
      <c r="A724" s="8" t="s">
        <v>176</v>
      </c>
      <c r="B724" s="8" t="s">
        <v>177</v>
      </c>
      <c r="C724" s="8">
        <v>2024</v>
      </c>
      <c r="D724" s="8">
        <v>13894315840.779997</v>
      </c>
      <c r="E724" s="8">
        <v>33186621855</v>
      </c>
      <c r="F724" s="8">
        <v>386506</v>
      </c>
      <c r="G724" s="8">
        <v>-1.282876444</v>
      </c>
      <c r="H724" s="8">
        <v>86.181579279999994</v>
      </c>
      <c r="I724" s="8">
        <v>35948.51</v>
      </c>
      <c r="J724" s="8">
        <v>85863.15</v>
      </c>
      <c r="K724" s="8">
        <v>41.87</v>
      </c>
      <c r="L724" s="8">
        <v>91</v>
      </c>
      <c r="M724" s="8">
        <v>13615079953.443998</v>
      </c>
      <c r="N724" s="8">
        <v>2.0499999999999998</v>
      </c>
      <c r="O724" s="8" t="str">
        <f>vw_scenario_analysis_dataset[[#This Row],[reporter_name]] &amp; "-" &amp; vw_scenario_analysis_dataset[[#This Row],[reference_year]]</f>
        <v>Iceland-2024</v>
      </c>
    </row>
    <row r="725" spans="1:15" x14ac:dyDescent="0.3">
      <c r="A725" s="8" t="s">
        <v>178</v>
      </c>
      <c r="B725" s="8" t="s">
        <v>179</v>
      </c>
      <c r="C725" s="8">
        <v>2015</v>
      </c>
      <c r="D725" s="8">
        <v>128124434000</v>
      </c>
      <c r="E725" s="8">
        <v>303000000000</v>
      </c>
      <c r="F725" s="8">
        <v>8380100</v>
      </c>
      <c r="G725" s="8">
        <v>2.2359988959999999</v>
      </c>
      <c r="H725" s="8">
        <v>59.020155709999997</v>
      </c>
      <c r="I725" s="8">
        <v>15289.13</v>
      </c>
      <c r="J725" s="8">
        <v>36157.089999999997</v>
      </c>
      <c r="K725" s="8">
        <v>42.29</v>
      </c>
      <c r="L725" s="8">
        <v>36</v>
      </c>
      <c r="M725" s="8"/>
      <c r="N725" s="8"/>
      <c r="O725" s="8" t="str">
        <f>vw_scenario_analysis_dataset[[#This Row],[reporter_name]] &amp; "-" &amp; vw_scenario_analysis_dataset[[#This Row],[reference_year]]</f>
        <v>Israel-2015</v>
      </c>
    </row>
    <row r="726" spans="1:15" x14ac:dyDescent="0.3">
      <c r="A726" s="8" t="s">
        <v>178</v>
      </c>
      <c r="B726" s="8" t="s">
        <v>179</v>
      </c>
      <c r="C726" s="8">
        <v>2016</v>
      </c>
      <c r="D726" s="8">
        <v>121141192000</v>
      </c>
      <c r="E726" s="8">
        <v>321000000000</v>
      </c>
      <c r="F726" s="8">
        <v>8546000</v>
      </c>
      <c r="G726" s="8">
        <v>4.536019392</v>
      </c>
      <c r="H726" s="8">
        <v>57.953305159999999</v>
      </c>
      <c r="I726" s="8">
        <v>14175.19</v>
      </c>
      <c r="J726" s="8">
        <v>37561.43</v>
      </c>
      <c r="K726" s="8">
        <v>37.74</v>
      </c>
      <c r="L726" s="8">
        <v>38</v>
      </c>
      <c r="M726" s="8">
        <v>128124434000</v>
      </c>
      <c r="N726" s="8">
        <v>-5.45</v>
      </c>
      <c r="O726" s="8" t="str">
        <f>vw_scenario_analysis_dataset[[#This Row],[reporter_name]] &amp; "-" &amp; vw_scenario_analysis_dataset[[#This Row],[reference_year]]</f>
        <v>Israel-2016</v>
      </c>
    </row>
    <row r="727" spans="1:15" x14ac:dyDescent="0.3">
      <c r="A727" s="8" t="s">
        <v>178</v>
      </c>
      <c r="B727" s="8" t="s">
        <v>179</v>
      </c>
      <c r="C727" s="8">
        <v>2017</v>
      </c>
      <c r="D727" s="8">
        <v>122300282000</v>
      </c>
      <c r="E727" s="8">
        <v>357000000000</v>
      </c>
      <c r="F727" s="8">
        <v>8713300</v>
      </c>
      <c r="G727" s="8">
        <v>4.3439451890000003</v>
      </c>
      <c r="H727" s="8">
        <v>56.451937379999997</v>
      </c>
      <c r="I727" s="8">
        <v>14036.05</v>
      </c>
      <c r="J727" s="8">
        <v>40971.85</v>
      </c>
      <c r="K727" s="8">
        <v>34.26</v>
      </c>
      <c r="L727" s="8">
        <v>42</v>
      </c>
      <c r="M727" s="8">
        <v>121141192000</v>
      </c>
      <c r="N727" s="8">
        <v>0.96</v>
      </c>
      <c r="O727" s="8" t="str">
        <f>vw_scenario_analysis_dataset[[#This Row],[reporter_name]] &amp; "-" &amp; vw_scenario_analysis_dataset[[#This Row],[reference_year]]</f>
        <v>Israel-2017</v>
      </c>
    </row>
    <row r="728" spans="1:15" x14ac:dyDescent="0.3">
      <c r="A728" s="8" t="s">
        <v>178</v>
      </c>
      <c r="B728" s="8" t="s">
        <v>179</v>
      </c>
      <c r="C728" s="8">
        <v>2018</v>
      </c>
      <c r="D728" s="8">
        <v>123812824000</v>
      </c>
      <c r="E728" s="8">
        <v>375000000000</v>
      </c>
      <c r="F728" s="8">
        <v>8882800</v>
      </c>
      <c r="G728" s="8">
        <v>4.0534995289999998</v>
      </c>
      <c r="H728" s="8">
        <v>58.873401340000001</v>
      </c>
      <c r="I728" s="8">
        <v>13938.49</v>
      </c>
      <c r="J728" s="8">
        <v>42216.42</v>
      </c>
      <c r="K728" s="8">
        <v>33.020000000000003</v>
      </c>
      <c r="L728" s="8">
        <v>44</v>
      </c>
      <c r="M728" s="8">
        <v>122300282000</v>
      </c>
      <c r="N728" s="8">
        <v>1.24</v>
      </c>
      <c r="O728" s="8" t="str">
        <f>vw_scenario_analysis_dataset[[#This Row],[reporter_name]] &amp; "-" &amp; vw_scenario_analysis_dataset[[#This Row],[reference_year]]</f>
        <v>Israel-2018</v>
      </c>
    </row>
    <row r="729" spans="1:15" x14ac:dyDescent="0.3">
      <c r="A729" s="8" t="s">
        <v>178</v>
      </c>
      <c r="B729" s="8" t="s">
        <v>179</v>
      </c>
      <c r="C729" s="8">
        <v>2019</v>
      </c>
      <c r="D729" s="8">
        <v>116976932000</v>
      </c>
      <c r="E729" s="8">
        <v>399000000000</v>
      </c>
      <c r="F729" s="8">
        <v>9054000</v>
      </c>
      <c r="G729" s="8">
        <v>3.5789876289999998</v>
      </c>
      <c r="H729" s="8">
        <v>56.528161840000003</v>
      </c>
      <c r="I729" s="8">
        <v>12919.92</v>
      </c>
      <c r="J729" s="8">
        <v>44068.92</v>
      </c>
      <c r="K729" s="8">
        <v>29.32</v>
      </c>
      <c r="L729" s="8">
        <v>43</v>
      </c>
      <c r="M729" s="8">
        <v>123812824000</v>
      </c>
      <c r="N729" s="8">
        <v>-5.52</v>
      </c>
      <c r="O729" s="8" t="str">
        <f>vw_scenario_analysis_dataset[[#This Row],[reporter_name]] &amp; "-" &amp; vw_scenario_analysis_dataset[[#This Row],[reference_year]]</f>
        <v>Israel-2019</v>
      </c>
    </row>
    <row r="730" spans="1:15" x14ac:dyDescent="0.3">
      <c r="A730" s="8" t="s">
        <v>178</v>
      </c>
      <c r="B730" s="8" t="s">
        <v>179</v>
      </c>
      <c r="C730" s="8">
        <v>2020</v>
      </c>
      <c r="D730" s="8">
        <v>100306492000</v>
      </c>
      <c r="E730" s="8">
        <v>411000000000</v>
      </c>
      <c r="F730" s="8">
        <v>9215100</v>
      </c>
      <c r="G730" s="8">
        <v>-1.80206928</v>
      </c>
      <c r="H730" s="8">
        <v>51.14039846</v>
      </c>
      <c r="I730" s="8">
        <v>10885.01</v>
      </c>
      <c r="J730" s="8">
        <v>44600.71</v>
      </c>
      <c r="K730" s="8">
        <v>24.41</v>
      </c>
      <c r="L730" s="8">
        <v>42</v>
      </c>
      <c r="M730" s="8">
        <v>116976932000</v>
      </c>
      <c r="N730" s="8">
        <v>-14.25</v>
      </c>
      <c r="O730" s="8" t="str">
        <f>vw_scenario_analysis_dataset[[#This Row],[reporter_name]] &amp; "-" &amp; vw_scenario_analysis_dataset[[#This Row],[reference_year]]</f>
        <v>Israel-2020</v>
      </c>
    </row>
    <row r="731" spans="1:15" x14ac:dyDescent="0.3">
      <c r="A731" s="8" t="s">
        <v>178</v>
      </c>
      <c r="B731" s="8" t="s">
        <v>179</v>
      </c>
      <c r="C731" s="8">
        <v>2021</v>
      </c>
      <c r="D731" s="8">
        <v>120319468000</v>
      </c>
      <c r="E731" s="8">
        <v>490000000000</v>
      </c>
      <c r="F731" s="8">
        <v>9371400</v>
      </c>
      <c r="G731" s="8">
        <v>9.3353469019999995</v>
      </c>
      <c r="H731" s="8">
        <v>54.818403660000001</v>
      </c>
      <c r="I731" s="8">
        <v>12839.01</v>
      </c>
      <c r="J731" s="8">
        <v>52286.74</v>
      </c>
      <c r="K731" s="8">
        <v>24.55</v>
      </c>
      <c r="L731" s="8">
        <v>45</v>
      </c>
      <c r="M731" s="8">
        <v>100306492000</v>
      </c>
      <c r="N731" s="8">
        <v>19.95</v>
      </c>
      <c r="O731" s="8" t="str">
        <f>vw_scenario_analysis_dataset[[#This Row],[reporter_name]] &amp; "-" &amp; vw_scenario_analysis_dataset[[#This Row],[reference_year]]</f>
        <v>Israel-2021</v>
      </c>
    </row>
    <row r="732" spans="1:15" x14ac:dyDescent="0.3">
      <c r="A732" s="8" t="s">
        <v>178</v>
      </c>
      <c r="B732" s="8" t="s">
        <v>179</v>
      </c>
      <c r="C732" s="8">
        <v>2022</v>
      </c>
      <c r="D732" s="8">
        <v>145137762000</v>
      </c>
      <c r="E732" s="8">
        <v>525000000000</v>
      </c>
      <c r="F732" s="8">
        <v>9557500</v>
      </c>
      <c r="G732" s="8">
        <v>6.3640723479999997</v>
      </c>
      <c r="H732" s="8">
        <v>60.635842830000001</v>
      </c>
      <c r="I732" s="8">
        <v>15185.75</v>
      </c>
      <c r="J732" s="8">
        <v>54930.68</v>
      </c>
      <c r="K732" s="8">
        <v>27.65</v>
      </c>
      <c r="L732" s="8">
        <v>44</v>
      </c>
      <c r="M732" s="8">
        <v>120319468000</v>
      </c>
      <c r="N732" s="8">
        <v>20.63</v>
      </c>
      <c r="O732" s="8" t="str">
        <f>vw_scenario_analysis_dataset[[#This Row],[reporter_name]] &amp; "-" &amp; vw_scenario_analysis_dataset[[#This Row],[reference_year]]</f>
        <v>Israel-2022</v>
      </c>
    </row>
    <row r="733" spans="1:15" x14ac:dyDescent="0.3">
      <c r="A733" s="8" t="s">
        <v>178</v>
      </c>
      <c r="B733" s="8" t="s">
        <v>179</v>
      </c>
      <c r="C733" s="8">
        <v>2023</v>
      </c>
      <c r="D733" s="8">
        <v>117809216000</v>
      </c>
      <c r="E733" s="8">
        <v>513000000000</v>
      </c>
      <c r="F733" s="8">
        <v>9849000</v>
      </c>
      <c r="G733" s="8">
        <v>2.0627250469999998</v>
      </c>
      <c r="H733" s="8">
        <v>57.977782329999997</v>
      </c>
      <c r="I733" s="8">
        <v>11961.54</v>
      </c>
      <c r="J733" s="8">
        <v>52086.51</v>
      </c>
      <c r="K733" s="8">
        <v>22.96</v>
      </c>
      <c r="L733" s="8">
        <v>47</v>
      </c>
      <c r="M733" s="8">
        <v>145137762000</v>
      </c>
      <c r="N733" s="8">
        <v>-18.829999999999998</v>
      </c>
      <c r="O733" s="8" t="str">
        <f>vw_scenario_analysis_dataset[[#This Row],[reporter_name]] &amp; "-" &amp; vw_scenario_analysis_dataset[[#This Row],[reference_year]]</f>
        <v>Israel-2023</v>
      </c>
    </row>
    <row r="734" spans="1:15" x14ac:dyDescent="0.3">
      <c r="A734" s="8" t="s">
        <v>178</v>
      </c>
      <c r="B734" s="8" t="s">
        <v>179</v>
      </c>
      <c r="C734" s="8">
        <v>2024</v>
      </c>
      <c r="D734" s="8">
        <v>120513860000</v>
      </c>
      <c r="E734" s="8">
        <v>542000000000</v>
      </c>
      <c r="F734" s="8">
        <v>10002200</v>
      </c>
      <c r="G734" s="8">
        <v>0.95361846900000002</v>
      </c>
      <c r="H734" s="8">
        <v>54.382256380000001</v>
      </c>
      <c r="I734" s="8">
        <v>12048.74</v>
      </c>
      <c r="J734" s="8">
        <v>54188.08</v>
      </c>
      <c r="K734" s="8">
        <v>22.24</v>
      </c>
      <c r="L734" s="8">
        <v>45</v>
      </c>
      <c r="M734" s="8">
        <v>117809216000</v>
      </c>
      <c r="N734" s="8">
        <v>2.2999999999999998</v>
      </c>
      <c r="O734" s="8" t="str">
        <f>vw_scenario_analysis_dataset[[#This Row],[reporter_name]] &amp; "-" &amp; vw_scenario_analysis_dataset[[#This Row],[reference_year]]</f>
        <v>Israel-2024</v>
      </c>
    </row>
    <row r="735" spans="1:15" x14ac:dyDescent="0.3">
      <c r="A735" s="8" t="s">
        <v>180</v>
      </c>
      <c r="B735" s="8" t="s">
        <v>181</v>
      </c>
      <c r="C735" s="8">
        <v>2015</v>
      </c>
      <c r="D735" s="8">
        <v>913977251028.95496</v>
      </c>
      <c r="E735" s="8">
        <v>1850000000000</v>
      </c>
      <c r="F735" s="8">
        <v>60229605</v>
      </c>
      <c r="G735" s="8">
        <v>0.88566763500000001</v>
      </c>
      <c r="H735" s="8">
        <v>55.435685810000003</v>
      </c>
      <c r="I735" s="8">
        <v>15174.88</v>
      </c>
      <c r="J735" s="8">
        <v>30715.79</v>
      </c>
      <c r="K735" s="8">
        <v>49.4</v>
      </c>
      <c r="L735" s="8">
        <v>9</v>
      </c>
      <c r="M735" s="8"/>
      <c r="N735" s="8"/>
      <c r="O735" s="8" t="str">
        <f>vw_scenario_analysis_dataset[[#This Row],[reporter_name]] &amp; "-" &amp; vw_scenario_analysis_dataset[[#This Row],[reference_year]]</f>
        <v>Italy-2015</v>
      </c>
    </row>
    <row r="736" spans="1:15" x14ac:dyDescent="0.3">
      <c r="A736" s="8" t="s">
        <v>180</v>
      </c>
      <c r="B736" s="8" t="s">
        <v>181</v>
      </c>
      <c r="C736" s="8">
        <v>2016</v>
      </c>
      <c r="D736" s="8">
        <v>923335250858.48071</v>
      </c>
      <c r="E736" s="8">
        <v>1890000000000</v>
      </c>
      <c r="F736" s="8">
        <v>60115223</v>
      </c>
      <c r="G736" s="8">
        <v>1.2362210849999999</v>
      </c>
      <c r="H736" s="8">
        <v>54.432146699999997</v>
      </c>
      <c r="I736" s="8">
        <v>15359.42</v>
      </c>
      <c r="J736" s="8">
        <v>31439.62</v>
      </c>
      <c r="K736" s="8">
        <v>48.85</v>
      </c>
      <c r="L736" s="8">
        <v>8</v>
      </c>
      <c r="M736" s="8">
        <v>913977251028.95496</v>
      </c>
      <c r="N736" s="8">
        <v>1.02</v>
      </c>
      <c r="O736" s="8" t="str">
        <f>vw_scenario_analysis_dataset[[#This Row],[reporter_name]] &amp; "-" &amp; vw_scenario_analysis_dataset[[#This Row],[reference_year]]</f>
        <v>Italy-2016</v>
      </c>
    </row>
    <row r="737" spans="1:15" x14ac:dyDescent="0.3">
      <c r="A737" s="8" t="s">
        <v>180</v>
      </c>
      <c r="B737" s="8" t="s">
        <v>181</v>
      </c>
      <c r="C737" s="8">
        <v>2017</v>
      </c>
      <c r="D737" s="8">
        <v>1014722799680.5225</v>
      </c>
      <c r="E737" s="8">
        <v>1970000000000</v>
      </c>
      <c r="F737" s="8">
        <v>60002252</v>
      </c>
      <c r="G737" s="8">
        <v>1.603699953</v>
      </c>
      <c r="H737" s="8">
        <v>57.582994030000002</v>
      </c>
      <c r="I737" s="8">
        <v>16911.41</v>
      </c>
      <c r="J737" s="8">
        <v>32832.1</v>
      </c>
      <c r="K737" s="8">
        <v>51.51</v>
      </c>
      <c r="L737" s="8">
        <v>8</v>
      </c>
      <c r="M737" s="8">
        <v>923335250858.48071</v>
      </c>
      <c r="N737" s="8">
        <v>9.9</v>
      </c>
      <c r="O737" s="8" t="str">
        <f>vw_scenario_analysis_dataset[[#This Row],[reporter_name]] &amp; "-" &amp; vw_scenario_analysis_dataset[[#This Row],[reference_year]]</f>
        <v>Italy-2017</v>
      </c>
    </row>
    <row r="738" spans="1:15" x14ac:dyDescent="0.3">
      <c r="A738" s="8" t="s">
        <v>180</v>
      </c>
      <c r="B738" s="8" t="s">
        <v>181</v>
      </c>
      <c r="C738" s="8">
        <v>2018</v>
      </c>
      <c r="D738" s="8">
        <v>1099029545921.7782</v>
      </c>
      <c r="E738" s="8">
        <v>2100000000000</v>
      </c>
      <c r="F738" s="8">
        <v>59877221</v>
      </c>
      <c r="G738" s="8">
        <v>0.82664671199999995</v>
      </c>
      <c r="H738" s="8">
        <v>59.274983509999998</v>
      </c>
      <c r="I738" s="8">
        <v>18354.72</v>
      </c>
      <c r="J738" s="8">
        <v>35071.769999999997</v>
      </c>
      <c r="K738" s="8">
        <v>52.33</v>
      </c>
      <c r="L738" s="8">
        <v>8</v>
      </c>
      <c r="M738" s="8">
        <v>1014722799680.5225</v>
      </c>
      <c r="N738" s="8">
        <v>8.31</v>
      </c>
      <c r="O738" s="8" t="str">
        <f>vw_scenario_analysis_dataset[[#This Row],[reporter_name]] &amp; "-" &amp; vw_scenario_analysis_dataset[[#This Row],[reference_year]]</f>
        <v>Italy-2018</v>
      </c>
    </row>
    <row r="739" spans="1:15" x14ac:dyDescent="0.3">
      <c r="A739" s="8" t="s">
        <v>180</v>
      </c>
      <c r="B739" s="8" t="s">
        <v>181</v>
      </c>
      <c r="C739" s="8">
        <v>2019</v>
      </c>
      <c r="D739" s="8">
        <v>1075496857635.8364</v>
      </c>
      <c r="E739" s="8">
        <v>2020000000000</v>
      </c>
      <c r="F739" s="8">
        <v>59729081</v>
      </c>
      <c r="G739" s="8">
        <v>0.42916253399999998</v>
      </c>
      <c r="H739" s="8">
        <v>58.694190259999999</v>
      </c>
      <c r="I739" s="8">
        <v>18006.25</v>
      </c>
      <c r="J739" s="8">
        <v>33819.370000000003</v>
      </c>
      <c r="K739" s="8">
        <v>53.24</v>
      </c>
      <c r="L739" s="8">
        <v>7</v>
      </c>
      <c r="M739" s="8">
        <v>1099029545921.7782</v>
      </c>
      <c r="N739" s="8">
        <v>-2.14</v>
      </c>
      <c r="O739" s="8" t="str">
        <f>vw_scenario_analysis_dataset[[#This Row],[reporter_name]] &amp; "-" &amp; vw_scenario_analysis_dataset[[#This Row],[reference_year]]</f>
        <v>Italy-2019</v>
      </c>
    </row>
    <row r="740" spans="1:15" x14ac:dyDescent="0.3">
      <c r="A740" s="8" t="s">
        <v>180</v>
      </c>
      <c r="B740" s="8" t="s">
        <v>181</v>
      </c>
      <c r="C740" s="8">
        <v>2020</v>
      </c>
      <c r="D740" s="8">
        <v>997607663941.25305</v>
      </c>
      <c r="E740" s="8">
        <v>1910000000000</v>
      </c>
      <c r="F740" s="8">
        <v>59438851</v>
      </c>
      <c r="G740" s="8">
        <v>-8.8682212220000007</v>
      </c>
      <c r="H740" s="8">
        <v>53.939483899999999</v>
      </c>
      <c r="I740" s="8">
        <v>16783.759999999998</v>
      </c>
      <c r="J740" s="8">
        <v>32133.86</v>
      </c>
      <c r="K740" s="8">
        <v>52.23</v>
      </c>
      <c r="L740" s="8">
        <v>7</v>
      </c>
      <c r="M740" s="8">
        <v>1075496857635.8364</v>
      </c>
      <c r="N740" s="8">
        <v>-7.24</v>
      </c>
      <c r="O740" s="8" t="str">
        <f>vw_scenario_analysis_dataset[[#This Row],[reporter_name]] &amp; "-" &amp; vw_scenario_analysis_dataset[[#This Row],[reference_year]]</f>
        <v>Italy-2020</v>
      </c>
    </row>
    <row r="741" spans="1:15" x14ac:dyDescent="0.3">
      <c r="A741" s="8" t="s">
        <v>180</v>
      </c>
      <c r="B741" s="8" t="s">
        <v>181</v>
      </c>
      <c r="C741" s="8">
        <v>2021</v>
      </c>
      <c r="D741" s="8">
        <v>1231820520121.5537</v>
      </c>
      <c r="E741" s="8">
        <v>2180000000000</v>
      </c>
      <c r="F741" s="8">
        <v>59133173</v>
      </c>
      <c r="G741" s="8">
        <v>8.9310621080000008</v>
      </c>
      <c r="H741" s="8">
        <v>60.301977620000002</v>
      </c>
      <c r="I741" s="8">
        <v>20831.29</v>
      </c>
      <c r="J741" s="8">
        <v>36865.94</v>
      </c>
      <c r="K741" s="8">
        <v>56.51</v>
      </c>
      <c r="L741" s="8">
        <v>7</v>
      </c>
      <c r="M741" s="8">
        <v>997607663941.25305</v>
      </c>
      <c r="N741" s="8">
        <v>23.48</v>
      </c>
      <c r="O741" s="8" t="str">
        <f>vw_scenario_analysis_dataset[[#This Row],[reporter_name]] &amp; "-" &amp; vw_scenario_analysis_dataset[[#This Row],[reference_year]]</f>
        <v>Italy-2021</v>
      </c>
    </row>
    <row r="742" spans="1:15" x14ac:dyDescent="0.3">
      <c r="A742" s="8" t="s">
        <v>180</v>
      </c>
      <c r="B742" s="8" t="s">
        <v>181</v>
      </c>
      <c r="C742" s="8">
        <v>2022</v>
      </c>
      <c r="D742" s="8">
        <v>1318774418267.6069</v>
      </c>
      <c r="E742" s="8">
        <v>2100000000000</v>
      </c>
      <c r="F742" s="8">
        <v>59013667</v>
      </c>
      <c r="G742" s="8">
        <v>4.8211766989999996</v>
      </c>
      <c r="H742" s="8">
        <v>72.016502299999999</v>
      </c>
      <c r="I742" s="8">
        <v>22346.93</v>
      </c>
      <c r="J742" s="8">
        <v>35584.980000000003</v>
      </c>
      <c r="K742" s="8">
        <v>62.8</v>
      </c>
      <c r="L742" s="8">
        <v>6</v>
      </c>
      <c r="M742" s="8">
        <v>1231820520121.5537</v>
      </c>
      <c r="N742" s="8">
        <v>7.06</v>
      </c>
      <c r="O742" s="8" t="str">
        <f>vw_scenario_analysis_dataset[[#This Row],[reporter_name]] &amp; "-" &amp; vw_scenario_analysis_dataset[[#This Row],[reference_year]]</f>
        <v>Italy-2022</v>
      </c>
    </row>
    <row r="743" spans="1:15" x14ac:dyDescent="0.3">
      <c r="A743" s="8" t="s">
        <v>180</v>
      </c>
      <c r="B743" s="8" t="s">
        <v>181</v>
      </c>
      <c r="C743" s="8">
        <v>2023</v>
      </c>
      <c r="D743" s="8">
        <v>1353639636863.4006</v>
      </c>
      <c r="E743" s="8">
        <v>2320000000000</v>
      </c>
      <c r="F743" s="8">
        <v>58984216</v>
      </c>
      <c r="G743" s="8">
        <v>0.922796544</v>
      </c>
      <c r="H743" s="8">
        <v>65.102841940000005</v>
      </c>
      <c r="I743" s="8">
        <v>22949.18</v>
      </c>
      <c r="J743" s="8">
        <v>39332.559999999998</v>
      </c>
      <c r="K743" s="8">
        <v>58.35</v>
      </c>
      <c r="L743" s="8">
        <v>5</v>
      </c>
      <c r="M743" s="8">
        <v>1318774418267.6069</v>
      </c>
      <c r="N743" s="8">
        <v>2.64</v>
      </c>
      <c r="O743" s="8" t="str">
        <f>vw_scenario_analysis_dataset[[#This Row],[reporter_name]] &amp; "-" &amp; vw_scenario_analysis_dataset[[#This Row],[reference_year]]</f>
        <v>Italy-2023</v>
      </c>
    </row>
    <row r="744" spans="1:15" x14ac:dyDescent="0.3">
      <c r="A744" s="8" t="s">
        <v>180</v>
      </c>
      <c r="B744" s="8" t="s">
        <v>181</v>
      </c>
      <c r="C744" s="8">
        <v>2024</v>
      </c>
      <c r="D744" s="8">
        <v>1347795243406.4392</v>
      </c>
      <c r="E744" s="8">
        <v>2380000000000</v>
      </c>
      <c r="F744" s="8">
        <v>58952704</v>
      </c>
      <c r="G744" s="8">
        <v>0.783039135</v>
      </c>
      <c r="H744" s="8">
        <v>62.592614490000003</v>
      </c>
      <c r="I744" s="8">
        <v>22862.31</v>
      </c>
      <c r="J744" s="8">
        <v>40371.35</v>
      </c>
      <c r="K744" s="8">
        <v>56.63</v>
      </c>
      <c r="L744" s="8">
        <v>6</v>
      </c>
      <c r="M744" s="8">
        <v>1353639636863.4006</v>
      </c>
      <c r="N744" s="8">
        <v>-0.43</v>
      </c>
      <c r="O744" s="8" t="str">
        <f>vw_scenario_analysis_dataset[[#This Row],[reporter_name]] &amp; "-" &amp; vw_scenario_analysis_dataset[[#This Row],[reference_year]]</f>
        <v>Italy-2024</v>
      </c>
    </row>
    <row r="745" spans="1:15" x14ac:dyDescent="0.3">
      <c r="A745" s="8" t="s">
        <v>182</v>
      </c>
      <c r="B745" s="8" t="s">
        <v>183</v>
      </c>
      <c r="C745" s="8">
        <v>2015</v>
      </c>
      <c r="D745" s="8">
        <v>2525169701</v>
      </c>
      <c r="E745" s="8">
        <v>14963589916</v>
      </c>
      <c r="F745" s="8">
        <v>2802534</v>
      </c>
      <c r="G745" s="8">
        <v>0.92148712399999999</v>
      </c>
      <c r="H745" s="8"/>
      <c r="I745" s="8">
        <v>901.03</v>
      </c>
      <c r="J745" s="8">
        <v>5339.31</v>
      </c>
      <c r="K745" s="8">
        <v>16.88</v>
      </c>
      <c r="L745" s="8">
        <v>126</v>
      </c>
      <c r="M745" s="8"/>
      <c r="N745" s="8"/>
      <c r="O745" s="8" t="str">
        <f>vw_scenario_analysis_dataset[[#This Row],[reporter_name]] &amp; "-" &amp; vw_scenario_analysis_dataset[[#This Row],[reference_year]]</f>
        <v>Jamaica-2015</v>
      </c>
    </row>
    <row r="746" spans="1:15" x14ac:dyDescent="0.3">
      <c r="A746" s="8" t="s">
        <v>182</v>
      </c>
      <c r="B746" s="8" t="s">
        <v>183</v>
      </c>
      <c r="C746" s="8">
        <v>2016</v>
      </c>
      <c r="D746" s="8">
        <v>2403573119</v>
      </c>
      <c r="E746" s="8">
        <v>14898999754</v>
      </c>
      <c r="F746" s="8">
        <v>2809915</v>
      </c>
      <c r="G746" s="8">
        <v>2.7604376140000002</v>
      </c>
      <c r="H746" s="8"/>
      <c r="I746" s="8">
        <v>855.39</v>
      </c>
      <c r="J746" s="8">
        <v>5302.3</v>
      </c>
      <c r="K746" s="8">
        <v>16.13</v>
      </c>
      <c r="L746" s="8">
        <v>130</v>
      </c>
      <c r="M746" s="8">
        <v>2525169701</v>
      </c>
      <c r="N746" s="8">
        <v>-4.82</v>
      </c>
      <c r="O746" s="8" t="str">
        <f>vw_scenario_analysis_dataset[[#This Row],[reporter_name]] &amp; "-" &amp; vw_scenario_analysis_dataset[[#This Row],[reference_year]]</f>
        <v>Jamaica-2016</v>
      </c>
    </row>
    <row r="747" spans="1:15" x14ac:dyDescent="0.3">
      <c r="A747" s="8" t="s">
        <v>182</v>
      </c>
      <c r="B747" s="8" t="s">
        <v>183</v>
      </c>
      <c r="C747" s="8">
        <v>2017</v>
      </c>
      <c r="D747" s="8">
        <v>2619436886.9919996</v>
      </c>
      <c r="E747" s="8">
        <v>15783583237</v>
      </c>
      <c r="F747" s="8">
        <v>2815764</v>
      </c>
      <c r="G747" s="8">
        <v>2.2930337129999998</v>
      </c>
      <c r="H747" s="8"/>
      <c r="I747" s="8">
        <v>930.28</v>
      </c>
      <c r="J747" s="8">
        <v>5605.44</v>
      </c>
      <c r="K747" s="8">
        <v>16.600000000000001</v>
      </c>
      <c r="L747" s="8">
        <v>129</v>
      </c>
      <c r="M747" s="8">
        <v>2403573119</v>
      </c>
      <c r="N747" s="8">
        <v>8.98</v>
      </c>
      <c r="O747" s="8" t="str">
        <f>vw_scenario_analysis_dataset[[#This Row],[reporter_name]] &amp; "-" &amp; vw_scenario_analysis_dataset[[#This Row],[reference_year]]</f>
        <v>Jamaica-2017</v>
      </c>
    </row>
    <row r="748" spans="1:15" x14ac:dyDescent="0.3">
      <c r="A748" s="8" t="s">
        <v>182</v>
      </c>
      <c r="B748" s="8" t="s">
        <v>183</v>
      </c>
      <c r="C748" s="8">
        <v>2018</v>
      </c>
      <c r="D748" s="8">
        <v>3921479413.3399982</v>
      </c>
      <c r="E748" s="8">
        <v>16855447986</v>
      </c>
      <c r="F748" s="8">
        <v>2820097</v>
      </c>
      <c r="G748" s="8">
        <v>2.515844586</v>
      </c>
      <c r="H748" s="8"/>
      <c r="I748" s="8">
        <v>1390.55</v>
      </c>
      <c r="J748" s="8">
        <v>5976.9</v>
      </c>
      <c r="K748" s="8">
        <v>23.27</v>
      </c>
      <c r="L748" s="8">
        <v>122</v>
      </c>
      <c r="M748" s="8">
        <v>2619436886.9919996</v>
      </c>
      <c r="N748" s="8">
        <v>49.71</v>
      </c>
      <c r="O748" s="8" t="str">
        <f>vw_scenario_analysis_dataset[[#This Row],[reporter_name]] &amp; "-" &amp; vw_scenario_analysis_dataset[[#This Row],[reference_year]]</f>
        <v>Jamaica-2018</v>
      </c>
    </row>
    <row r="749" spans="1:15" x14ac:dyDescent="0.3">
      <c r="A749" s="8" t="s">
        <v>182</v>
      </c>
      <c r="B749" s="8" t="s">
        <v>183</v>
      </c>
      <c r="C749" s="8">
        <v>2019</v>
      </c>
      <c r="D749" s="8">
        <v>3302322168.4719992</v>
      </c>
      <c r="E749" s="8">
        <v>17026269263</v>
      </c>
      <c r="F749" s="8">
        <v>2823271</v>
      </c>
      <c r="G749" s="8">
        <v>1.8094314730000001</v>
      </c>
      <c r="H749" s="8"/>
      <c r="I749" s="8">
        <v>1169.68</v>
      </c>
      <c r="J749" s="8">
        <v>6030.69</v>
      </c>
      <c r="K749" s="8">
        <v>19.399999999999999</v>
      </c>
      <c r="L749" s="8">
        <v>125</v>
      </c>
      <c r="M749" s="8">
        <v>3921479413.3399982</v>
      </c>
      <c r="N749" s="8">
        <v>-15.79</v>
      </c>
      <c r="O749" s="8" t="str">
        <f>vw_scenario_analysis_dataset[[#This Row],[reporter_name]] &amp; "-" &amp; vw_scenario_analysis_dataset[[#This Row],[reference_year]]</f>
        <v>Jamaica-2019</v>
      </c>
    </row>
    <row r="750" spans="1:15" x14ac:dyDescent="0.3">
      <c r="A750" s="8" t="s">
        <v>182</v>
      </c>
      <c r="B750" s="8" t="s">
        <v>183</v>
      </c>
      <c r="C750" s="8">
        <v>2020</v>
      </c>
      <c r="D750" s="8">
        <v>2501198872.3799996</v>
      </c>
      <c r="E750" s="8">
        <v>15000214216</v>
      </c>
      <c r="F750" s="8">
        <v>2830739</v>
      </c>
      <c r="G750" s="8">
        <v>-8.3044192359999993</v>
      </c>
      <c r="H750" s="8"/>
      <c r="I750" s="8">
        <v>883.59</v>
      </c>
      <c r="J750" s="8">
        <v>5299.05</v>
      </c>
      <c r="K750" s="8">
        <v>16.670000000000002</v>
      </c>
      <c r="L750" s="8">
        <v>125</v>
      </c>
      <c r="M750" s="8">
        <v>3302322168.4719992</v>
      </c>
      <c r="N750" s="8">
        <v>-24.26</v>
      </c>
      <c r="O750" s="8" t="str">
        <f>vw_scenario_analysis_dataset[[#This Row],[reporter_name]] &amp; "-" &amp; vw_scenario_analysis_dataset[[#This Row],[reference_year]]</f>
        <v>Jamaica-2020</v>
      </c>
    </row>
    <row r="751" spans="1:15" x14ac:dyDescent="0.3">
      <c r="A751" s="8" t="s">
        <v>182</v>
      </c>
      <c r="B751" s="8" t="s">
        <v>183</v>
      </c>
      <c r="C751" s="8">
        <v>2021</v>
      </c>
      <c r="D751" s="8">
        <v>2961419733.3799996</v>
      </c>
      <c r="E751" s="8">
        <v>15963885376</v>
      </c>
      <c r="F751" s="8">
        <v>2837682</v>
      </c>
      <c r="G751" s="8">
        <v>5.7046797829999996</v>
      </c>
      <c r="H751" s="8"/>
      <c r="I751" s="8">
        <v>1043.6099999999999</v>
      </c>
      <c r="J751" s="8">
        <v>5625.68</v>
      </c>
      <c r="K751" s="8">
        <v>18.55</v>
      </c>
      <c r="L751" s="8">
        <v>128</v>
      </c>
      <c r="M751" s="8">
        <v>2501198872.3799996</v>
      </c>
      <c r="N751" s="8">
        <v>18.399999999999999</v>
      </c>
      <c r="O751" s="8" t="str">
        <f>vw_scenario_analysis_dataset[[#This Row],[reporter_name]] &amp; "-" &amp; vw_scenario_analysis_dataset[[#This Row],[reference_year]]</f>
        <v>Jamaica-2021</v>
      </c>
    </row>
    <row r="752" spans="1:15" x14ac:dyDescent="0.3">
      <c r="A752" s="8" t="s">
        <v>182</v>
      </c>
      <c r="B752" s="8" t="s">
        <v>183</v>
      </c>
      <c r="C752" s="8">
        <v>2022</v>
      </c>
      <c r="D752" s="8">
        <v>3802831637.8600001</v>
      </c>
      <c r="E752" s="8">
        <v>18813516805</v>
      </c>
      <c r="F752" s="8">
        <v>2839144</v>
      </c>
      <c r="G752" s="8">
        <v>6.4393032369999998</v>
      </c>
      <c r="H752" s="8"/>
      <c r="I752" s="8">
        <v>1339.43</v>
      </c>
      <c r="J752" s="8">
        <v>6626.48</v>
      </c>
      <c r="K752" s="8">
        <v>20.21</v>
      </c>
      <c r="L752" s="8">
        <v>123</v>
      </c>
      <c r="M752" s="8">
        <v>2961419733.3799996</v>
      </c>
      <c r="N752" s="8">
        <v>28.41</v>
      </c>
      <c r="O752" s="8" t="str">
        <f>vw_scenario_analysis_dataset[[#This Row],[reporter_name]] &amp; "-" &amp; vw_scenario_analysis_dataset[[#This Row],[reference_year]]</f>
        <v>Jamaica-2022</v>
      </c>
    </row>
    <row r="753" spans="1:15" x14ac:dyDescent="0.3">
      <c r="A753" s="8" t="s">
        <v>182</v>
      </c>
      <c r="B753" s="8" t="s">
        <v>183</v>
      </c>
      <c r="C753" s="8">
        <v>2023</v>
      </c>
      <c r="D753" s="8">
        <v>4003604433.5399995</v>
      </c>
      <c r="E753" s="8">
        <v>21418797833</v>
      </c>
      <c r="F753" s="8">
        <v>2839786</v>
      </c>
      <c r="G753" s="8">
        <v>2.7463443390000002</v>
      </c>
      <c r="H753" s="8"/>
      <c r="I753" s="8">
        <v>1409.83</v>
      </c>
      <c r="J753" s="8">
        <v>7542.4</v>
      </c>
      <c r="K753" s="8">
        <v>18.690000000000001</v>
      </c>
      <c r="L753" s="8">
        <v>121</v>
      </c>
      <c r="M753" s="8">
        <v>3802831637.8600001</v>
      </c>
      <c r="N753" s="8">
        <v>5.28</v>
      </c>
      <c r="O753" s="8" t="str">
        <f>vw_scenario_analysis_dataset[[#This Row],[reporter_name]] &amp; "-" &amp; vw_scenario_analysis_dataset[[#This Row],[reference_year]]</f>
        <v>Jamaica-2023</v>
      </c>
    </row>
    <row r="754" spans="1:15" x14ac:dyDescent="0.3">
      <c r="A754" s="8" t="s">
        <v>182</v>
      </c>
      <c r="B754" s="8" t="s">
        <v>183</v>
      </c>
      <c r="C754" s="8">
        <v>2024</v>
      </c>
      <c r="D754" s="8">
        <v>3813812872</v>
      </c>
      <c r="E754" s="8">
        <v>22014429051</v>
      </c>
      <c r="F754" s="8">
        <v>2839175</v>
      </c>
      <c r="G754" s="8">
        <v>-0.53503906400000001</v>
      </c>
      <c r="H754" s="8"/>
      <c r="I754" s="8">
        <v>1343.28</v>
      </c>
      <c r="J754" s="8">
        <v>7753.81</v>
      </c>
      <c r="K754" s="8">
        <v>17.32</v>
      </c>
      <c r="L754" s="8">
        <v>105</v>
      </c>
      <c r="M754" s="8">
        <v>4003604433.5399995</v>
      </c>
      <c r="N754" s="8">
        <v>-4.74</v>
      </c>
      <c r="O754" s="8" t="str">
        <f>vw_scenario_analysis_dataset[[#This Row],[reporter_name]] &amp; "-" &amp; vw_scenario_analysis_dataset[[#This Row],[reference_year]]</f>
        <v>Jamaica-2024</v>
      </c>
    </row>
    <row r="755" spans="1:15" x14ac:dyDescent="0.3">
      <c r="A755" s="8" t="s">
        <v>184</v>
      </c>
      <c r="B755" s="8" t="s">
        <v>185</v>
      </c>
      <c r="C755" s="8">
        <v>2015</v>
      </c>
      <c r="D755" s="8">
        <v>15665953191</v>
      </c>
      <c r="E755" s="8">
        <v>42394049296</v>
      </c>
      <c r="F755" s="8">
        <v>9544729</v>
      </c>
      <c r="G755" s="8">
        <v>2.522616711</v>
      </c>
      <c r="H755" s="8"/>
      <c r="I755" s="8">
        <v>1641.32</v>
      </c>
      <c r="J755" s="8">
        <v>4441.62</v>
      </c>
      <c r="K755" s="8">
        <v>36.950000000000003</v>
      </c>
      <c r="L755" s="8">
        <v>87</v>
      </c>
      <c r="M755" s="8"/>
      <c r="N755" s="8"/>
      <c r="O755" s="8" t="str">
        <f>vw_scenario_analysis_dataset[[#This Row],[reporter_name]] &amp; "-" &amp; vw_scenario_analysis_dataset[[#This Row],[reference_year]]</f>
        <v>Jordan-2015</v>
      </c>
    </row>
    <row r="756" spans="1:15" x14ac:dyDescent="0.3">
      <c r="A756" s="8" t="s">
        <v>184</v>
      </c>
      <c r="B756" s="8" t="s">
        <v>185</v>
      </c>
      <c r="C756" s="8">
        <v>2016</v>
      </c>
      <c r="D756" s="8">
        <v>15018165042</v>
      </c>
      <c r="E756" s="8">
        <v>43688498732</v>
      </c>
      <c r="F756" s="8">
        <v>10006367</v>
      </c>
      <c r="G756" s="8">
        <v>2.1116680699999999</v>
      </c>
      <c r="H756" s="8"/>
      <c r="I756" s="8">
        <v>1500.86</v>
      </c>
      <c r="J756" s="8">
        <v>4366.07</v>
      </c>
      <c r="K756" s="8">
        <v>34.380000000000003</v>
      </c>
      <c r="L756" s="8">
        <v>86</v>
      </c>
      <c r="M756" s="8">
        <v>15665953191</v>
      </c>
      <c r="N756" s="8">
        <v>-4.1399999999999997</v>
      </c>
      <c r="O756" s="8" t="str">
        <f>vw_scenario_analysis_dataset[[#This Row],[reporter_name]] &amp; "-" &amp; vw_scenario_analysis_dataset[[#This Row],[reference_year]]</f>
        <v>Jordan-2016</v>
      </c>
    </row>
    <row r="757" spans="1:15" x14ac:dyDescent="0.3">
      <c r="A757" s="8" t="s">
        <v>184</v>
      </c>
      <c r="B757" s="8" t="s">
        <v>185</v>
      </c>
      <c r="C757" s="8">
        <v>2017</v>
      </c>
      <c r="D757" s="8">
        <v>14938476901.555992</v>
      </c>
      <c r="E757" s="8">
        <v>45535614366</v>
      </c>
      <c r="F757" s="8">
        <v>10234226</v>
      </c>
      <c r="G757" s="8">
        <v>2.5077039810000001</v>
      </c>
      <c r="H757" s="8"/>
      <c r="I757" s="8">
        <v>1459.66</v>
      </c>
      <c r="J757" s="8">
        <v>4449.3500000000004</v>
      </c>
      <c r="K757" s="8">
        <v>32.81</v>
      </c>
      <c r="L757" s="8">
        <v>89</v>
      </c>
      <c r="M757" s="8">
        <v>15018165042</v>
      </c>
      <c r="N757" s="8">
        <v>-0.53</v>
      </c>
      <c r="O757" s="8" t="str">
        <f>vw_scenario_analysis_dataset[[#This Row],[reporter_name]] &amp; "-" &amp; vw_scenario_analysis_dataset[[#This Row],[reference_year]]</f>
        <v>Jordan-2017</v>
      </c>
    </row>
    <row r="758" spans="1:15" x14ac:dyDescent="0.3">
      <c r="A758" s="8" t="s">
        <v>184</v>
      </c>
      <c r="B758" s="8" t="s">
        <v>185</v>
      </c>
      <c r="C758" s="8">
        <v>2018</v>
      </c>
      <c r="D758" s="8">
        <v>15500525725.537004</v>
      </c>
      <c r="E758" s="8">
        <v>47435850423</v>
      </c>
      <c r="F758" s="8">
        <v>10462306</v>
      </c>
      <c r="G758" s="8">
        <v>1.853834156</v>
      </c>
      <c r="H758" s="8"/>
      <c r="I758" s="8">
        <v>1481.56</v>
      </c>
      <c r="J758" s="8">
        <v>4533.9799999999996</v>
      </c>
      <c r="K758" s="8">
        <v>32.68</v>
      </c>
      <c r="L758" s="8">
        <v>87</v>
      </c>
      <c r="M758" s="8">
        <v>14938476901.555992</v>
      </c>
      <c r="N758" s="8">
        <v>3.76</v>
      </c>
      <c r="O758" s="8" t="str">
        <f>vw_scenario_analysis_dataset[[#This Row],[reporter_name]] &amp; "-" &amp; vw_scenario_analysis_dataset[[#This Row],[reference_year]]</f>
        <v>Jordan-2018</v>
      </c>
    </row>
    <row r="759" spans="1:15" x14ac:dyDescent="0.3">
      <c r="A759" s="8" t="s">
        <v>184</v>
      </c>
      <c r="B759" s="8" t="s">
        <v>185</v>
      </c>
      <c r="C759" s="8">
        <v>2019</v>
      </c>
      <c r="D759" s="8">
        <v>16625833122.412003</v>
      </c>
      <c r="E759" s="8">
        <v>48640273803</v>
      </c>
      <c r="F759" s="8">
        <v>10671891</v>
      </c>
      <c r="G759" s="8">
        <v>1.8563300659999999</v>
      </c>
      <c r="H759" s="8"/>
      <c r="I759" s="8">
        <v>1557.91</v>
      </c>
      <c r="J759" s="8">
        <v>4557.79</v>
      </c>
      <c r="K759" s="8">
        <v>34.18</v>
      </c>
      <c r="L759" s="8">
        <v>83</v>
      </c>
      <c r="M759" s="8">
        <v>15500525725.537004</v>
      </c>
      <c r="N759" s="8">
        <v>7.26</v>
      </c>
      <c r="O759" s="8" t="str">
        <f>vw_scenario_analysis_dataset[[#This Row],[reporter_name]] &amp; "-" &amp; vw_scenario_analysis_dataset[[#This Row],[reference_year]]</f>
        <v>Jordan-2019</v>
      </c>
    </row>
    <row r="760" spans="1:15" x14ac:dyDescent="0.3">
      <c r="A760" s="8" t="s">
        <v>184</v>
      </c>
      <c r="B760" s="8" t="s">
        <v>185</v>
      </c>
      <c r="C760" s="8">
        <v>2020</v>
      </c>
      <c r="D760" s="8">
        <v>15886489547.421</v>
      </c>
      <c r="E760" s="8">
        <v>47931770986</v>
      </c>
      <c r="F760" s="8">
        <v>10865228</v>
      </c>
      <c r="G760" s="8">
        <v>-1.152575342</v>
      </c>
      <c r="H760" s="8"/>
      <c r="I760" s="8">
        <v>1462.14</v>
      </c>
      <c r="J760" s="8">
        <v>4411.4799999999996</v>
      </c>
      <c r="K760" s="8">
        <v>33.14</v>
      </c>
      <c r="L760" s="8">
        <v>81</v>
      </c>
      <c r="M760" s="8">
        <v>16625833122.412003</v>
      </c>
      <c r="N760" s="8">
        <v>-4.45</v>
      </c>
      <c r="O760" s="8" t="str">
        <f>vw_scenario_analysis_dataset[[#This Row],[reporter_name]] &amp; "-" &amp; vw_scenario_analysis_dataset[[#This Row],[reference_year]]</f>
        <v>Jordan-2020</v>
      </c>
    </row>
    <row r="761" spans="1:15" x14ac:dyDescent="0.3">
      <c r="A761" s="8" t="s">
        <v>184</v>
      </c>
      <c r="B761" s="8" t="s">
        <v>185</v>
      </c>
      <c r="C761" s="8">
        <v>2021</v>
      </c>
      <c r="D761" s="8">
        <v>18713100040.989006</v>
      </c>
      <c r="E761" s="8">
        <v>50702940986</v>
      </c>
      <c r="F761" s="8">
        <v>11066356</v>
      </c>
      <c r="G761" s="8">
        <v>3.7520127680000002</v>
      </c>
      <c r="H761" s="8"/>
      <c r="I761" s="8">
        <v>1690.99</v>
      </c>
      <c r="J761" s="8">
        <v>4581.72</v>
      </c>
      <c r="K761" s="8">
        <v>36.909999999999997</v>
      </c>
      <c r="L761" s="8">
        <v>85</v>
      </c>
      <c r="M761" s="8">
        <v>15886489547.421</v>
      </c>
      <c r="N761" s="8">
        <v>17.79</v>
      </c>
      <c r="O761" s="8" t="str">
        <f>vw_scenario_analysis_dataset[[#This Row],[reporter_name]] &amp; "-" &amp; vw_scenario_analysis_dataset[[#This Row],[reference_year]]</f>
        <v>Jordan-2021</v>
      </c>
    </row>
    <row r="762" spans="1:15" x14ac:dyDescent="0.3">
      <c r="A762" s="8" t="s">
        <v>184</v>
      </c>
      <c r="B762" s="8" t="s">
        <v>185</v>
      </c>
      <c r="C762" s="8">
        <v>2022</v>
      </c>
      <c r="D762" s="8">
        <v>25559613284.990009</v>
      </c>
      <c r="E762" s="8">
        <v>53516930141</v>
      </c>
      <c r="F762" s="8">
        <v>11256263</v>
      </c>
      <c r="G762" s="8">
        <v>2.7468615449999998</v>
      </c>
      <c r="H762" s="8"/>
      <c r="I762" s="8">
        <v>2270.6999999999998</v>
      </c>
      <c r="J762" s="8">
        <v>4754.41</v>
      </c>
      <c r="K762" s="8">
        <v>47.76</v>
      </c>
      <c r="L762" s="8">
        <v>79</v>
      </c>
      <c r="M762" s="8">
        <v>18713100040.989006</v>
      </c>
      <c r="N762" s="8">
        <v>36.590000000000003</v>
      </c>
      <c r="O762" s="8" t="str">
        <f>vw_scenario_analysis_dataset[[#This Row],[reporter_name]] &amp; "-" &amp; vw_scenario_analysis_dataset[[#This Row],[reference_year]]</f>
        <v>Jordan-2022</v>
      </c>
    </row>
    <row r="763" spans="1:15" x14ac:dyDescent="0.3">
      <c r="A763" s="8" t="s">
        <v>184</v>
      </c>
      <c r="B763" s="8" t="s">
        <v>185</v>
      </c>
      <c r="C763" s="8">
        <v>2023</v>
      </c>
      <c r="D763" s="8">
        <v>25179130975.640995</v>
      </c>
      <c r="E763" s="8">
        <v>56123472113</v>
      </c>
      <c r="F763" s="8">
        <v>11439213</v>
      </c>
      <c r="G763" s="8">
        <v>3.12900102</v>
      </c>
      <c r="H763" s="8"/>
      <c r="I763" s="8">
        <v>2201.12</v>
      </c>
      <c r="J763" s="8">
        <v>4906.24</v>
      </c>
      <c r="K763" s="8">
        <v>44.86</v>
      </c>
      <c r="L763" s="8">
        <v>75</v>
      </c>
      <c r="M763" s="8">
        <v>25559613284.990009</v>
      </c>
      <c r="N763" s="8">
        <v>-1.49</v>
      </c>
      <c r="O763" s="8" t="str">
        <f>vw_scenario_analysis_dataset[[#This Row],[reporter_name]] &amp; "-" &amp; vw_scenario_analysis_dataset[[#This Row],[reference_year]]</f>
        <v>Jordan-2023</v>
      </c>
    </row>
    <row r="764" spans="1:15" x14ac:dyDescent="0.3">
      <c r="A764" s="8" t="s">
        <v>184</v>
      </c>
      <c r="B764" s="8" t="s">
        <v>185</v>
      </c>
      <c r="C764" s="8">
        <v>2024</v>
      </c>
      <c r="D764" s="8">
        <v>26565496416.442993</v>
      </c>
      <c r="E764" s="8">
        <v>58618380563</v>
      </c>
      <c r="F764" s="8">
        <v>11552876</v>
      </c>
      <c r="G764" s="8">
        <v>2.5560589180000002</v>
      </c>
      <c r="H764" s="8"/>
      <c r="I764" s="8">
        <v>2299.4699999999998</v>
      </c>
      <c r="J764" s="8">
        <v>5073.92</v>
      </c>
      <c r="K764" s="8">
        <v>45.32</v>
      </c>
      <c r="L764" s="8">
        <v>71</v>
      </c>
      <c r="M764" s="8">
        <v>25179130975.640995</v>
      </c>
      <c r="N764" s="8">
        <v>5.51</v>
      </c>
      <c r="O764" s="8" t="str">
        <f>vw_scenario_analysis_dataset[[#This Row],[reporter_name]] &amp; "-" &amp; vw_scenario_analysis_dataset[[#This Row],[reference_year]]</f>
        <v>Jordan-2024</v>
      </c>
    </row>
    <row r="765" spans="1:15" x14ac:dyDescent="0.3">
      <c r="A765" s="8" t="s">
        <v>186</v>
      </c>
      <c r="B765" s="8" t="s">
        <v>187</v>
      </c>
      <c r="C765" s="8">
        <v>2015</v>
      </c>
      <c r="D765" s="8">
        <v>1249747016237</v>
      </c>
      <c r="E765" s="8">
        <v>4530000000000</v>
      </c>
      <c r="F765" s="8">
        <v>127141000</v>
      </c>
      <c r="G765" s="8">
        <v>1.799977358</v>
      </c>
      <c r="H765" s="8">
        <v>34.727630589999997</v>
      </c>
      <c r="I765" s="8">
        <v>9829.61</v>
      </c>
      <c r="J765" s="8">
        <v>35629.730000000003</v>
      </c>
      <c r="K765" s="8">
        <v>27.59</v>
      </c>
      <c r="L765" s="8">
        <v>3</v>
      </c>
      <c r="M765" s="8"/>
      <c r="N765" s="8"/>
      <c r="O765" s="8" t="str">
        <f>vw_scenario_analysis_dataset[[#This Row],[reporter_name]] &amp; "-" &amp; vw_scenario_analysis_dataset[[#This Row],[reference_year]]</f>
        <v>Japan-2015</v>
      </c>
    </row>
    <row r="766" spans="1:15" x14ac:dyDescent="0.3">
      <c r="A766" s="8" t="s">
        <v>186</v>
      </c>
      <c r="B766" s="8" t="s">
        <v>187</v>
      </c>
      <c r="C766" s="8">
        <v>2016</v>
      </c>
      <c r="D766" s="8">
        <v>1289864878996</v>
      </c>
      <c r="E766" s="8">
        <v>5110000000000</v>
      </c>
      <c r="F766" s="8">
        <v>127076000</v>
      </c>
      <c r="G766" s="8">
        <v>0.70498649499999999</v>
      </c>
      <c r="H766" s="8">
        <v>30.656279309999999</v>
      </c>
      <c r="I766" s="8">
        <v>10150.34</v>
      </c>
      <c r="J766" s="8">
        <v>40212.160000000003</v>
      </c>
      <c r="K766" s="8">
        <v>25.24</v>
      </c>
      <c r="L766" s="8">
        <v>3</v>
      </c>
      <c r="M766" s="8">
        <v>1249747016237</v>
      </c>
      <c r="N766" s="8">
        <v>3.21</v>
      </c>
      <c r="O766" s="8" t="str">
        <f>vw_scenario_analysis_dataset[[#This Row],[reporter_name]] &amp; "-" &amp; vw_scenario_analysis_dataset[[#This Row],[reference_year]]</f>
        <v>Japan-2016</v>
      </c>
    </row>
    <row r="767" spans="1:15" x14ac:dyDescent="0.3">
      <c r="A767" s="8" t="s">
        <v>186</v>
      </c>
      <c r="B767" s="8" t="s">
        <v>187</v>
      </c>
      <c r="C767" s="8">
        <v>2017</v>
      </c>
      <c r="D767" s="8">
        <v>1396262447388.1907</v>
      </c>
      <c r="E767" s="8">
        <v>5040000000000</v>
      </c>
      <c r="F767" s="8">
        <v>126972000</v>
      </c>
      <c r="G767" s="8">
        <v>1.623450622</v>
      </c>
      <c r="H767" s="8">
        <v>33.688833680000002</v>
      </c>
      <c r="I767" s="8">
        <v>10996.62</v>
      </c>
      <c r="J767" s="8">
        <v>39693.79</v>
      </c>
      <c r="K767" s="8">
        <v>27.7</v>
      </c>
      <c r="L767" s="8">
        <v>3</v>
      </c>
      <c r="M767" s="8">
        <v>1289864878996</v>
      </c>
      <c r="N767" s="8">
        <v>8.25</v>
      </c>
      <c r="O767" s="8" t="str">
        <f>vw_scenario_analysis_dataset[[#This Row],[reporter_name]] &amp; "-" &amp; vw_scenario_analysis_dataset[[#This Row],[reference_year]]</f>
        <v>Japan-2017</v>
      </c>
    </row>
    <row r="768" spans="1:15" x14ac:dyDescent="0.3">
      <c r="A768" s="8" t="s">
        <v>186</v>
      </c>
      <c r="B768" s="8" t="s">
        <v>187</v>
      </c>
      <c r="C768" s="8">
        <v>2018</v>
      </c>
      <c r="D768" s="8">
        <v>1476390109727.7246</v>
      </c>
      <c r="E768" s="8">
        <v>5150000000000</v>
      </c>
      <c r="F768" s="8">
        <v>126811000</v>
      </c>
      <c r="G768" s="8">
        <v>0.83414384600000002</v>
      </c>
      <c r="H768" s="8">
        <v>35.803574959999999</v>
      </c>
      <c r="I768" s="8">
        <v>11642.45</v>
      </c>
      <c r="J768" s="8">
        <v>40611.620000000003</v>
      </c>
      <c r="K768" s="8">
        <v>28.67</v>
      </c>
      <c r="L768" s="8">
        <v>3</v>
      </c>
      <c r="M768" s="8">
        <v>1396262447388.1907</v>
      </c>
      <c r="N768" s="8">
        <v>5.74</v>
      </c>
      <c r="O768" s="8" t="str">
        <f>vw_scenario_analysis_dataset[[#This Row],[reporter_name]] &amp; "-" &amp; vw_scenario_analysis_dataset[[#This Row],[reference_year]]</f>
        <v>Japan-2018</v>
      </c>
    </row>
    <row r="769" spans="1:15" x14ac:dyDescent="0.3">
      <c r="A769" s="8" t="s">
        <v>186</v>
      </c>
      <c r="B769" s="8" t="s">
        <v>187</v>
      </c>
      <c r="C769" s="8">
        <v>2019</v>
      </c>
      <c r="D769" s="8">
        <v>1411342165531.6465</v>
      </c>
      <c r="E769" s="8">
        <v>5250000000000</v>
      </c>
      <c r="F769" s="8">
        <v>126633000</v>
      </c>
      <c r="G769" s="8">
        <v>-0.30849692099999998</v>
      </c>
      <c r="H769" s="8">
        <v>34.358297280000002</v>
      </c>
      <c r="I769" s="8">
        <v>11145.14</v>
      </c>
      <c r="J769" s="8">
        <v>41458.39</v>
      </c>
      <c r="K769" s="8">
        <v>26.88</v>
      </c>
      <c r="L769" s="8">
        <v>3</v>
      </c>
      <c r="M769" s="8">
        <v>1476390109727.7246</v>
      </c>
      <c r="N769" s="8">
        <v>-4.41</v>
      </c>
      <c r="O769" s="8" t="str">
        <f>vw_scenario_analysis_dataset[[#This Row],[reporter_name]] &amp; "-" &amp; vw_scenario_analysis_dataset[[#This Row],[reference_year]]</f>
        <v>Japan-2019</v>
      </c>
    </row>
    <row r="770" spans="1:15" x14ac:dyDescent="0.3">
      <c r="A770" s="8" t="s">
        <v>186</v>
      </c>
      <c r="B770" s="8" t="s">
        <v>187</v>
      </c>
      <c r="C770" s="8">
        <v>2020</v>
      </c>
      <c r="D770" s="8">
        <v>1282565136714.4644</v>
      </c>
      <c r="E770" s="8">
        <v>5190000000000</v>
      </c>
      <c r="F770" s="8">
        <v>126261000</v>
      </c>
      <c r="G770" s="8">
        <v>-4.2832794270000001</v>
      </c>
      <c r="H770" s="8">
        <v>30.519222689999999</v>
      </c>
      <c r="I770" s="8">
        <v>10158.049999999999</v>
      </c>
      <c r="J770" s="8">
        <v>41105.33</v>
      </c>
      <c r="K770" s="8">
        <v>24.71</v>
      </c>
      <c r="L770" s="8">
        <v>3</v>
      </c>
      <c r="M770" s="8">
        <v>1411342165531.6465</v>
      </c>
      <c r="N770" s="8">
        <v>-9.1199999999999992</v>
      </c>
      <c r="O770" s="8" t="str">
        <f>vw_scenario_analysis_dataset[[#This Row],[reporter_name]] &amp; "-" &amp; vw_scenario_analysis_dataset[[#This Row],[reference_year]]</f>
        <v>Japan-2020</v>
      </c>
    </row>
    <row r="771" spans="1:15" x14ac:dyDescent="0.3">
      <c r="A771" s="8" t="s">
        <v>186</v>
      </c>
      <c r="B771" s="8" t="s">
        <v>187</v>
      </c>
      <c r="C771" s="8">
        <v>2021</v>
      </c>
      <c r="D771" s="8">
        <v>1514132522497.9331</v>
      </c>
      <c r="E771" s="8">
        <v>5230000000000</v>
      </c>
      <c r="F771" s="8">
        <v>125681593</v>
      </c>
      <c r="G771" s="8">
        <v>3.5641953150000001</v>
      </c>
      <c r="H771" s="8">
        <v>35.425392729999999</v>
      </c>
      <c r="I771" s="8">
        <v>12047.37</v>
      </c>
      <c r="J771" s="8">
        <v>41613.089999999997</v>
      </c>
      <c r="K771" s="8">
        <v>28.95</v>
      </c>
      <c r="L771" s="8">
        <v>3</v>
      </c>
      <c r="M771" s="8">
        <v>1282565136714.4644</v>
      </c>
      <c r="N771" s="8">
        <v>18.059999999999999</v>
      </c>
      <c r="O771" s="8" t="str">
        <f>vw_scenario_analysis_dataset[[#This Row],[reporter_name]] &amp; "-" &amp; vw_scenario_analysis_dataset[[#This Row],[reference_year]]</f>
        <v>Japan-2021</v>
      </c>
    </row>
    <row r="772" spans="1:15" x14ac:dyDescent="0.3">
      <c r="A772" s="8" t="s">
        <v>186</v>
      </c>
      <c r="B772" s="8" t="s">
        <v>187</v>
      </c>
      <c r="C772" s="8">
        <v>2022</v>
      </c>
      <c r="D772" s="8">
        <v>1493344193163.0459</v>
      </c>
      <c r="E772" s="8">
        <v>4450000000000</v>
      </c>
      <c r="F772" s="8">
        <v>125124989</v>
      </c>
      <c r="G772" s="8">
        <v>1.331647507</v>
      </c>
      <c r="H772" s="8">
        <v>44.86063102</v>
      </c>
      <c r="I772" s="8">
        <v>11934.82</v>
      </c>
      <c r="J772" s="8">
        <v>35564.44</v>
      </c>
      <c r="K772" s="8">
        <v>33.56</v>
      </c>
      <c r="L772" s="8">
        <v>4</v>
      </c>
      <c r="M772" s="8">
        <v>1514132522497.9331</v>
      </c>
      <c r="N772" s="8">
        <v>-1.37</v>
      </c>
      <c r="O772" s="8" t="str">
        <f>vw_scenario_analysis_dataset[[#This Row],[reporter_name]] &amp; "-" &amp; vw_scenario_analysis_dataset[[#This Row],[reference_year]]</f>
        <v>Japan-2022</v>
      </c>
    </row>
    <row r="773" spans="1:15" x14ac:dyDescent="0.3">
      <c r="A773" s="8" t="s">
        <v>186</v>
      </c>
      <c r="B773" s="8" t="s">
        <v>187</v>
      </c>
      <c r="C773" s="8">
        <v>2023</v>
      </c>
      <c r="D773" s="8">
        <v>1435892784278.2769</v>
      </c>
      <c r="E773" s="8">
        <v>4380000000000</v>
      </c>
      <c r="F773" s="8">
        <v>124516650</v>
      </c>
      <c r="G773" s="8">
        <v>0.72078530500000004</v>
      </c>
      <c r="H773" s="8">
        <v>43.595083379999998</v>
      </c>
      <c r="I773" s="8">
        <v>11531.73</v>
      </c>
      <c r="J773" s="8">
        <v>35176.019999999997</v>
      </c>
      <c r="K773" s="8">
        <v>32.78</v>
      </c>
      <c r="L773" s="8">
        <v>3</v>
      </c>
      <c r="M773" s="8">
        <v>1493344193163.0459</v>
      </c>
      <c r="N773" s="8">
        <v>-3.85</v>
      </c>
      <c r="O773" s="8" t="str">
        <f>vw_scenario_analysis_dataset[[#This Row],[reporter_name]] &amp; "-" &amp; vw_scenario_analysis_dataset[[#This Row],[reference_year]]</f>
        <v>Japan-2023</v>
      </c>
    </row>
    <row r="774" spans="1:15" x14ac:dyDescent="0.3">
      <c r="A774" s="8" t="s">
        <v>186</v>
      </c>
      <c r="B774" s="8" t="s">
        <v>187</v>
      </c>
      <c r="C774" s="8">
        <v>2024</v>
      </c>
      <c r="D774" s="8">
        <v>1414780152487.7585</v>
      </c>
      <c r="E774" s="8">
        <v>4190000000000</v>
      </c>
      <c r="F774" s="8">
        <v>123975371</v>
      </c>
      <c r="G774" s="8">
        <v>-0.24008423600000001</v>
      </c>
      <c r="H774" s="8">
        <v>44.852938860000002</v>
      </c>
      <c r="I774" s="8">
        <v>11411.78</v>
      </c>
      <c r="J774" s="8">
        <v>33797.040000000001</v>
      </c>
      <c r="K774" s="8">
        <v>33.770000000000003</v>
      </c>
      <c r="L774" s="8">
        <v>3</v>
      </c>
      <c r="M774" s="8">
        <v>1435892784278.2769</v>
      </c>
      <c r="N774" s="8">
        <v>-1.47</v>
      </c>
      <c r="O774" s="8" t="str">
        <f>vw_scenario_analysis_dataset[[#This Row],[reporter_name]] &amp; "-" &amp; vw_scenario_analysis_dataset[[#This Row],[reference_year]]</f>
        <v>Japan-2024</v>
      </c>
    </row>
    <row r="775" spans="1:15" x14ac:dyDescent="0.3">
      <c r="A775" s="8" t="s">
        <v>188</v>
      </c>
      <c r="B775" s="8" t="s">
        <v>189</v>
      </c>
      <c r="C775" s="8">
        <v>2015</v>
      </c>
      <c r="D775" s="8">
        <v>91908852103</v>
      </c>
      <c r="E775" s="8">
        <v>184000000000</v>
      </c>
      <c r="F775" s="8">
        <v>18084169</v>
      </c>
      <c r="G775" s="8">
        <v>1.200000001</v>
      </c>
      <c r="H775" s="8">
        <v>53.049728809999998</v>
      </c>
      <c r="I775" s="8">
        <v>5082.28</v>
      </c>
      <c r="J775" s="8">
        <v>10174.65</v>
      </c>
      <c r="K775" s="8">
        <v>49.95</v>
      </c>
      <c r="L775" s="8">
        <v>47</v>
      </c>
      <c r="M775" s="8"/>
      <c r="N775" s="8"/>
      <c r="O775" s="8" t="str">
        <f>vw_scenario_analysis_dataset[[#This Row],[reporter_name]] &amp; "-" &amp; vw_scenario_analysis_dataset[[#This Row],[reference_year]]</f>
        <v>Kazakhstan-2015</v>
      </c>
    </row>
    <row r="776" spans="1:15" x14ac:dyDescent="0.3">
      <c r="A776" s="8" t="s">
        <v>188</v>
      </c>
      <c r="B776" s="8" t="s">
        <v>189</v>
      </c>
      <c r="C776" s="8">
        <v>2016</v>
      </c>
      <c r="D776" s="8">
        <v>73550646805</v>
      </c>
      <c r="E776" s="8">
        <v>137000000000</v>
      </c>
      <c r="F776" s="8">
        <v>18363600</v>
      </c>
      <c r="G776" s="8">
        <v>1.099999999</v>
      </c>
      <c r="H776" s="8">
        <v>60.311596590000001</v>
      </c>
      <c r="I776" s="8">
        <v>4005.24</v>
      </c>
      <c r="J776" s="8">
        <v>7460.41</v>
      </c>
      <c r="K776" s="8">
        <v>53.69</v>
      </c>
      <c r="L776" s="8">
        <v>46</v>
      </c>
      <c r="M776" s="8">
        <v>91908852103</v>
      </c>
      <c r="N776" s="8">
        <v>-19.97</v>
      </c>
      <c r="O776" s="8" t="str">
        <f>vw_scenario_analysis_dataset[[#This Row],[reporter_name]] &amp; "-" &amp; vw_scenario_analysis_dataset[[#This Row],[reference_year]]</f>
        <v>Kazakhstan-2016</v>
      </c>
    </row>
    <row r="777" spans="1:15" x14ac:dyDescent="0.3">
      <c r="A777" s="8" t="s">
        <v>188</v>
      </c>
      <c r="B777" s="8" t="s">
        <v>189</v>
      </c>
      <c r="C777" s="8">
        <v>2017</v>
      </c>
      <c r="D777" s="8">
        <v>97005477916.220016</v>
      </c>
      <c r="E777" s="8">
        <v>167000000000</v>
      </c>
      <c r="F777" s="8">
        <v>18651931</v>
      </c>
      <c r="G777" s="8">
        <v>4.1000000029999999</v>
      </c>
      <c r="H777" s="8">
        <v>56.825387939999999</v>
      </c>
      <c r="I777" s="8">
        <v>5200.83</v>
      </c>
      <c r="J777" s="8">
        <v>8953.5</v>
      </c>
      <c r="K777" s="8">
        <v>58.09</v>
      </c>
      <c r="L777" s="8">
        <v>45</v>
      </c>
      <c r="M777" s="8">
        <v>73550646805</v>
      </c>
      <c r="N777" s="8">
        <v>31.89</v>
      </c>
      <c r="O777" s="8" t="str">
        <f>vw_scenario_analysis_dataset[[#This Row],[reporter_name]] &amp; "-" &amp; vw_scenario_analysis_dataset[[#This Row],[reference_year]]</f>
        <v>Kazakhstan-2017</v>
      </c>
    </row>
    <row r="778" spans="1:15" x14ac:dyDescent="0.3">
      <c r="A778" s="8" t="s">
        <v>188</v>
      </c>
      <c r="B778" s="8" t="s">
        <v>189</v>
      </c>
      <c r="C778" s="8">
        <v>2018</v>
      </c>
      <c r="D778" s="8">
        <v>122216589178.44002</v>
      </c>
      <c r="E778" s="8">
        <v>179000000000</v>
      </c>
      <c r="F778" s="8">
        <v>18932727</v>
      </c>
      <c r="G778" s="8">
        <v>4.099999993</v>
      </c>
      <c r="H778" s="8">
        <v>63.527956510000003</v>
      </c>
      <c r="I778" s="8">
        <v>6455.31</v>
      </c>
      <c r="J778" s="8">
        <v>9454.5300000000007</v>
      </c>
      <c r="K778" s="8">
        <v>68.28</v>
      </c>
      <c r="L778" s="8">
        <v>46</v>
      </c>
      <c r="M778" s="8">
        <v>97005477916.220016</v>
      </c>
      <c r="N778" s="8">
        <v>25.99</v>
      </c>
      <c r="O778" s="8" t="str">
        <f>vw_scenario_analysis_dataset[[#This Row],[reporter_name]] &amp; "-" &amp; vw_scenario_analysis_dataset[[#This Row],[reference_year]]</f>
        <v>Kazakhstan-2018</v>
      </c>
    </row>
    <row r="779" spans="1:15" x14ac:dyDescent="0.3">
      <c r="A779" s="8" t="s">
        <v>188</v>
      </c>
      <c r="B779" s="8" t="s">
        <v>189</v>
      </c>
      <c r="C779" s="8">
        <v>2019</v>
      </c>
      <c r="D779" s="8">
        <v>116130497497.48003</v>
      </c>
      <c r="E779" s="8">
        <v>182000000000</v>
      </c>
      <c r="F779" s="8">
        <v>19209555</v>
      </c>
      <c r="G779" s="8">
        <v>4.5000000010000001</v>
      </c>
      <c r="H779" s="8">
        <v>64.858616549999994</v>
      </c>
      <c r="I779" s="8">
        <v>6045.45</v>
      </c>
      <c r="J779" s="8">
        <v>9474.4500000000007</v>
      </c>
      <c r="K779" s="8">
        <v>63.81</v>
      </c>
      <c r="L779" s="8">
        <v>44</v>
      </c>
      <c r="M779" s="8">
        <v>122216589178.44002</v>
      </c>
      <c r="N779" s="8">
        <v>-4.9800000000000004</v>
      </c>
      <c r="O779" s="8" t="str">
        <f>vw_scenario_analysis_dataset[[#This Row],[reporter_name]] &amp; "-" &amp; vw_scenario_analysis_dataset[[#This Row],[reference_year]]</f>
        <v>Kazakhstan-2019</v>
      </c>
    </row>
    <row r="780" spans="1:15" x14ac:dyDescent="0.3">
      <c r="A780" s="8" t="s">
        <v>188</v>
      </c>
      <c r="B780" s="8" t="s">
        <v>189</v>
      </c>
      <c r="C780" s="8">
        <v>2020</v>
      </c>
      <c r="D780" s="8">
        <v>83748773420.184006</v>
      </c>
      <c r="E780" s="8">
        <v>171000000000</v>
      </c>
      <c r="F780" s="8">
        <v>19482117</v>
      </c>
      <c r="G780" s="8">
        <v>-2.4999999960000001</v>
      </c>
      <c r="H780" s="8">
        <v>57.026442369999998</v>
      </c>
      <c r="I780" s="8">
        <v>4298.75</v>
      </c>
      <c r="J780" s="8">
        <v>8777.2800000000007</v>
      </c>
      <c r="K780" s="8">
        <v>48.98</v>
      </c>
      <c r="L780" s="8">
        <v>44</v>
      </c>
      <c r="M780" s="8">
        <v>116130497497.48003</v>
      </c>
      <c r="N780" s="8">
        <v>-27.88</v>
      </c>
      <c r="O780" s="8" t="str">
        <f>vw_scenario_analysis_dataset[[#This Row],[reporter_name]] &amp; "-" &amp; vw_scenario_analysis_dataset[[#This Row],[reference_year]]</f>
        <v>Kazakhstan-2020</v>
      </c>
    </row>
    <row r="781" spans="1:15" x14ac:dyDescent="0.3">
      <c r="A781" s="8" t="s">
        <v>188</v>
      </c>
      <c r="B781" s="8" t="s">
        <v>189</v>
      </c>
      <c r="C781" s="8">
        <v>2021</v>
      </c>
      <c r="D781" s="8">
        <v>106137518582.18399</v>
      </c>
      <c r="E781" s="8">
        <v>197000000000</v>
      </c>
      <c r="F781" s="8">
        <v>19743603</v>
      </c>
      <c r="G781" s="8">
        <v>4.2999999969999996</v>
      </c>
      <c r="H781" s="8">
        <v>58.668608579999997</v>
      </c>
      <c r="I781" s="8">
        <v>5375.79</v>
      </c>
      <c r="J781" s="8">
        <v>9977.92</v>
      </c>
      <c r="K781" s="8">
        <v>53.88</v>
      </c>
      <c r="L781" s="8">
        <v>47</v>
      </c>
      <c r="M781" s="8">
        <v>83748773420.184006</v>
      </c>
      <c r="N781" s="8">
        <v>26.73</v>
      </c>
      <c r="O781" s="8" t="str">
        <f>vw_scenario_analysis_dataset[[#This Row],[reporter_name]] &amp; "-" &amp; vw_scenario_analysis_dataset[[#This Row],[reference_year]]</f>
        <v>Kazakhstan-2021</v>
      </c>
    </row>
    <row r="782" spans="1:15" x14ac:dyDescent="0.3">
      <c r="A782" s="8" t="s">
        <v>188</v>
      </c>
      <c r="B782" s="8" t="s">
        <v>189</v>
      </c>
      <c r="C782" s="8">
        <v>2022</v>
      </c>
      <c r="D782" s="8">
        <v>152279609946.46799</v>
      </c>
      <c r="E782" s="8">
        <v>225000000000</v>
      </c>
      <c r="F782" s="8">
        <v>20034609</v>
      </c>
      <c r="G782" s="8">
        <v>3.2</v>
      </c>
      <c r="H782" s="8">
        <v>68.334314739999996</v>
      </c>
      <c r="I782" s="8">
        <v>7600.83</v>
      </c>
      <c r="J782" s="8">
        <v>11230.57</v>
      </c>
      <c r="K782" s="8">
        <v>67.680000000000007</v>
      </c>
      <c r="L782" s="8">
        <v>43</v>
      </c>
      <c r="M782" s="8">
        <v>106137518582.18399</v>
      </c>
      <c r="N782" s="8">
        <v>43.47</v>
      </c>
      <c r="O782" s="8" t="str">
        <f>vw_scenario_analysis_dataset[[#This Row],[reporter_name]] &amp; "-" &amp; vw_scenario_analysis_dataset[[#This Row],[reference_year]]</f>
        <v>Kazakhstan-2022</v>
      </c>
    </row>
    <row r="783" spans="1:15" x14ac:dyDescent="0.3">
      <c r="A783" s="8" t="s">
        <v>188</v>
      </c>
      <c r="B783" s="8" t="s">
        <v>189</v>
      </c>
      <c r="C783" s="8">
        <v>2023</v>
      </c>
      <c r="D783" s="8">
        <v>157471181733.84</v>
      </c>
      <c r="E783" s="8">
        <v>262000000000</v>
      </c>
      <c r="F783" s="8">
        <v>20330104</v>
      </c>
      <c r="G783" s="8">
        <v>5.0999999999999996</v>
      </c>
      <c r="H783" s="8">
        <v>62.334283769999999</v>
      </c>
      <c r="I783" s="8">
        <v>7745.71</v>
      </c>
      <c r="J783" s="8">
        <v>12887.29</v>
      </c>
      <c r="K783" s="8">
        <v>60.1</v>
      </c>
      <c r="L783" s="8">
        <v>40</v>
      </c>
      <c r="M783" s="8">
        <v>152279609946.46799</v>
      </c>
      <c r="N783" s="8">
        <v>3.41</v>
      </c>
      <c r="O783" s="8" t="str">
        <f>vw_scenario_analysis_dataset[[#This Row],[reporter_name]] &amp; "-" &amp; vw_scenario_analysis_dataset[[#This Row],[reference_year]]</f>
        <v>Kazakhstan-2023</v>
      </c>
    </row>
    <row r="784" spans="1:15" x14ac:dyDescent="0.3">
      <c r="A784" s="8" t="s">
        <v>188</v>
      </c>
      <c r="B784" s="8" t="s">
        <v>189</v>
      </c>
      <c r="C784" s="8">
        <v>2024</v>
      </c>
      <c r="D784" s="8">
        <v>163225786102.46002</v>
      </c>
      <c r="E784" s="8">
        <v>291000000000</v>
      </c>
      <c r="F784" s="8">
        <v>20592571</v>
      </c>
      <c r="G784" s="8">
        <v>5</v>
      </c>
      <c r="H784" s="8">
        <v>57.161343199999997</v>
      </c>
      <c r="I784" s="8">
        <v>7926.44</v>
      </c>
      <c r="J784" s="8">
        <v>14131.31</v>
      </c>
      <c r="K784" s="8">
        <v>56.09</v>
      </c>
      <c r="L784" s="8">
        <v>36</v>
      </c>
      <c r="M784" s="8">
        <v>157471181733.84</v>
      </c>
      <c r="N784" s="8">
        <v>3.65</v>
      </c>
      <c r="O784" s="8" t="str">
        <f>vw_scenario_analysis_dataset[[#This Row],[reporter_name]] &amp; "-" &amp; vw_scenario_analysis_dataset[[#This Row],[reference_year]]</f>
        <v>Kazakhstan-2024</v>
      </c>
    </row>
    <row r="785" spans="1:15" x14ac:dyDescent="0.3">
      <c r="A785" s="8" t="s">
        <v>190</v>
      </c>
      <c r="B785" s="8" t="s">
        <v>191</v>
      </c>
      <c r="C785" s="8">
        <v>2015</v>
      </c>
      <c r="D785" s="8">
        <v>11813642811.84</v>
      </c>
      <c r="E785" s="8">
        <v>70120446897</v>
      </c>
      <c r="F785" s="8">
        <v>47088526</v>
      </c>
      <c r="G785" s="8">
        <v>4.967721128</v>
      </c>
      <c r="H785" s="8">
        <v>40.327384690000002</v>
      </c>
      <c r="I785" s="8">
        <v>250.88</v>
      </c>
      <c r="J785" s="8">
        <v>1489.12</v>
      </c>
      <c r="K785" s="8">
        <v>16.850000000000001</v>
      </c>
      <c r="L785" s="8">
        <v>92</v>
      </c>
      <c r="M785" s="8"/>
      <c r="N785" s="8"/>
      <c r="O785" s="8" t="str">
        <f>vw_scenario_analysis_dataset[[#This Row],[reporter_name]] &amp; "-" &amp; vw_scenario_analysis_dataset[[#This Row],[reference_year]]</f>
        <v>Kenya-2015</v>
      </c>
    </row>
    <row r="786" spans="1:15" x14ac:dyDescent="0.3">
      <c r="A786" s="8" t="s">
        <v>190</v>
      </c>
      <c r="B786" s="8" t="s">
        <v>191</v>
      </c>
      <c r="C786" s="8">
        <v>2016</v>
      </c>
      <c r="D786" s="8">
        <v>11395118782.479992</v>
      </c>
      <c r="E786" s="8">
        <v>74815144164</v>
      </c>
      <c r="F786" s="8">
        <v>48139687</v>
      </c>
      <c r="G786" s="8">
        <v>4.2135170679999998</v>
      </c>
      <c r="H786" s="8">
        <v>34.865019570000001</v>
      </c>
      <c r="I786" s="8">
        <v>236.71</v>
      </c>
      <c r="J786" s="8">
        <v>1554.13</v>
      </c>
      <c r="K786" s="8">
        <v>15.23</v>
      </c>
      <c r="L786" s="8">
        <v>92</v>
      </c>
      <c r="M786" s="8">
        <v>11813642811.84</v>
      </c>
      <c r="N786" s="8">
        <v>-3.54</v>
      </c>
      <c r="O786" s="8" t="str">
        <f>vw_scenario_analysis_dataset[[#This Row],[reporter_name]] &amp; "-" &amp; vw_scenario_analysis_dataset[[#This Row],[reference_year]]</f>
        <v>Kenya-2016</v>
      </c>
    </row>
    <row r="787" spans="1:15" x14ac:dyDescent="0.3">
      <c r="A787" s="8" t="s">
        <v>190</v>
      </c>
      <c r="B787" s="8" t="s">
        <v>191</v>
      </c>
      <c r="C787" s="8">
        <v>2017</v>
      </c>
      <c r="D787" s="8">
        <v>11494829639.575001</v>
      </c>
      <c r="E787" s="8">
        <v>82036510877</v>
      </c>
      <c r="F787" s="8">
        <v>49197766</v>
      </c>
      <c r="G787" s="8">
        <v>3.8379581740000002</v>
      </c>
      <c r="H787" s="8">
        <v>35.995057879999997</v>
      </c>
      <c r="I787" s="8">
        <v>233.65</v>
      </c>
      <c r="J787" s="8">
        <v>1667.48</v>
      </c>
      <c r="K787" s="8">
        <v>14.01</v>
      </c>
      <c r="L787" s="8">
        <v>95</v>
      </c>
      <c r="M787" s="8">
        <v>11395118782.479992</v>
      </c>
      <c r="N787" s="8">
        <v>0.88</v>
      </c>
      <c r="O787" s="8" t="str">
        <f>vw_scenario_analysis_dataset[[#This Row],[reporter_name]] &amp; "-" &amp; vw_scenario_analysis_dataset[[#This Row],[reference_year]]</f>
        <v>Kenya-2017</v>
      </c>
    </row>
    <row r="788" spans="1:15" x14ac:dyDescent="0.3">
      <c r="A788" s="8" t="s">
        <v>190</v>
      </c>
      <c r="B788" s="8" t="s">
        <v>191</v>
      </c>
      <c r="C788" s="8">
        <v>2018</v>
      </c>
      <c r="D788" s="8">
        <v>12100841364.431</v>
      </c>
      <c r="E788" s="8">
        <v>92202979985</v>
      </c>
      <c r="F788" s="8">
        <v>50207107</v>
      </c>
      <c r="G788" s="8">
        <v>5.6479464070000001</v>
      </c>
      <c r="H788" s="8">
        <v>34.414753179999998</v>
      </c>
      <c r="I788" s="8">
        <v>241.02</v>
      </c>
      <c r="J788" s="8">
        <v>1836.45</v>
      </c>
      <c r="K788" s="8">
        <v>13.12</v>
      </c>
      <c r="L788" s="8">
        <v>95</v>
      </c>
      <c r="M788" s="8">
        <v>11494829639.575001</v>
      </c>
      <c r="N788" s="8">
        <v>5.27</v>
      </c>
      <c r="O788" s="8" t="str">
        <f>vw_scenario_analysis_dataset[[#This Row],[reporter_name]] &amp; "-" &amp; vw_scenario_analysis_dataset[[#This Row],[reference_year]]</f>
        <v>Kenya-2018</v>
      </c>
    </row>
    <row r="789" spans="1:15" x14ac:dyDescent="0.3">
      <c r="A789" s="8" t="s">
        <v>190</v>
      </c>
      <c r="B789" s="8" t="s">
        <v>191</v>
      </c>
      <c r="C789" s="8">
        <v>2019</v>
      </c>
      <c r="D789" s="8">
        <v>11672511947.84</v>
      </c>
      <c r="E789" s="8">
        <v>100000000000</v>
      </c>
      <c r="F789" s="8">
        <v>51202827</v>
      </c>
      <c r="G789" s="8">
        <v>5.1141588579999997</v>
      </c>
      <c r="H789" s="8">
        <v>31.75946184</v>
      </c>
      <c r="I789" s="8">
        <v>227.97</v>
      </c>
      <c r="J789" s="8">
        <v>1953.02</v>
      </c>
      <c r="K789" s="8">
        <v>11.67</v>
      </c>
      <c r="L789" s="8">
        <v>94</v>
      </c>
      <c r="M789" s="8">
        <v>12100841364.431</v>
      </c>
      <c r="N789" s="8">
        <v>-3.54</v>
      </c>
      <c r="O789" s="8" t="str">
        <f>vw_scenario_analysis_dataset[[#This Row],[reporter_name]] &amp; "-" &amp; vw_scenario_analysis_dataset[[#This Row],[reference_year]]</f>
        <v>Kenya-2019</v>
      </c>
    </row>
    <row r="790" spans="1:15" x14ac:dyDescent="0.3">
      <c r="A790" s="8" t="s">
        <v>190</v>
      </c>
      <c r="B790" s="8" t="s">
        <v>191</v>
      </c>
      <c r="C790" s="8">
        <v>2020</v>
      </c>
      <c r="D790" s="8">
        <v>12043909177.396008</v>
      </c>
      <c r="E790" s="8">
        <v>101000000000</v>
      </c>
      <c r="F790" s="8">
        <v>52217334</v>
      </c>
      <c r="G790" s="8">
        <v>-0.27276632699999998</v>
      </c>
      <c r="H790" s="8">
        <v>30.399138780000001</v>
      </c>
      <c r="I790" s="8">
        <v>230.65</v>
      </c>
      <c r="J790" s="8">
        <v>1934.22</v>
      </c>
      <c r="K790" s="8">
        <v>11.92</v>
      </c>
      <c r="L790" s="8">
        <v>91</v>
      </c>
      <c r="M790" s="8">
        <v>11672511947.84</v>
      </c>
      <c r="N790" s="8">
        <v>3.18</v>
      </c>
      <c r="O790" s="8" t="str">
        <f>vw_scenario_analysis_dataset[[#This Row],[reporter_name]] &amp; "-" &amp; vw_scenario_analysis_dataset[[#This Row],[reference_year]]</f>
        <v>Kenya-2020</v>
      </c>
    </row>
    <row r="791" spans="1:15" x14ac:dyDescent="0.3">
      <c r="A791" s="8" t="s">
        <v>190</v>
      </c>
      <c r="B791" s="8" t="s">
        <v>191</v>
      </c>
      <c r="C791" s="8">
        <v>2021</v>
      </c>
      <c r="D791" s="8">
        <v>13502732442.067007</v>
      </c>
      <c r="E791" s="8">
        <v>110000000000</v>
      </c>
      <c r="F791" s="8">
        <v>53219166</v>
      </c>
      <c r="G791" s="8">
        <v>7.5904894729999999</v>
      </c>
      <c r="H791" s="8">
        <v>35.002047779999998</v>
      </c>
      <c r="I791" s="8">
        <v>253.72</v>
      </c>
      <c r="J791" s="8">
        <v>2066.92</v>
      </c>
      <c r="K791" s="8">
        <v>12.28</v>
      </c>
      <c r="L791" s="8">
        <v>94</v>
      </c>
      <c r="M791" s="8">
        <v>12043909177.396008</v>
      </c>
      <c r="N791" s="8">
        <v>12.11</v>
      </c>
      <c r="O791" s="8" t="str">
        <f>vw_scenario_analysis_dataset[[#This Row],[reporter_name]] &amp; "-" &amp; vw_scenario_analysis_dataset[[#This Row],[reference_year]]</f>
        <v>Kenya-2021</v>
      </c>
    </row>
    <row r="792" spans="1:15" x14ac:dyDescent="0.3">
      <c r="A792" s="8" t="s">
        <v>190</v>
      </c>
      <c r="B792" s="8" t="s">
        <v>191</v>
      </c>
      <c r="C792" s="8">
        <v>2022</v>
      </c>
      <c r="D792" s="8">
        <v>14742232989.308996</v>
      </c>
      <c r="E792" s="8">
        <v>114000000000</v>
      </c>
      <c r="F792" s="8">
        <v>54252461</v>
      </c>
      <c r="G792" s="8">
        <v>4.8599810430000003</v>
      </c>
      <c r="H792" s="8">
        <v>40.275323839999999</v>
      </c>
      <c r="I792" s="8">
        <v>271.73</v>
      </c>
      <c r="J792" s="8">
        <v>2101.29</v>
      </c>
      <c r="K792" s="8">
        <v>12.93</v>
      </c>
      <c r="L792" s="8">
        <v>95</v>
      </c>
      <c r="M792" s="8">
        <v>13502732442.067007</v>
      </c>
      <c r="N792" s="8">
        <v>9.18</v>
      </c>
      <c r="O792" s="8" t="str">
        <f>vw_scenario_analysis_dataset[[#This Row],[reporter_name]] &amp; "-" &amp; vw_scenario_analysis_dataset[[#This Row],[reference_year]]</f>
        <v>Kenya-2022</v>
      </c>
    </row>
    <row r="793" spans="1:15" x14ac:dyDescent="0.3">
      <c r="A793" s="8" t="s">
        <v>190</v>
      </c>
      <c r="B793" s="8" t="s">
        <v>191</v>
      </c>
      <c r="C793" s="8">
        <v>2023</v>
      </c>
      <c r="D793" s="8">
        <v>14316218665.541996</v>
      </c>
      <c r="E793" s="8">
        <v>108000000000</v>
      </c>
      <c r="F793" s="8">
        <v>55339003</v>
      </c>
      <c r="G793" s="8">
        <v>5.7199924119999999</v>
      </c>
      <c r="H793" s="8">
        <v>40.93376774</v>
      </c>
      <c r="I793" s="8">
        <v>258.7</v>
      </c>
      <c r="J793" s="8">
        <v>1951.61</v>
      </c>
      <c r="K793" s="8">
        <v>13.26</v>
      </c>
      <c r="L793" s="8">
        <v>96</v>
      </c>
      <c r="M793" s="8">
        <v>14742232989.308996</v>
      </c>
      <c r="N793" s="8">
        <v>-2.89</v>
      </c>
      <c r="O793" s="8" t="str">
        <f>vw_scenario_analysis_dataset[[#This Row],[reporter_name]] &amp; "-" &amp; vw_scenario_analysis_dataset[[#This Row],[reference_year]]</f>
        <v>Kenya-2023</v>
      </c>
    </row>
    <row r="794" spans="1:15" x14ac:dyDescent="0.3">
      <c r="A794" s="8" t="s">
        <v>190</v>
      </c>
      <c r="B794" s="8" t="s">
        <v>191</v>
      </c>
      <c r="C794" s="8">
        <v>2024</v>
      </c>
      <c r="D794" s="8">
        <v>16511594059.942009</v>
      </c>
      <c r="E794" s="8">
        <v>120000000000</v>
      </c>
      <c r="F794" s="8">
        <v>56432944</v>
      </c>
      <c r="G794" s="8">
        <v>4.660195946</v>
      </c>
      <c r="H794" s="8">
        <v>40.006252969999998</v>
      </c>
      <c r="I794" s="8">
        <v>292.58999999999997</v>
      </c>
      <c r="J794" s="8">
        <v>2126.42</v>
      </c>
      <c r="K794" s="8">
        <v>13.76</v>
      </c>
      <c r="L794" s="8">
        <v>84</v>
      </c>
      <c r="M794" s="8">
        <v>14316218665.541996</v>
      </c>
      <c r="N794" s="8">
        <v>15.33</v>
      </c>
      <c r="O794" s="8" t="str">
        <f>vw_scenario_analysis_dataset[[#This Row],[reporter_name]] &amp; "-" &amp; vw_scenario_analysis_dataset[[#This Row],[reference_year]]</f>
        <v>Kenya-2024</v>
      </c>
    </row>
    <row r="795" spans="1:15" x14ac:dyDescent="0.3">
      <c r="A795" s="8" t="s">
        <v>192</v>
      </c>
      <c r="B795" s="8" t="s">
        <v>193</v>
      </c>
      <c r="C795" s="8">
        <v>2015</v>
      </c>
      <c r="D795" s="8">
        <v>2882935242</v>
      </c>
      <c r="E795" s="8">
        <v>6678177512</v>
      </c>
      <c r="F795" s="8">
        <v>6040036</v>
      </c>
      <c r="G795" s="8">
        <v>3.8758254449999998</v>
      </c>
      <c r="H795" s="8">
        <v>110.9615707</v>
      </c>
      <c r="I795" s="8">
        <v>477.3</v>
      </c>
      <c r="J795" s="8">
        <v>1105.6500000000001</v>
      </c>
      <c r="K795" s="8">
        <v>43.17</v>
      </c>
      <c r="L795" s="8">
        <v>124</v>
      </c>
      <c r="M795" s="8"/>
      <c r="N795" s="8"/>
      <c r="O795" s="8" t="str">
        <f>vw_scenario_analysis_dataset[[#This Row],[reporter_name]] &amp; "-" &amp; vw_scenario_analysis_dataset[[#This Row],[reference_year]]</f>
        <v>Kyrgyzstan-2015</v>
      </c>
    </row>
    <row r="796" spans="1:15" x14ac:dyDescent="0.3">
      <c r="A796" s="8" t="s">
        <v>192</v>
      </c>
      <c r="B796" s="8" t="s">
        <v>193</v>
      </c>
      <c r="C796" s="8">
        <v>2016</v>
      </c>
      <c r="D796" s="8">
        <v>2846056854</v>
      </c>
      <c r="E796" s="8">
        <v>6813095379</v>
      </c>
      <c r="F796" s="8">
        <v>6175338</v>
      </c>
      <c r="G796" s="8">
        <v>4.3358559220000004</v>
      </c>
      <c r="H796" s="8">
        <v>105.82357399999999</v>
      </c>
      <c r="I796" s="8">
        <v>460.87</v>
      </c>
      <c r="J796" s="8">
        <v>1103.27</v>
      </c>
      <c r="K796" s="8">
        <v>41.77</v>
      </c>
      <c r="L796" s="8">
        <v>127</v>
      </c>
      <c r="M796" s="8">
        <v>2882935242</v>
      </c>
      <c r="N796" s="8">
        <v>-1.28</v>
      </c>
      <c r="O796" s="8" t="str">
        <f>vw_scenario_analysis_dataset[[#This Row],[reporter_name]] &amp; "-" &amp; vw_scenario_analysis_dataset[[#This Row],[reference_year]]</f>
        <v>Kyrgyzstan-2016</v>
      </c>
    </row>
    <row r="797" spans="1:15" x14ac:dyDescent="0.3">
      <c r="A797" s="8" t="s">
        <v>192</v>
      </c>
      <c r="B797" s="8" t="s">
        <v>193</v>
      </c>
      <c r="C797" s="8">
        <v>2017</v>
      </c>
      <c r="D797" s="8">
        <v>3514927340</v>
      </c>
      <c r="E797" s="8">
        <v>7702938379</v>
      </c>
      <c r="F797" s="8">
        <v>6306696</v>
      </c>
      <c r="G797" s="8">
        <v>4.7399372240000002</v>
      </c>
      <c r="H797" s="8">
        <v>100.6174458</v>
      </c>
      <c r="I797" s="8">
        <v>557.33000000000004</v>
      </c>
      <c r="J797" s="8">
        <v>1221.3900000000001</v>
      </c>
      <c r="K797" s="8">
        <v>45.63</v>
      </c>
      <c r="L797" s="8">
        <v>128</v>
      </c>
      <c r="M797" s="8">
        <v>2846056854</v>
      </c>
      <c r="N797" s="8">
        <v>23.5</v>
      </c>
      <c r="O797" s="8" t="str">
        <f>vw_scenario_analysis_dataset[[#This Row],[reporter_name]] &amp; "-" &amp; vw_scenario_analysis_dataset[[#This Row],[reference_year]]</f>
        <v>Kyrgyzstan-2017</v>
      </c>
    </row>
    <row r="798" spans="1:15" x14ac:dyDescent="0.3">
      <c r="A798" s="8" t="s">
        <v>192</v>
      </c>
      <c r="B798" s="8" t="s">
        <v>193</v>
      </c>
      <c r="C798" s="8">
        <v>2018</v>
      </c>
      <c r="D798" s="8">
        <v>3670358742</v>
      </c>
      <c r="E798" s="8">
        <v>8271106235</v>
      </c>
      <c r="F798" s="8">
        <v>6444079</v>
      </c>
      <c r="G798" s="8">
        <v>3.757910136</v>
      </c>
      <c r="H798" s="8">
        <v>98.875559899999999</v>
      </c>
      <c r="I798" s="8">
        <v>569.57000000000005</v>
      </c>
      <c r="J798" s="8">
        <v>1283.52</v>
      </c>
      <c r="K798" s="8">
        <v>44.38</v>
      </c>
      <c r="L798" s="8">
        <v>124</v>
      </c>
      <c r="M798" s="8">
        <v>3514927340</v>
      </c>
      <c r="N798" s="8">
        <v>4.42</v>
      </c>
      <c r="O798" s="8" t="str">
        <f>vw_scenario_analysis_dataset[[#This Row],[reporter_name]] &amp; "-" &amp; vw_scenario_analysis_dataset[[#This Row],[reference_year]]</f>
        <v>Kyrgyzstan-2018</v>
      </c>
    </row>
    <row r="799" spans="1:15" x14ac:dyDescent="0.3">
      <c r="A799" s="8" t="s">
        <v>192</v>
      </c>
      <c r="B799" s="8" t="s">
        <v>193</v>
      </c>
      <c r="C799" s="8">
        <v>2019</v>
      </c>
      <c r="D799" s="8">
        <v>3972219104</v>
      </c>
      <c r="E799" s="8">
        <v>9371275264</v>
      </c>
      <c r="F799" s="8">
        <v>6590211</v>
      </c>
      <c r="G799" s="8">
        <v>4.6006256570000001</v>
      </c>
      <c r="H799" s="8">
        <v>94.430282349999999</v>
      </c>
      <c r="I799" s="8">
        <v>602.75</v>
      </c>
      <c r="J799" s="8">
        <v>1422</v>
      </c>
      <c r="K799" s="8">
        <v>42.39</v>
      </c>
      <c r="L799" s="8">
        <v>123</v>
      </c>
      <c r="M799" s="8">
        <v>3670358742</v>
      </c>
      <c r="N799" s="8">
        <v>8.2200000000000006</v>
      </c>
      <c r="O799" s="8" t="str">
        <f>vw_scenario_analysis_dataset[[#This Row],[reporter_name]] &amp; "-" &amp; vw_scenario_analysis_dataset[[#This Row],[reference_year]]</f>
        <v>Kyrgyzstan-2019</v>
      </c>
    </row>
    <row r="800" spans="1:15" x14ac:dyDescent="0.3">
      <c r="A800" s="8" t="s">
        <v>192</v>
      </c>
      <c r="B800" s="8" t="s">
        <v>193</v>
      </c>
      <c r="C800" s="8">
        <v>2020</v>
      </c>
      <c r="D800" s="8">
        <v>3727062314</v>
      </c>
      <c r="E800" s="8">
        <v>8270468614</v>
      </c>
      <c r="F800" s="8">
        <v>6726596</v>
      </c>
      <c r="G800" s="8">
        <v>-7.1489775770000001</v>
      </c>
      <c r="H800" s="8">
        <v>78.992278429999999</v>
      </c>
      <c r="I800" s="8">
        <v>554.08000000000004</v>
      </c>
      <c r="J800" s="8">
        <v>1229.52</v>
      </c>
      <c r="K800" s="8">
        <v>45.06</v>
      </c>
      <c r="L800" s="8">
        <v>120</v>
      </c>
      <c r="M800" s="8">
        <v>3972219104</v>
      </c>
      <c r="N800" s="8">
        <v>-6.17</v>
      </c>
      <c r="O800" s="8" t="str">
        <f>vw_scenario_analysis_dataset[[#This Row],[reporter_name]] &amp; "-" &amp; vw_scenario_analysis_dataset[[#This Row],[reference_year]]</f>
        <v>Kyrgyzstan-2020</v>
      </c>
    </row>
    <row r="801" spans="1:15" x14ac:dyDescent="0.3">
      <c r="A801" s="8" t="s">
        <v>192</v>
      </c>
      <c r="B801" s="8" t="s">
        <v>193</v>
      </c>
      <c r="C801" s="8">
        <v>2021</v>
      </c>
      <c r="D801" s="8">
        <v>5504327272</v>
      </c>
      <c r="E801" s="8">
        <v>9249133946</v>
      </c>
      <c r="F801" s="8">
        <v>6851224</v>
      </c>
      <c r="G801" s="8">
        <v>5.5070076270000001</v>
      </c>
      <c r="H801" s="8">
        <v>100.2613769</v>
      </c>
      <c r="I801" s="8">
        <v>803.41</v>
      </c>
      <c r="J801" s="8">
        <v>1350</v>
      </c>
      <c r="K801" s="8">
        <v>59.51</v>
      </c>
      <c r="L801" s="8">
        <v>120</v>
      </c>
      <c r="M801" s="8">
        <v>3727062314</v>
      </c>
      <c r="N801" s="8">
        <v>47.69</v>
      </c>
      <c r="O801" s="8" t="str">
        <f>vw_scenario_analysis_dataset[[#This Row],[reporter_name]] &amp; "-" &amp; vw_scenario_analysis_dataset[[#This Row],[reference_year]]</f>
        <v>Kyrgyzstan-2021</v>
      </c>
    </row>
    <row r="802" spans="1:15" x14ac:dyDescent="0.3">
      <c r="A802" s="8" t="s">
        <v>192</v>
      </c>
      <c r="B802" s="8" t="s">
        <v>193</v>
      </c>
      <c r="C802" s="8">
        <v>2022</v>
      </c>
      <c r="D802" s="8">
        <v>4509404624</v>
      </c>
      <c r="E802" s="8">
        <v>12134931018</v>
      </c>
      <c r="F802" s="8">
        <v>6975220</v>
      </c>
      <c r="G802" s="8">
        <v>8.9675051999999997</v>
      </c>
      <c r="H802" s="8">
        <v>133.78671800000001</v>
      </c>
      <c r="I802" s="8">
        <v>646.49</v>
      </c>
      <c r="J802" s="8">
        <v>1739.72</v>
      </c>
      <c r="K802" s="8">
        <v>37.159999999999997</v>
      </c>
      <c r="L802" s="8">
        <v>119</v>
      </c>
      <c r="M802" s="8">
        <v>5504327272</v>
      </c>
      <c r="N802" s="8">
        <v>-18.079999999999998</v>
      </c>
      <c r="O802" s="8" t="str">
        <f>vw_scenario_analysis_dataset[[#This Row],[reporter_name]] &amp; "-" &amp; vw_scenario_analysis_dataset[[#This Row],[reference_year]]</f>
        <v>Kyrgyzstan-2022</v>
      </c>
    </row>
    <row r="803" spans="1:15" x14ac:dyDescent="0.3">
      <c r="A803" s="8" t="s">
        <v>192</v>
      </c>
      <c r="B803" s="8" t="s">
        <v>193</v>
      </c>
      <c r="C803" s="8">
        <v>2023</v>
      </c>
      <c r="D803" s="8">
        <v>6769711940</v>
      </c>
      <c r="E803" s="8">
        <v>15180842369</v>
      </c>
      <c r="F803" s="8">
        <v>7099750</v>
      </c>
      <c r="G803" s="8">
        <v>9.0132928339999996</v>
      </c>
      <c r="H803" s="8">
        <v>132.3734039</v>
      </c>
      <c r="I803" s="8">
        <v>953.51</v>
      </c>
      <c r="J803" s="8">
        <v>2138.2199999999998</v>
      </c>
      <c r="K803" s="8">
        <v>44.59</v>
      </c>
      <c r="L803" s="8">
        <v>115</v>
      </c>
      <c r="M803" s="8">
        <v>4509404624</v>
      </c>
      <c r="N803" s="8">
        <v>50.12</v>
      </c>
      <c r="O803" s="8" t="str">
        <f>vw_scenario_analysis_dataset[[#This Row],[reporter_name]] &amp; "-" &amp; vw_scenario_analysis_dataset[[#This Row],[reference_year]]</f>
        <v>Kyrgyzstan-2023</v>
      </c>
    </row>
    <row r="804" spans="1:15" x14ac:dyDescent="0.3">
      <c r="A804" s="8" t="s">
        <v>192</v>
      </c>
      <c r="B804" s="8" t="s">
        <v>193</v>
      </c>
      <c r="C804" s="8">
        <v>2024</v>
      </c>
      <c r="D804" s="8">
        <v>7480381022</v>
      </c>
      <c r="E804" s="8">
        <v>18161630699</v>
      </c>
      <c r="F804" s="8">
        <v>7221868</v>
      </c>
      <c r="G804" s="8">
        <v>11.53971194</v>
      </c>
      <c r="H804" s="8">
        <v>130.10074349999999</v>
      </c>
      <c r="I804" s="8">
        <v>1035.8</v>
      </c>
      <c r="J804" s="8">
        <v>2514.81</v>
      </c>
      <c r="K804" s="8">
        <v>41.19</v>
      </c>
      <c r="L804" s="8">
        <v>102</v>
      </c>
      <c r="M804" s="8">
        <v>6769711940</v>
      </c>
      <c r="N804" s="8">
        <v>10.5</v>
      </c>
      <c r="O804" s="8" t="str">
        <f>vw_scenario_analysis_dataset[[#This Row],[reporter_name]] &amp; "-" &amp; vw_scenario_analysis_dataset[[#This Row],[reference_year]]</f>
        <v>Kyrgyzstan-2024</v>
      </c>
    </row>
    <row r="805" spans="1:15" x14ac:dyDescent="0.3">
      <c r="A805" s="8" t="s">
        <v>194</v>
      </c>
      <c r="B805" s="8" t="s">
        <v>195</v>
      </c>
      <c r="C805" s="8">
        <v>2015</v>
      </c>
      <c r="D805" s="8">
        <v>17084867280</v>
      </c>
      <c r="E805" s="8">
        <v>24174170369</v>
      </c>
      <c r="F805" s="8">
        <v>15623251</v>
      </c>
      <c r="G805" s="8">
        <v>7.2070347249999998</v>
      </c>
      <c r="H805" s="8">
        <v>122.10959680000001</v>
      </c>
      <c r="I805" s="8">
        <v>1093.55</v>
      </c>
      <c r="J805" s="8">
        <v>1547.32</v>
      </c>
      <c r="K805" s="8">
        <v>70.67</v>
      </c>
      <c r="L805" s="8">
        <v>85</v>
      </c>
      <c r="M805" s="8"/>
      <c r="N805" s="8"/>
      <c r="O805" s="8" t="str">
        <f>vw_scenario_analysis_dataset[[#This Row],[reporter_name]] &amp; "-" &amp; vw_scenario_analysis_dataset[[#This Row],[reference_year]]</f>
        <v>Cambodia-2015</v>
      </c>
    </row>
    <row r="806" spans="1:15" x14ac:dyDescent="0.3">
      <c r="A806" s="8" t="s">
        <v>194</v>
      </c>
      <c r="B806" s="8" t="s">
        <v>195</v>
      </c>
      <c r="C806" s="8">
        <v>2016</v>
      </c>
      <c r="D806" s="8">
        <v>20138663162</v>
      </c>
      <c r="E806" s="8">
        <v>26556545153</v>
      </c>
      <c r="F806" s="8">
        <v>15852803</v>
      </c>
      <c r="G806" s="8">
        <v>7.9055011610000001</v>
      </c>
      <c r="H806" s="8">
        <v>122.70455560000001</v>
      </c>
      <c r="I806" s="8">
        <v>1270.3499999999999</v>
      </c>
      <c r="J806" s="8">
        <v>1675.2</v>
      </c>
      <c r="K806" s="8">
        <v>75.83</v>
      </c>
      <c r="L806" s="8">
        <v>79</v>
      </c>
      <c r="M806" s="8">
        <v>17084867280</v>
      </c>
      <c r="N806" s="8">
        <v>17.87</v>
      </c>
      <c r="O806" s="8" t="str">
        <f>vw_scenario_analysis_dataset[[#This Row],[reporter_name]] &amp; "-" &amp; vw_scenario_analysis_dataset[[#This Row],[reference_year]]</f>
        <v>Cambodia-2016</v>
      </c>
    </row>
    <row r="807" spans="1:15" x14ac:dyDescent="0.3">
      <c r="A807" s="8" t="s">
        <v>194</v>
      </c>
      <c r="B807" s="8" t="s">
        <v>195</v>
      </c>
      <c r="C807" s="8">
        <v>2017</v>
      </c>
      <c r="D807" s="8">
        <v>22556255928.020012</v>
      </c>
      <c r="E807" s="8">
        <v>29355665910</v>
      </c>
      <c r="F807" s="8">
        <v>16073372</v>
      </c>
      <c r="G807" s="8">
        <v>8.0750391550000007</v>
      </c>
      <c r="H807" s="8">
        <v>121.1554513</v>
      </c>
      <c r="I807" s="8">
        <v>1403.33</v>
      </c>
      <c r="J807" s="8">
        <v>1826.35</v>
      </c>
      <c r="K807" s="8">
        <v>76.84</v>
      </c>
      <c r="L807" s="8">
        <v>78</v>
      </c>
      <c r="M807" s="8">
        <v>20138663162</v>
      </c>
      <c r="N807" s="8">
        <v>12</v>
      </c>
      <c r="O807" s="8" t="str">
        <f>vw_scenario_analysis_dataset[[#This Row],[reporter_name]] &amp; "-" &amp; vw_scenario_analysis_dataset[[#This Row],[reference_year]]</f>
        <v>Cambodia-2017</v>
      </c>
    </row>
    <row r="808" spans="1:15" x14ac:dyDescent="0.3">
      <c r="A808" s="8" t="s">
        <v>194</v>
      </c>
      <c r="B808" s="8" t="s">
        <v>195</v>
      </c>
      <c r="C808" s="8">
        <v>2018</v>
      </c>
      <c r="D808" s="8">
        <v>25400559351.479996</v>
      </c>
      <c r="E808" s="8">
        <v>33145892169</v>
      </c>
      <c r="F808" s="8">
        <v>16274522</v>
      </c>
      <c r="G808" s="8">
        <v>8.7762237620000008</v>
      </c>
      <c r="H808" s="8">
        <v>118.4376554</v>
      </c>
      <c r="I808" s="8">
        <v>1560.76</v>
      </c>
      <c r="J808" s="8">
        <v>2036.67</v>
      </c>
      <c r="K808" s="8">
        <v>76.63</v>
      </c>
      <c r="L808" s="8">
        <v>75</v>
      </c>
      <c r="M808" s="8">
        <v>22556255928.020012</v>
      </c>
      <c r="N808" s="8">
        <v>12.61</v>
      </c>
      <c r="O808" s="8" t="str">
        <f>vw_scenario_analysis_dataset[[#This Row],[reporter_name]] &amp; "-" &amp; vw_scenario_analysis_dataset[[#This Row],[reference_year]]</f>
        <v>Cambodia-2018</v>
      </c>
    </row>
    <row r="809" spans="1:15" x14ac:dyDescent="0.3">
      <c r="A809" s="8" t="s">
        <v>194</v>
      </c>
      <c r="B809" s="8" t="s">
        <v>195</v>
      </c>
      <c r="C809" s="8">
        <v>2019</v>
      </c>
      <c r="D809" s="8">
        <v>29649444586.539989</v>
      </c>
      <c r="E809" s="8">
        <v>36685356408</v>
      </c>
      <c r="F809" s="8">
        <v>16481304</v>
      </c>
      <c r="G809" s="8">
        <v>7.9369501360000001</v>
      </c>
      <c r="H809" s="8">
        <v>115.7366791</v>
      </c>
      <c r="I809" s="8">
        <v>1798.97</v>
      </c>
      <c r="J809" s="8">
        <v>2225.88</v>
      </c>
      <c r="K809" s="8">
        <v>80.819999999999993</v>
      </c>
      <c r="L809" s="8">
        <v>71</v>
      </c>
      <c r="M809" s="8">
        <v>25400559351.479996</v>
      </c>
      <c r="N809" s="8">
        <v>16.73</v>
      </c>
      <c r="O809" s="8" t="str">
        <f>vw_scenario_analysis_dataset[[#This Row],[reporter_name]] &amp; "-" &amp; vw_scenario_analysis_dataset[[#This Row],[reference_year]]</f>
        <v>Cambodia-2019</v>
      </c>
    </row>
    <row r="810" spans="1:15" x14ac:dyDescent="0.3">
      <c r="A810" s="8" t="s">
        <v>194</v>
      </c>
      <c r="B810" s="8" t="s">
        <v>195</v>
      </c>
      <c r="C810" s="8">
        <v>2020</v>
      </c>
      <c r="D810" s="8">
        <v>35432938995.879974</v>
      </c>
      <c r="E810" s="8">
        <v>34818073901</v>
      </c>
      <c r="F810" s="8">
        <v>16725474</v>
      </c>
      <c r="G810" s="8">
        <v>-3.5557219340000001</v>
      </c>
      <c r="H810" s="8">
        <v>122.1053963</v>
      </c>
      <c r="I810" s="8">
        <v>2118.5</v>
      </c>
      <c r="J810" s="8">
        <v>2081.7399999999998</v>
      </c>
      <c r="K810" s="8">
        <v>101.77</v>
      </c>
      <c r="L810" s="8">
        <v>63</v>
      </c>
      <c r="M810" s="8">
        <v>29649444586.539989</v>
      </c>
      <c r="N810" s="8">
        <v>19.510000000000002</v>
      </c>
      <c r="O810" s="8" t="str">
        <f>vw_scenario_analysis_dataset[[#This Row],[reporter_name]] &amp; "-" &amp; vw_scenario_analysis_dataset[[#This Row],[reference_year]]</f>
        <v>Cambodia-2020</v>
      </c>
    </row>
    <row r="811" spans="1:15" x14ac:dyDescent="0.3">
      <c r="A811" s="8" t="s">
        <v>194</v>
      </c>
      <c r="B811" s="8" t="s">
        <v>195</v>
      </c>
      <c r="C811" s="8">
        <v>2021</v>
      </c>
      <c r="D811" s="8">
        <v>33899246440.020004</v>
      </c>
      <c r="E811" s="8">
        <v>36790163687</v>
      </c>
      <c r="F811" s="8">
        <v>16974305</v>
      </c>
      <c r="G811" s="8">
        <v>3.0898428409999998</v>
      </c>
      <c r="H811" s="8">
        <v>146.1798465</v>
      </c>
      <c r="I811" s="8">
        <v>1997.09</v>
      </c>
      <c r="J811" s="8">
        <v>2167.4</v>
      </c>
      <c r="K811" s="8">
        <v>92.14</v>
      </c>
      <c r="L811" s="8">
        <v>69</v>
      </c>
      <c r="M811" s="8">
        <v>35432938995.879974</v>
      </c>
      <c r="N811" s="8">
        <v>-4.33</v>
      </c>
      <c r="O811" s="8" t="str">
        <f>vw_scenario_analysis_dataset[[#This Row],[reporter_name]] &amp; "-" &amp; vw_scenario_analysis_dataset[[#This Row],[reference_year]]</f>
        <v>Cambodia-2021</v>
      </c>
    </row>
    <row r="812" spans="1:15" x14ac:dyDescent="0.3">
      <c r="A812" s="8" t="s">
        <v>194</v>
      </c>
      <c r="B812" s="8" t="s">
        <v>195</v>
      </c>
      <c r="C812" s="8">
        <v>2022</v>
      </c>
      <c r="D812" s="8">
        <v>41151545505.120026</v>
      </c>
      <c r="E812" s="8">
        <v>39994532960</v>
      </c>
      <c r="F812" s="8">
        <v>17201724</v>
      </c>
      <c r="G812" s="8">
        <v>5.1299011080000003</v>
      </c>
      <c r="H812" s="8">
        <v>145.8736328</v>
      </c>
      <c r="I812" s="8">
        <v>2392.29</v>
      </c>
      <c r="J812" s="8">
        <v>2325.0300000000002</v>
      </c>
      <c r="K812" s="8">
        <v>102.89</v>
      </c>
      <c r="L812" s="8">
        <v>67</v>
      </c>
      <c r="M812" s="8">
        <v>33899246440.020004</v>
      </c>
      <c r="N812" s="8">
        <v>21.39</v>
      </c>
      <c r="O812" s="8" t="str">
        <f>vw_scenario_analysis_dataset[[#This Row],[reporter_name]] &amp; "-" &amp; vw_scenario_analysis_dataset[[#This Row],[reference_year]]</f>
        <v>Cambodia-2022</v>
      </c>
    </row>
    <row r="813" spans="1:15" x14ac:dyDescent="0.3">
      <c r="A813" s="8" t="s">
        <v>194</v>
      </c>
      <c r="B813" s="8" t="s">
        <v>195</v>
      </c>
      <c r="C813" s="8">
        <v>2023</v>
      </c>
      <c r="D813" s="8">
        <v>43355143412.985016</v>
      </c>
      <c r="E813" s="8">
        <v>42335646896</v>
      </c>
      <c r="F813" s="8">
        <v>17423880</v>
      </c>
      <c r="G813" s="8">
        <v>5.0073304380000003</v>
      </c>
      <c r="H813" s="8">
        <v>134.2068424</v>
      </c>
      <c r="I813" s="8">
        <v>2488.2600000000002</v>
      </c>
      <c r="J813" s="8">
        <v>2429.75</v>
      </c>
      <c r="K813" s="8">
        <v>102.41</v>
      </c>
      <c r="L813" s="8">
        <v>63</v>
      </c>
      <c r="M813" s="8">
        <v>41151545505.120026</v>
      </c>
      <c r="N813" s="8">
        <v>5.35</v>
      </c>
      <c r="O813" s="8" t="str">
        <f>vw_scenario_analysis_dataset[[#This Row],[reporter_name]] &amp; "-" &amp; vw_scenario_analysis_dataset[[#This Row],[reference_year]]</f>
        <v>Cambodia-2023</v>
      </c>
    </row>
    <row r="814" spans="1:15" x14ac:dyDescent="0.3">
      <c r="A814" s="8" t="s">
        <v>194</v>
      </c>
      <c r="B814" s="8" t="s">
        <v>195</v>
      </c>
      <c r="C814" s="8">
        <v>2024</v>
      </c>
      <c r="D814" s="8">
        <v>53327919290.304001</v>
      </c>
      <c r="E814" s="8">
        <v>46352647037</v>
      </c>
      <c r="F814" s="8">
        <v>17638801</v>
      </c>
      <c r="G814" s="8">
        <v>6.0158145740000002</v>
      </c>
      <c r="H814" s="8">
        <v>143.4470097</v>
      </c>
      <c r="I814" s="8">
        <v>3023.33</v>
      </c>
      <c r="J814" s="8">
        <v>2627.88</v>
      </c>
      <c r="K814" s="8">
        <v>115.05</v>
      </c>
      <c r="L814" s="8">
        <v>59</v>
      </c>
      <c r="M814" s="8">
        <v>43355143412.985016</v>
      </c>
      <c r="N814" s="8">
        <v>23</v>
      </c>
      <c r="O814" s="8" t="str">
        <f>vw_scenario_analysis_dataset[[#This Row],[reporter_name]] &amp; "-" &amp; vw_scenario_analysis_dataset[[#This Row],[reference_year]]</f>
        <v>Cambodia-2024</v>
      </c>
    </row>
    <row r="815" spans="1:15" x14ac:dyDescent="0.3">
      <c r="A815" s="8" t="s">
        <v>196</v>
      </c>
      <c r="B815" s="8" t="s">
        <v>197</v>
      </c>
      <c r="C815" s="8">
        <v>2015</v>
      </c>
      <c r="D815" s="8">
        <v>20017418.877999999</v>
      </c>
      <c r="E815" s="8">
        <v>191559398.69999999</v>
      </c>
      <c r="F815" s="8">
        <v>116815</v>
      </c>
      <c r="G815" s="8">
        <v>11.265320940000001</v>
      </c>
      <c r="H815" s="8">
        <v>109.88909839999999</v>
      </c>
      <c r="I815" s="8">
        <v>171.36</v>
      </c>
      <c r="J815" s="8">
        <v>1639.85</v>
      </c>
      <c r="K815" s="8">
        <v>10.45</v>
      </c>
      <c r="L815" s="8">
        <v>165</v>
      </c>
      <c r="M815" s="8"/>
      <c r="N815" s="8"/>
      <c r="O815" s="8" t="str">
        <f>vw_scenario_analysis_dataset[[#This Row],[reporter_name]] &amp; "-" &amp; vw_scenario_analysis_dataset[[#This Row],[reference_year]]</f>
        <v>Kiribati-2015</v>
      </c>
    </row>
    <row r="816" spans="1:15" x14ac:dyDescent="0.3">
      <c r="A816" s="8" t="s">
        <v>196</v>
      </c>
      <c r="B816" s="8" t="s">
        <v>197</v>
      </c>
      <c r="C816" s="8">
        <v>2016</v>
      </c>
      <c r="D816" s="8">
        <v>22507100.199999996</v>
      </c>
      <c r="E816" s="8">
        <v>206467818.5</v>
      </c>
      <c r="F816" s="8">
        <v>118478</v>
      </c>
      <c r="G816" s="8">
        <v>7.0880346579999998</v>
      </c>
      <c r="H816" s="8">
        <v>111.2697907</v>
      </c>
      <c r="I816" s="8">
        <v>189.97</v>
      </c>
      <c r="J816" s="8">
        <v>1742.67</v>
      </c>
      <c r="K816" s="8">
        <v>10.9</v>
      </c>
      <c r="L816" s="8">
        <v>168</v>
      </c>
      <c r="M816" s="8">
        <v>20017418.877999999</v>
      </c>
      <c r="N816" s="8">
        <v>12.44</v>
      </c>
      <c r="O816" s="8" t="str">
        <f>vw_scenario_analysis_dataset[[#This Row],[reporter_name]] &amp; "-" &amp; vw_scenario_analysis_dataset[[#This Row],[reference_year]]</f>
        <v>Kiribati-2016</v>
      </c>
    </row>
    <row r="817" spans="1:15" x14ac:dyDescent="0.3">
      <c r="A817" s="8" t="s">
        <v>196</v>
      </c>
      <c r="B817" s="8" t="s">
        <v>197</v>
      </c>
      <c r="C817" s="8">
        <v>2017</v>
      </c>
      <c r="D817" s="8">
        <v>30493110.981000006</v>
      </c>
      <c r="E817" s="8">
        <v>223029864.5</v>
      </c>
      <c r="F817" s="8">
        <v>120275</v>
      </c>
      <c r="G817" s="8">
        <v>3.7120017160000001</v>
      </c>
      <c r="H817" s="8">
        <v>100.4917526</v>
      </c>
      <c r="I817" s="8">
        <v>253.53</v>
      </c>
      <c r="J817" s="8">
        <v>1854.33</v>
      </c>
      <c r="K817" s="8">
        <v>13.67</v>
      </c>
      <c r="L817" s="8">
        <v>169</v>
      </c>
      <c r="M817" s="8">
        <v>22507100.199999996</v>
      </c>
      <c r="N817" s="8">
        <v>35.479999999999997</v>
      </c>
      <c r="O817" s="8" t="str">
        <f>vw_scenario_analysis_dataset[[#This Row],[reporter_name]] &amp; "-" &amp; vw_scenario_analysis_dataset[[#This Row],[reference_year]]</f>
        <v>Kiribati-2017</v>
      </c>
    </row>
    <row r="818" spans="1:15" x14ac:dyDescent="0.3">
      <c r="A818" s="8" t="s">
        <v>196</v>
      </c>
      <c r="B818" s="8" t="s">
        <v>197</v>
      </c>
      <c r="C818" s="8">
        <v>2018</v>
      </c>
      <c r="D818" s="8">
        <v>16372506.178999998</v>
      </c>
      <c r="E818" s="8">
        <v>233859230.19999999</v>
      </c>
      <c r="F818" s="8">
        <v>122084</v>
      </c>
      <c r="G818" s="8">
        <v>3.4246575340000001</v>
      </c>
      <c r="H818" s="8">
        <v>83.243610219999994</v>
      </c>
      <c r="I818" s="8">
        <v>134.11000000000001</v>
      </c>
      <c r="J818" s="8">
        <v>1915.56</v>
      </c>
      <c r="K818" s="8">
        <v>7</v>
      </c>
      <c r="L818" s="8">
        <v>171</v>
      </c>
      <c r="M818" s="8">
        <v>30493110.981000006</v>
      </c>
      <c r="N818" s="8">
        <v>-46.31</v>
      </c>
      <c r="O818" s="8" t="str">
        <f>vw_scenario_analysis_dataset[[#This Row],[reporter_name]] &amp; "-" &amp; vw_scenario_analysis_dataset[[#This Row],[reference_year]]</f>
        <v>Kiribati-2018</v>
      </c>
    </row>
    <row r="819" spans="1:15" x14ac:dyDescent="0.3">
      <c r="A819" s="8" t="s">
        <v>196</v>
      </c>
      <c r="B819" s="8" t="s">
        <v>197</v>
      </c>
      <c r="C819" s="8">
        <v>2020</v>
      </c>
      <c r="D819" s="8">
        <v>18542020.875999998</v>
      </c>
      <c r="E819" s="8">
        <v>220909306.80000001</v>
      </c>
      <c r="F819" s="8">
        <v>126099</v>
      </c>
      <c r="G819" s="8">
        <v>-1.2820512820000001</v>
      </c>
      <c r="H819" s="8">
        <v>78.401207679999999</v>
      </c>
      <c r="I819" s="8">
        <v>147.04</v>
      </c>
      <c r="J819" s="8">
        <v>1751.87</v>
      </c>
      <c r="K819" s="8">
        <v>8.39</v>
      </c>
      <c r="L819" s="8">
        <v>162</v>
      </c>
      <c r="M819" s="8">
        <v>16372506.178999998</v>
      </c>
      <c r="N819" s="8">
        <v>13.25</v>
      </c>
      <c r="O819" s="8" t="str">
        <f>vw_scenario_analysis_dataset[[#This Row],[reporter_name]] &amp; "-" &amp; vw_scenario_analysis_dataset[[#This Row],[reference_year]]</f>
        <v>Kiribati-2020</v>
      </c>
    </row>
    <row r="820" spans="1:15" x14ac:dyDescent="0.3">
      <c r="A820" s="8" t="s">
        <v>196</v>
      </c>
      <c r="B820" s="8" t="s">
        <v>197</v>
      </c>
      <c r="C820" s="8">
        <v>2021</v>
      </c>
      <c r="D820" s="8">
        <v>17727176.124000002</v>
      </c>
      <c r="E820" s="8">
        <v>285451584.39999998</v>
      </c>
      <c r="F820" s="8">
        <v>128377</v>
      </c>
      <c r="G820" s="8">
        <v>8.4415584419999998</v>
      </c>
      <c r="H820" s="8">
        <v>74.450510019999996</v>
      </c>
      <c r="I820" s="8">
        <v>138.09</v>
      </c>
      <c r="J820" s="8">
        <v>2223.54</v>
      </c>
      <c r="K820" s="8">
        <v>6.21</v>
      </c>
      <c r="L820" s="8">
        <v>162</v>
      </c>
      <c r="M820" s="8">
        <v>18542020.875999998</v>
      </c>
      <c r="N820" s="8">
        <v>-4.3899999999999997</v>
      </c>
      <c r="O820" s="8" t="str">
        <f>vw_scenario_analysis_dataset[[#This Row],[reporter_name]] &amp; "-" &amp; vw_scenario_analysis_dataset[[#This Row],[reference_year]]</f>
        <v>Kiribati-2021</v>
      </c>
    </row>
    <row r="821" spans="1:15" x14ac:dyDescent="0.3">
      <c r="A821" s="8" t="s">
        <v>198</v>
      </c>
      <c r="B821" s="8" t="s">
        <v>199</v>
      </c>
      <c r="C821" s="8">
        <v>2015</v>
      </c>
      <c r="D821" s="8">
        <v>63400993.257000007</v>
      </c>
      <c r="E821" s="8">
        <v>957222222.20000005</v>
      </c>
      <c r="F821" s="8">
        <v>47087</v>
      </c>
      <c r="G821" s="8">
        <v>0.694135528</v>
      </c>
      <c r="H821" s="8"/>
      <c r="I821" s="8">
        <v>1346.46</v>
      </c>
      <c r="J821" s="8">
        <v>20328.8</v>
      </c>
      <c r="K821" s="8">
        <v>6.62</v>
      </c>
      <c r="L821" s="8">
        <v>162</v>
      </c>
      <c r="M821" s="8"/>
      <c r="N821" s="8"/>
      <c r="O821" s="8" t="str">
        <f>vw_scenario_analysis_dataset[[#This Row],[reporter_name]] &amp; "-" &amp; vw_scenario_analysis_dataset[[#This Row],[reference_year]]</f>
        <v>Saint Kitts and Nevis-2015</v>
      </c>
    </row>
    <row r="822" spans="1:15" x14ac:dyDescent="0.3">
      <c r="A822" s="8" t="s">
        <v>198</v>
      </c>
      <c r="B822" s="8" t="s">
        <v>199</v>
      </c>
      <c r="C822" s="8">
        <v>2016</v>
      </c>
      <c r="D822" s="8">
        <v>73729414.172999993</v>
      </c>
      <c r="E822" s="8">
        <v>1006818519</v>
      </c>
      <c r="F822" s="8">
        <v>47075</v>
      </c>
      <c r="G822" s="8">
        <v>3.932703193</v>
      </c>
      <c r="H822" s="8"/>
      <c r="I822" s="8">
        <v>1566.21</v>
      </c>
      <c r="J822" s="8">
        <v>21387.54</v>
      </c>
      <c r="K822" s="8">
        <v>7.32</v>
      </c>
      <c r="L822" s="8">
        <v>163</v>
      </c>
      <c r="M822" s="8">
        <v>63400993.257000007</v>
      </c>
      <c r="N822" s="8">
        <v>16.29</v>
      </c>
      <c r="O822" s="8" t="str">
        <f>vw_scenario_analysis_dataset[[#This Row],[reporter_name]] &amp; "-" &amp; vw_scenario_analysis_dataset[[#This Row],[reference_year]]</f>
        <v>Saint Kitts and Nevis-2016</v>
      </c>
    </row>
    <row r="823" spans="1:15" x14ac:dyDescent="0.3">
      <c r="A823" s="8" t="s">
        <v>198</v>
      </c>
      <c r="B823" s="8" t="s">
        <v>199</v>
      </c>
      <c r="C823" s="8">
        <v>2017</v>
      </c>
      <c r="D823" s="8">
        <v>66491288.456</v>
      </c>
      <c r="E823" s="8">
        <v>1056977778</v>
      </c>
      <c r="F823" s="8">
        <v>47050</v>
      </c>
      <c r="G823" s="8">
        <v>0.220941147</v>
      </c>
      <c r="H823" s="8"/>
      <c r="I823" s="8">
        <v>1413.2</v>
      </c>
      <c r="J823" s="8">
        <v>22464.99</v>
      </c>
      <c r="K823" s="8">
        <v>6.29</v>
      </c>
      <c r="L823" s="8">
        <v>166</v>
      </c>
      <c r="M823" s="8">
        <v>73729414.172999993</v>
      </c>
      <c r="N823" s="8">
        <v>-9.82</v>
      </c>
      <c r="O823" s="8" t="str">
        <f>vw_scenario_analysis_dataset[[#This Row],[reporter_name]] &amp; "-" &amp; vw_scenario_analysis_dataset[[#This Row],[reference_year]]</f>
        <v>Saint Kitts and Nevis-2017</v>
      </c>
    </row>
    <row r="824" spans="1:15" x14ac:dyDescent="0.3">
      <c r="A824" s="8" t="s">
        <v>200</v>
      </c>
      <c r="B824" s="8" t="s">
        <v>201</v>
      </c>
      <c r="C824" s="8">
        <v>2015</v>
      </c>
      <c r="D824" s="8">
        <v>1053506012722</v>
      </c>
      <c r="E824" s="8">
        <v>1540000000000</v>
      </c>
      <c r="F824" s="8">
        <v>51014947</v>
      </c>
      <c r="G824" s="8">
        <v>2.9202926730000001</v>
      </c>
      <c r="H824" s="8">
        <v>75.388177459999994</v>
      </c>
      <c r="I824" s="8">
        <v>20650.93</v>
      </c>
      <c r="J824" s="8">
        <v>30187.23</v>
      </c>
      <c r="K824" s="8">
        <v>68.41</v>
      </c>
      <c r="L824" s="8">
        <v>4</v>
      </c>
      <c r="M824" s="8"/>
      <c r="N824" s="8"/>
      <c r="O824" s="8" t="str">
        <f>vw_scenario_analysis_dataset[[#This Row],[reporter_name]] &amp; "-" &amp; vw_scenario_analysis_dataset[[#This Row],[reference_year]]</f>
        <v>Rep. of Korea-2015</v>
      </c>
    </row>
    <row r="825" spans="1:15" x14ac:dyDescent="0.3">
      <c r="A825" s="8" t="s">
        <v>200</v>
      </c>
      <c r="B825" s="8" t="s">
        <v>201</v>
      </c>
      <c r="C825" s="8">
        <v>2016</v>
      </c>
      <c r="D825" s="8">
        <v>990835431118</v>
      </c>
      <c r="E825" s="8">
        <v>1580000000000</v>
      </c>
      <c r="F825" s="8">
        <v>51217803</v>
      </c>
      <c r="G825" s="8">
        <v>3.1715274899999999</v>
      </c>
      <c r="H825" s="8">
        <v>69.899722130000001</v>
      </c>
      <c r="I825" s="8">
        <v>19345.53</v>
      </c>
      <c r="J825" s="8">
        <v>30848.65</v>
      </c>
      <c r="K825" s="8">
        <v>62.71</v>
      </c>
      <c r="L825" s="8">
        <v>5</v>
      </c>
      <c r="M825" s="8">
        <v>1053506012722</v>
      </c>
      <c r="N825" s="8">
        <v>-5.95</v>
      </c>
      <c r="O825" s="8" t="str">
        <f>vw_scenario_analysis_dataset[[#This Row],[reporter_name]] &amp; "-" &amp; vw_scenario_analysis_dataset[[#This Row],[reference_year]]</f>
        <v>Rep. of Korea-2016</v>
      </c>
    </row>
    <row r="826" spans="1:15" x14ac:dyDescent="0.3">
      <c r="A826" s="8" t="s">
        <v>200</v>
      </c>
      <c r="B826" s="8" t="s">
        <v>201</v>
      </c>
      <c r="C826" s="8">
        <v>2017</v>
      </c>
      <c r="D826" s="8">
        <v>1147254737874</v>
      </c>
      <c r="E826" s="8">
        <v>1710000000000</v>
      </c>
      <c r="F826" s="8">
        <v>51361911</v>
      </c>
      <c r="G826" s="8">
        <v>3.433191764</v>
      </c>
      <c r="H826" s="8">
        <v>73.19214083</v>
      </c>
      <c r="I826" s="8">
        <v>22336.68</v>
      </c>
      <c r="J826" s="8">
        <v>33293.15</v>
      </c>
      <c r="K826" s="8">
        <v>67.09</v>
      </c>
      <c r="L826" s="8">
        <v>4</v>
      </c>
      <c r="M826" s="8">
        <v>990835431118</v>
      </c>
      <c r="N826" s="8">
        <v>15.79</v>
      </c>
      <c r="O826" s="8" t="str">
        <f>vw_scenario_analysis_dataset[[#This Row],[reporter_name]] &amp; "-" &amp; vw_scenario_analysis_dataset[[#This Row],[reference_year]]</f>
        <v>Rep. of Korea-2017</v>
      </c>
    </row>
    <row r="827" spans="1:15" x14ac:dyDescent="0.3">
      <c r="A827" s="8" t="s">
        <v>200</v>
      </c>
      <c r="B827" s="8" t="s">
        <v>201</v>
      </c>
      <c r="C827" s="8">
        <v>2018</v>
      </c>
      <c r="D827" s="8">
        <v>1209614634840</v>
      </c>
      <c r="E827" s="8">
        <v>1820000000000</v>
      </c>
      <c r="F827" s="8">
        <v>51585058</v>
      </c>
      <c r="G827" s="8">
        <v>3.1761156819999998</v>
      </c>
      <c r="H827" s="8">
        <v>74.707516209999994</v>
      </c>
      <c r="I827" s="8">
        <v>23448.93</v>
      </c>
      <c r="J827" s="8">
        <v>35281.53</v>
      </c>
      <c r="K827" s="8">
        <v>66.459999999999994</v>
      </c>
      <c r="L827" s="8">
        <v>4</v>
      </c>
      <c r="M827" s="8">
        <v>1147254737874</v>
      </c>
      <c r="N827" s="8">
        <v>5.44</v>
      </c>
      <c r="O827" s="8" t="str">
        <f>vw_scenario_analysis_dataset[[#This Row],[reporter_name]] &amp; "-" &amp; vw_scenario_analysis_dataset[[#This Row],[reference_year]]</f>
        <v>Rep. of Korea-2018</v>
      </c>
    </row>
    <row r="828" spans="1:15" x14ac:dyDescent="0.3">
      <c r="A828" s="8" t="s">
        <v>200</v>
      </c>
      <c r="B828" s="8" t="s">
        <v>201</v>
      </c>
      <c r="C828" s="8">
        <v>2019</v>
      </c>
      <c r="D828" s="8">
        <v>1084343538178</v>
      </c>
      <c r="E828" s="8">
        <v>1750000000000</v>
      </c>
      <c r="F828" s="8">
        <v>51764822</v>
      </c>
      <c r="G828" s="8">
        <v>2.3138021059999998</v>
      </c>
      <c r="H828" s="8">
        <v>71.447063240000006</v>
      </c>
      <c r="I828" s="8">
        <v>20947.5</v>
      </c>
      <c r="J828" s="8">
        <v>33806.74</v>
      </c>
      <c r="K828" s="8">
        <v>61.96</v>
      </c>
      <c r="L828" s="8">
        <v>6</v>
      </c>
      <c r="M828" s="8">
        <v>1209614634840</v>
      </c>
      <c r="N828" s="8">
        <v>-10.36</v>
      </c>
      <c r="O828" s="8" t="str">
        <f>vw_scenario_analysis_dataset[[#This Row],[reporter_name]] &amp; "-" &amp; vw_scenario_analysis_dataset[[#This Row],[reference_year]]</f>
        <v>Rep. of Korea-2019</v>
      </c>
    </row>
    <row r="829" spans="1:15" x14ac:dyDescent="0.3">
      <c r="A829" s="8" t="s">
        <v>200</v>
      </c>
      <c r="B829" s="8" t="s">
        <v>201</v>
      </c>
      <c r="C829" s="8">
        <v>2020</v>
      </c>
      <c r="D829" s="8">
        <v>1024838575052</v>
      </c>
      <c r="E829" s="8">
        <v>1740000000000</v>
      </c>
      <c r="F829" s="8">
        <v>51836239</v>
      </c>
      <c r="G829" s="8">
        <v>-0.70024231800000003</v>
      </c>
      <c r="H829" s="8">
        <v>65.544957859999997</v>
      </c>
      <c r="I829" s="8">
        <v>19770.7</v>
      </c>
      <c r="J829" s="8">
        <v>33567.25</v>
      </c>
      <c r="K829" s="8">
        <v>58.9</v>
      </c>
      <c r="L829" s="8">
        <v>6</v>
      </c>
      <c r="M829" s="8">
        <v>1084343538178</v>
      </c>
      <c r="N829" s="8">
        <v>-5.49</v>
      </c>
      <c r="O829" s="8" t="str">
        <f>vw_scenario_analysis_dataset[[#This Row],[reporter_name]] &amp; "-" &amp; vw_scenario_analysis_dataset[[#This Row],[reference_year]]</f>
        <v>Rep. of Korea-2020</v>
      </c>
    </row>
    <row r="830" spans="1:15" x14ac:dyDescent="0.3">
      <c r="A830" s="8" t="s">
        <v>200</v>
      </c>
      <c r="B830" s="8" t="s">
        <v>201</v>
      </c>
      <c r="C830" s="8">
        <v>2021</v>
      </c>
      <c r="D830" s="8">
        <v>1288745873504</v>
      </c>
      <c r="E830" s="8">
        <v>1940000000000</v>
      </c>
      <c r="F830" s="8">
        <v>51769539</v>
      </c>
      <c r="G830" s="8">
        <v>4.6129679550000002</v>
      </c>
      <c r="H830" s="8">
        <v>75.306304760000003</v>
      </c>
      <c r="I830" s="8">
        <v>24893.9</v>
      </c>
      <c r="J830" s="8">
        <v>37473.769999999997</v>
      </c>
      <c r="K830" s="8">
        <v>66.430000000000007</v>
      </c>
      <c r="L830" s="8">
        <v>6</v>
      </c>
      <c r="M830" s="8">
        <v>1024838575052</v>
      </c>
      <c r="N830" s="8">
        <v>25.75</v>
      </c>
      <c r="O830" s="8" t="str">
        <f>vw_scenario_analysis_dataset[[#This Row],[reporter_name]] &amp; "-" &amp; vw_scenario_analysis_dataset[[#This Row],[reference_year]]</f>
        <v>Rep. of Korea-2021</v>
      </c>
    </row>
    <row r="831" spans="1:15" x14ac:dyDescent="0.3">
      <c r="A831" s="8" t="s">
        <v>200</v>
      </c>
      <c r="B831" s="8" t="s">
        <v>201</v>
      </c>
      <c r="C831" s="8">
        <v>2022</v>
      </c>
      <c r="D831" s="8">
        <v>1367101851354</v>
      </c>
      <c r="E831" s="8">
        <v>1800000000000</v>
      </c>
      <c r="F831" s="8">
        <v>51672569</v>
      </c>
      <c r="G831" s="8">
        <v>2.7275645669999999</v>
      </c>
      <c r="H831" s="8">
        <v>90.58514753</v>
      </c>
      <c r="I831" s="8">
        <v>26457.01</v>
      </c>
      <c r="J831" s="8">
        <v>34834.730000000003</v>
      </c>
      <c r="K831" s="8">
        <v>75.95</v>
      </c>
      <c r="L831" s="8">
        <v>5</v>
      </c>
      <c r="M831" s="8">
        <v>1288745873504</v>
      </c>
      <c r="N831" s="8">
        <v>6.08</v>
      </c>
      <c r="O831" s="8" t="str">
        <f>vw_scenario_analysis_dataset[[#This Row],[reporter_name]] &amp; "-" &amp; vw_scenario_analysis_dataset[[#This Row],[reference_year]]</f>
        <v>Rep. of Korea-2022</v>
      </c>
    </row>
    <row r="832" spans="1:15" x14ac:dyDescent="0.3">
      <c r="A832" s="8" t="s">
        <v>200</v>
      </c>
      <c r="B832" s="8" t="s">
        <v>201</v>
      </c>
      <c r="C832" s="8">
        <v>2023</v>
      </c>
      <c r="D832" s="8">
        <v>1263608461230</v>
      </c>
      <c r="E832" s="8">
        <v>1840000000000</v>
      </c>
      <c r="F832" s="8">
        <v>51712619</v>
      </c>
      <c r="G832" s="8">
        <v>1.583014674</v>
      </c>
      <c r="H832" s="8">
        <v>82.25800907</v>
      </c>
      <c r="I832" s="8">
        <v>24435.21</v>
      </c>
      <c r="J832" s="8">
        <v>35581.26</v>
      </c>
      <c r="K832" s="8">
        <v>68.67</v>
      </c>
      <c r="L832" s="8">
        <v>7</v>
      </c>
      <c r="M832" s="8">
        <v>1367101851354</v>
      </c>
      <c r="N832" s="8">
        <v>-7.57</v>
      </c>
      <c r="O832" s="8" t="str">
        <f>vw_scenario_analysis_dataset[[#This Row],[reporter_name]] &amp; "-" &amp; vw_scenario_analysis_dataset[[#This Row],[reference_year]]</f>
        <v>Rep. of Korea-2023</v>
      </c>
    </row>
    <row r="833" spans="1:15" x14ac:dyDescent="0.3">
      <c r="A833" s="8" t="s">
        <v>200</v>
      </c>
      <c r="B833" s="8" t="s">
        <v>201</v>
      </c>
      <c r="C833" s="8">
        <v>2024</v>
      </c>
      <c r="D833" s="8">
        <v>1366254036584</v>
      </c>
      <c r="E833" s="8">
        <v>1880000000000</v>
      </c>
      <c r="F833" s="8">
        <v>51751065</v>
      </c>
      <c r="G833" s="8">
        <v>2.003611018</v>
      </c>
      <c r="H833" s="8">
        <v>84.642495120000007</v>
      </c>
      <c r="I833" s="8">
        <v>26400.5</v>
      </c>
      <c r="J833" s="8">
        <v>36327.75</v>
      </c>
      <c r="K833" s="8">
        <v>72.67</v>
      </c>
      <c r="L833" s="8">
        <v>5</v>
      </c>
      <c r="M833" s="8">
        <v>1263608461230</v>
      </c>
      <c r="N833" s="8">
        <v>8.1199999999999992</v>
      </c>
      <c r="O833" s="8" t="str">
        <f>vw_scenario_analysis_dataset[[#This Row],[reporter_name]] &amp; "-" &amp; vw_scenario_analysis_dataset[[#This Row],[reference_year]]</f>
        <v>Rep. of Korea-2024</v>
      </c>
    </row>
    <row r="834" spans="1:15" x14ac:dyDescent="0.3">
      <c r="A834" s="8" t="s">
        <v>202</v>
      </c>
      <c r="B834" s="8" t="s">
        <v>203</v>
      </c>
      <c r="C834" s="8">
        <v>2015</v>
      </c>
      <c r="D834" s="8">
        <v>108241914171.25505</v>
      </c>
      <c r="E834" s="8">
        <v>115000000000</v>
      </c>
      <c r="F834" s="8">
        <v>3834574</v>
      </c>
      <c r="G834" s="8">
        <v>0.59277081700000001</v>
      </c>
      <c r="H834" s="8">
        <v>98.699988450000006</v>
      </c>
      <c r="I834" s="8">
        <v>28227.89</v>
      </c>
      <c r="J834" s="8">
        <v>29990.29</v>
      </c>
      <c r="K834" s="8">
        <v>94.12</v>
      </c>
      <c r="L834" s="8">
        <v>44</v>
      </c>
      <c r="M834" s="8"/>
      <c r="N834" s="8"/>
      <c r="O834" s="8" t="str">
        <f>vw_scenario_analysis_dataset[[#This Row],[reporter_name]] &amp; "-" &amp; vw_scenario_analysis_dataset[[#This Row],[reference_year]]</f>
        <v>Kuwait-2015</v>
      </c>
    </row>
    <row r="835" spans="1:15" x14ac:dyDescent="0.3">
      <c r="A835" s="8" t="s">
        <v>202</v>
      </c>
      <c r="B835" s="8" t="s">
        <v>203</v>
      </c>
      <c r="C835" s="8">
        <v>2016</v>
      </c>
      <c r="D835" s="8">
        <v>92470714018.343994</v>
      </c>
      <c r="E835" s="8">
        <v>109000000000</v>
      </c>
      <c r="F835" s="8">
        <v>4004096</v>
      </c>
      <c r="G835" s="8">
        <v>2.926075843</v>
      </c>
      <c r="H835" s="8">
        <v>96.157672379999994</v>
      </c>
      <c r="I835" s="8">
        <v>23094.03</v>
      </c>
      <c r="J835" s="8">
        <v>27222.12</v>
      </c>
      <c r="K835" s="8">
        <v>84.84</v>
      </c>
      <c r="L835" s="8">
        <v>44</v>
      </c>
      <c r="M835" s="8">
        <v>108241914171.25505</v>
      </c>
      <c r="N835" s="8">
        <v>-14.57</v>
      </c>
      <c r="O835" s="8" t="str">
        <f>vw_scenario_analysis_dataset[[#This Row],[reporter_name]] &amp; "-" &amp; vw_scenario_analysis_dataset[[#This Row],[reference_year]]</f>
        <v>Kuwait-2016</v>
      </c>
    </row>
    <row r="836" spans="1:15" x14ac:dyDescent="0.3">
      <c r="A836" s="8" t="s">
        <v>202</v>
      </c>
      <c r="B836" s="8" t="s">
        <v>203</v>
      </c>
      <c r="C836" s="8">
        <v>2017</v>
      </c>
      <c r="D836" s="8">
        <v>109983742564.24402</v>
      </c>
      <c r="E836" s="8">
        <v>121000000000</v>
      </c>
      <c r="F836" s="8">
        <v>4154812</v>
      </c>
      <c r="G836" s="8">
        <v>-4.7122227050000003</v>
      </c>
      <c r="H836" s="8">
        <v>97.840046459999996</v>
      </c>
      <c r="I836" s="8">
        <v>26471.41</v>
      </c>
      <c r="J836" s="8">
        <v>29122.86</v>
      </c>
      <c r="K836" s="8">
        <v>90.9</v>
      </c>
      <c r="L836" s="8">
        <v>44</v>
      </c>
      <c r="M836" s="8">
        <v>92470714018.343994</v>
      </c>
      <c r="N836" s="8">
        <v>18.940000000000001</v>
      </c>
      <c r="O836" s="8" t="str">
        <f>vw_scenario_analysis_dataset[[#This Row],[reporter_name]] &amp; "-" &amp; vw_scenario_analysis_dataset[[#This Row],[reference_year]]</f>
        <v>Kuwait-2017</v>
      </c>
    </row>
    <row r="837" spans="1:15" x14ac:dyDescent="0.3">
      <c r="A837" s="8" t="s">
        <v>202</v>
      </c>
      <c r="B837" s="8" t="s">
        <v>203</v>
      </c>
      <c r="C837" s="8">
        <v>2018</v>
      </c>
      <c r="D837" s="8">
        <v>143882889110</v>
      </c>
      <c r="E837" s="8">
        <v>139000000000</v>
      </c>
      <c r="F837" s="8">
        <v>4323515</v>
      </c>
      <c r="G837" s="8">
        <v>2.7433304500000002</v>
      </c>
      <c r="H837" s="8">
        <v>102.7856307</v>
      </c>
      <c r="I837" s="8">
        <v>33279.15</v>
      </c>
      <c r="J837" s="8">
        <v>32149.77</v>
      </c>
      <c r="K837" s="8">
        <v>103.51</v>
      </c>
      <c r="L837" s="8">
        <v>41</v>
      </c>
      <c r="M837" s="8">
        <v>109983742564.24402</v>
      </c>
      <c r="N837" s="8">
        <v>30.82</v>
      </c>
      <c r="O837" s="8" t="str">
        <f>vw_scenario_analysis_dataset[[#This Row],[reporter_name]] &amp; "-" &amp; vw_scenario_analysis_dataset[[#This Row],[reference_year]]</f>
        <v>Kuwait-2018</v>
      </c>
    </row>
    <row r="838" spans="1:15" x14ac:dyDescent="0.3">
      <c r="A838" s="8" t="s">
        <v>202</v>
      </c>
      <c r="B838" s="8" t="s">
        <v>203</v>
      </c>
      <c r="C838" s="8">
        <v>2019</v>
      </c>
      <c r="D838" s="8">
        <v>128964249978</v>
      </c>
      <c r="E838" s="8">
        <v>141000000000</v>
      </c>
      <c r="F838" s="8">
        <v>4442316</v>
      </c>
      <c r="G838" s="8">
        <v>2.2638170660000001</v>
      </c>
      <c r="H838" s="8">
        <v>91.685712390000006</v>
      </c>
      <c r="I838" s="8">
        <v>29030.86</v>
      </c>
      <c r="J838" s="8">
        <v>31740.2</v>
      </c>
      <c r="K838" s="8">
        <v>91.46</v>
      </c>
      <c r="L838" s="8">
        <v>42</v>
      </c>
      <c r="M838" s="8">
        <v>143882889110</v>
      </c>
      <c r="N838" s="8">
        <v>-10.37</v>
      </c>
      <c r="O838" s="8" t="str">
        <f>vw_scenario_analysis_dataset[[#This Row],[reporter_name]] &amp; "-" &amp; vw_scenario_analysis_dataset[[#This Row],[reference_year]]</f>
        <v>Kuwait-2019</v>
      </c>
    </row>
    <row r="839" spans="1:15" x14ac:dyDescent="0.3">
      <c r="A839" s="8" t="s">
        <v>202</v>
      </c>
      <c r="B839" s="8" t="s">
        <v>203</v>
      </c>
      <c r="C839" s="8">
        <v>2020</v>
      </c>
      <c r="D839" s="8">
        <v>80332294674</v>
      </c>
      <c r="E839" s="8">
        <v>111000000000</v>
      </c>
      <c r="F839" s="8">
        <v>4400267</v>
      </c>
      <c r="G839" s="8">
        <v>-4.8173159339999998</v>
      </c>
      <c r="H839" s="8">
        <v>82.012510129999995</v>
      </c>
      <c r="I839" s="8">
        <v>18256.23</v>
      </c>
      <c r="J839" s="8">
        <v>25225.74</v>
      </c>
      <c r="K839" s="8">
        <v>72.37</v>
      </c>
      <c r="L839" s="8">
        <v>45</v>
      </c>
      <c r="M839" s="8">
        <v>128964249978</v>
      </c>
      <c r="N839" s="8">
        <v>-37.71</v>
      </c>
      <c r="O839" s="8" t="str">
        <f>vw_scenario_analysis_dataset[[#This Row],[reporter_name]] &amp; "-" &amp; vw_scenario_analysis_dataset[[#This Row],[reference_year]]</f>
        <v>Kuwait-2020</v>
      </c>
    </row>
    <row r="840" spans="1:15" x14ac:dyDescent="0.3">
      <c r="A840" s="8" t="s">
        <v>202</v>
      </c>
      <c r="B840" s="8" t="s">
        <v>203</v>
      </c>
      <c r="C840" s="8">
        <v>2021</v>
      </c>
      <c r="D840" s="8">
        <v>126259387904</v>
      </c>
      <c r="E840" s="8">
        <v>148000000000</v>
      </c>
      <c r="F840" s="8">
        <v>4360865</v>
      </c>
      <c r="G840" s="8">
        <v>1.672130543</v>
      </c>
      <c r="H840" s="8">
        <v>82.000375180000006</v>
      </c>
      <c r="I840" s="8">
        <v>28952.83</v>
      </c>
      <c r="J840" s="8">
        <v>33938.22</v>
      </c>
      <c r="K840" s="8">
        <v>85.31</v>
      </c>
      <c r="L840" s="8">
        <v>44</v>
      </c>
      <c r="M840" s="8">
        <v>80332294674</v>
      </c>
      <c r="N840" s="8">
        <v>57.17</v>
      </c>
      <c r="O840" s="8" t="str">
        <f>vw_scenario_analysis_dataset[[#This Row],[reporter_name]] &amp; "-" &amp; vw_scenario_analysis_dataset[[#This Row],[reference_year]]</f>
        <v>Kuwait-2021</v>
      </c>
    </row>
    <row r="841" spans="1:15" x14ac:dyDescent="0.3">
      <c r="A841" s="8" t="s">
        <v>202</v>
      </c>
      <c r="B841" s="8" t="s">
        <v>203</v>
      </c>
      <c r="C841" s="8">
        <v>2022</v>
      </c>
      <c r="D841" s="8">
        <v>199550127171.03998</v>
      </c>
      <c r="E841" s="8">
        <v>184000000000</v>
      </c>
      <c r="F841" s="8">
        <v>4589643</v>
      </c>
      <c r="G841" s="8">
        <v>6.7586671200000001</v>
      </c>
      <c r="H841" s="8">
        <v>90.918810199999996</v>
      </c>
      <c r="I841" s="8">
        <v>43478.35</v>
      </c>
      <c r="J841" s="8">
        <v>40090.26</v>
      </c>
      <c r="K841" s="8">
        <v>108.45</v>
      </c>
      <c r="L841" s="8">
        <v>35</v>
      </c>
      <c r="M841" s="8">
        <v>126259387904</v>
      </c>
      <c r="N841" s="8">
        <v>58.05</v>
      </c>
      <c r="O841" s="8" t="str">
        <f>vw_scenario_analysis_dataset[[#This Row],[reporter_name]] &amp; "-" &amp; vw_scenario_analysis_dataset[[#This Row],[reference_year]]</f>
        <v>Kuwait-2022</v>
      </c>
    </row>
    <row r="842" spans="1:15" x14ac:dyDescent="0.3">
      <c r="A842" s="8" t="s">
        <v>202</v>
      </c>
      <c r="B842" s="8" t="s">
        <v>203</v>
      </c>
      <c r="C842" s="8">
        <v>2023</v>
      </c>
      <c r="D842" s="8">
        <v>167959817655.73404</v>
      </c>
      <c r="E842" s="8">
        <v>165000000000</v>
      </c>
      <c r="F842" s="8">
        <v>4853420</v>
      </c>
      <c r="G842" s="8">
        <v>-1.6408780000000001</v>
      </c>
      <c r="H842" s="8">
        <v>96.034350970000006</v>
      </c>
      <c r="I842" s="8">
        <v>34606.49</v>
      </c>
      <c r="J842" s="8">
        <v>33996.65</v>
      </c>
      <c r="K842" s="8">
        <v>101.79</v>
      </c>
      <c r="L842" s="8">
        <v>37</v>
      </c>
      <c r="M842" s="8">
        <v>199550127171.03998</v>
      </c>
      <c r="N842" s="8">
        <v>-15.83</v>
      </c>
      <c r="O842" s="8" t="str">
        <f>vw_scenario_analysis_dataset[[#This Row],[reporter_name]] &amp; "-" &amp; vw_scenario_analysis_dataset[[#This Row],[reference_year]]</f>
        <v>Kuwait-2023</v>
      </c>
    </row>
    <row r="843" spans="1:15" x14ac:dyDescent="0.3">
      <c r="A843" s="8" t="s">
        <v>202</v>
      </c>
      <c r="B843" s="8" t="s">
        <v>203</v>
      </c>
      <c r="C843" s="8">
        <v>2024</v>
      </c>
      <c r="D843" s="8">
        <v>151982773984</v>
      </c>
      <c r="E843" s="8">
        <v>161000000000</v>
      </c>
      <c r="F843" s="8">
        <v>4897263</v>
      </c>
      <c r="G843" s="8">
        <v>-1.474018182</v>
      </c>
      <c r="H843" s="8">
        <v>93.99091627</v>
      </c>
      <c r="I843" s="8">
        <v>31034.23</v>
      </c>
      <c r="J843" s="8">
        <v>32875.51</v>
      </c>
      <c r="K843" s="8">
        <v>94.4</v>
      </c>
      <c r="L843" s="8">
        <v>39</v>
      </c>
      <c r="M843" s="8">
        <v>167959817655.73404</v>
      </c>
      <c r="N843" s="8">
        <v>-9.51</v>
      </c>
      <c r="O843" s="8" t="str">
        <f>vw_scenario_analysis_dataset[[#This Row],[reporter_name]] &amp; "-" &amp; vw_scenario_analysis_dataset[[#This Row],[reference_year]]</f>
        <v>Kuwait-2024</v>
      </c>
    </row>
    <row r="844" spans="1:15" x14ac:dyDescent="0.3">
      <c r="A844" s="8" t="s">
        <v>204</v>
      </c>
      <c r="B844" s="8" t="s">
        <v>205</v>
      </c>
      <c r="C844" s="8">
        <v>2015</v>
      </c>
      <c r="D844" s="8">
        <v>5970190716</v>
      </c>
      <c r="E844" s="8">
        <v>14426380126</v>
      </c>
      <c r="F844" s="8">
        <v>6801645</v>
      </c>
      <c r="G844" s="8">
        <v>7.2700658440000003</v>
      </c>
      <c r="H844" s="8">
        <v>85.798321700000002</v>
      </c>
      <c r="I844" s="8">
        <v>877.76</v>
      </c>
      <c r="J844" s="8">
        <v>2121.0100000000002</v>
      </c>
      <c r="K844" s="8">
        <v>41.38</v>
      </c>
      <c r="L844" s="8">
        <v>108</v>
      </c>
      <c r="M844" s="8"/>
      <c r="N844" s="8"/>
      <c r="O844" s="8" t="str">
        <f>vw_scenario_analysis_dataset[[#This Row],[reporter_name]] &amp; "-" &amp; vw_scenario_analysis_dataset[[#This Row],[reference_year]]</f>
        <v>Lao People's Dem. Rep.-2015</v>
      </c>
    </row>
    <row r="845" spans="1:15" x14ac:dyDescent="0.3">
      <c r="A845" s="8" t="s">
        <v>204</v>
      </c>
      <c r="B845" s="8" t="s">
        <v>205</v>
      </c>
      <c r="C845" s="8">
        <v>2016</v>
      </c>
      <c r="D845" s="8">
        <v>6248337955</v>
      </c>
      <c r="E845" s="8">
        <v>15912501723</v>
      </c>
      <c r="F845" s="8">
        <v>6908802</v>
      </c>
      <c r="G845" s="8">
        <v>7.0228362549999996</v>
      </c>
      <c r="H845" s="8">
        <v>75.091890919999997</v>
      </c>
      <c r="I845" s="8">
        <v>904.4</v>
      </c>
      <c r="J845" s="8">
        <v>2303.2199999999998</v>
      </c>
      <c r="K845" s="8">
        <v>39.270000000000003</v>
      </c>
      <c r="L845" s="8">
        <v>107</v>
      </c>
      <c r="M845" s="8">
        <v>5970190716</v>
      </c>
      <c r="N845" s="8">
        <v>4.66</v>
      </c>
      <c r="O845" s="8" t="str">
        <f>vw_scenario_analysis_dataset[[#This Row],[reporter_name]] &amp; "-" &amp; vw_scenario_analysis_dataset[[#This Row],[reference_year]]</f>
        <v>Lao People's Dem. Rep.-2016</v>
      </c>
    </row>
    <row r="846" spans="1:15" x14ac:dyDescent="0.3">
      <c r="A846" s="8" t="s">
        <v>204</v>
      </c>
      <c r="B846" s="8" t="s">
        <v>205</v>
      </c>
      <c r="C846" s="8">
        <v>2017</v>
      </c>
      <c r="D846" s="8">
        <v>9819467309.9200001</v>
      </c>
      <c r="E846" s="8">
        <v>17071155481</v>
      </c>
      <c r="F846" s="8">
        <v>7018147</v>
      </c>
      <c r="G846" s="8">
        <v>6.8925308730000001</v>
      </c>
      <c r="H846" s="8"/>
      <c r="I846" s="8">
        <v>1399.15</v>
      </c>
      <c r="J846" s="8">
        <v>2432.4299999999998</v>
      </c>
      <c r="K846" s="8">
        <v>57.52</v>
      </c>
      <c r="L846" s="8">
        <v>101</v>
      </c>
      <c r="M846" s="8">
        <v>6248337955</v>
      </c>
      <c r="N846" s="8">
        <v>57.15</v>
      </c>
      <c r="O846" s="8" t="str">
        <f>vw_scenario_analysis_dataset[[#This Row],[reporter_name]] &amp; "-" &amp; vw_scenario_analysis_dataset[[#This Row],[reference_year]]</f>
        <v>Lao People's Dem. Rep.-2017</v>
      </c>
    </row>
    <row r="847" spans="1:15" x14ac:dyDescent="0.3">
      <c r="A847" s="8" t="s">
        <v>204</v>
      </c>
      <c r="B847" s="8" t="s">
        <v>205</v>
      </c>
      <c r="C847" s="8">
        <v>2018</v>
      </c>
      <c r="D847" s="8">
        <v>11629612738.360001</v>
      </c>
      <c r="E847" s="8">
        <v>18141641090</v>
      </c>
      <c r="F847" s="8">
        <v>7128045</v>
      </c>
      <c r="G847" s="8">
        <v>6.2479600079999997</v>
      </c>
      <c r="H847" s="8"/>
      <c r="I847" s="8">
        <v>1631.53</v>
      </c>
      <c r="J847" s="8">
        <v>2545.11</v>
      </c>
      <c r="K847" s="8">
        <v>64.099999999999994</v>
      </c>
      <c r="L847" s="8">
        <v>98</v>
      </c>
      <c r="M847" s="8">
        <v>9819467309.9200001</v>
      </c>
      <c r="N847" s="8">
        <v>18.43</v>
      </c>
      <c r="O847" s="8" t="str">
        <f>vw_scenario_analysis_dataset[[#This Row],[reporter_name]] &amp; "-" &amp; vw_scenario_analysis_dataset[[#This Row],[reference_year]]</f>
        <v>Lao People's Dem. Rep.-2018</v>
      </c>
    </row>
    <row r="848" spans="1:15" x14ac:dyDescent="0.3">
      <c r="A848" s="8" t="s">
        <v>204</v>
      </c>
      <c r="B848" s="8" t="s">
        <v>205</v>
      </c>
      <c r="C848" s="8">
        <v>2019</v>
      </c>
      <c r="D848" s="8">
        <v>11618692321.556</v>
      </c>
      <c r="E848" s="8">
        <v>18740561513</v>
      </c>
      <c r="F848" s="8">
        <v>7237636</v>
      </c>
      <c r="G848" s="8">
        <v>5.4577350920000001</v>
      </c>
      <c r="H848" s="8"/>
      <c r="I848" s="8">
        <v>1605.32</v>
      </c>
      <c r="J848" s="8">
        <v>2589.3200000000002</v>
      </c>
      <c r="K848" s="8">
        <v>62</v>
      </c>
      <c r="L848" s="8">
        <v>95</v>
      </c>
      <c r="M848" s="8">
        <v>11629612738.360001</v>
      </c>
      <c r="N848" s="8">
        <v>-0.09</v>
      </c>
      <c r="O848" s="8" t="str">
        <f>vw_scenario_analysis_dataset[[#This Row],[reporter_name]] &amp; "-" &amp; vw_scenario_analysis_dataset[[#This Row],[reference_year]]</f>
        <v>Lao People's Dem. Rep.-2019</v>
      </c>
    </row>
    <row r="849" spans="1:15" x14ac:dyDescent="0.3">
      <c r="A849" s="8" t="s">
        <v>204</v>
      </c>
      <c r="B849" s="8" t="s">
        <v>205</v>
      </c>
      <c r="C849" s="8">
        <v>2020</v>
      </c>
      <c r="D849" s="8">
        <v>10173773846.953001</v>
      </c>
      <c r="E849" s="8">
        <v>18981805250</v>
      </c>
      <c r="F849" s="8">
        <v>7346533</v>
      </c>
      <c r="G849" s="8">
        <v>0.50303182899999999</v>
      </c>
      <c r="H849" s="8"/>
      <c r="I849" s="8">
        <v>1384.84</v>
      </c>
      <c r="J849" s="8">
        <v>2583.7800000000002</v>
      </c>
      <c r="K849" s="8">
        <v>53.6</v>
      </c>
      <c r="L849" s="8">
        <v>95</v>
      </c>
      <c r="M849" s="8">
        <v>11618692321.556</v>
      </c>
      <c r="N849" s="8">
        <v>-12.44</v>
      </c>
      <c r="O849" s="8" t="str">
        <f>vw_scenario_analysis_dataset[[#This Row],[reporter_name]] &amp; "-" &amp; vw_scenario_analysis_dataset[[#This Row],[reference_year]]</f>
        <v>Lao People's Dem. Rep.-2020</v>
      </c>
    </row>
    <row r="850" spans="1:15" x14ac:dyDescent="0.3">
      <c r="A850" s="8" t="s">
        <v>204</v>
      </c>
      <c r="B850" s="8" t="s">
        <v>205</v>
      </c>
      <c r="C850" s="8">
        <v>2021</v>
      </c>
      <c r="D850" s="8">
        <v>14329210918.139992</v>
      </c>
      <c r="E850" s="8">
        <v>18827148531</v>
      </c>
      <c r="F850" s="8">
        <v>7453194</v>
      </c>
      <c r="G850" s="8">
        <v>2.5283510050000002</v>
      </c>
      <c r="H850" s="8"/>
      <c r="I850" s="8">
        <v>1922.56</v>
      </c>
      <c r="J850" s="8">
        <v>2526.0500000000002</v>
      </c>
      <c r="K850" s="8">
        <v>76.11</v>
      </c>
      <c r="L850" s="8">
        <v>93</v>
      </c>
      <c r="M850" s="8">
        <v>10173773846.953001</v>
      </c>
      <c r="N850" s="8">
        <v>40.840000000000003</v>
      </c>
      <c r="O850" s="8" t="str">
        <f>vw_scenario_analysis_dataset[[#This Row],[reporter_name]] &amp; "-" &amp; vw_scenario_analysis_dataset[[#This Row],[reference_year]]</f>
        <v>Lao People's Dem. Rep.-2021</v>
      </c>
    </row>
    <row r="851" spans="1:15" x14ac:dyDescent="0.3">
      <c r="A851" s="8" t="s">
        <v>204</v>
      </c>
      <c r="B851" s="8" t="s">
        <v>205</v>
      </c>
      <c r="C851" s="8">
        <v>2022</v>
      </c>
      <c r="D851" s="8">
        <v>19127784176.25</v>
      </c>
      <c r="E851" s="8">
        <v>15468785204</v>
      </c>
      <c r="F851" s="8">
        <v>7559007</v>
      </c>
      <c r="G851" s="8">
        <v>2.7074265259999999</v>
      </c>
      <c r="H851" s="8"/>
      <c r="I851" s="8">
        <v>2530.46</v>
      </c>
      <c r="J851" s="8">
        <v>2046.4</v>
      </c>
      <c r="K851" s="8">
        <v>123.65</v>
      </c>
      <c r="L851" s="8">
        <v>89</v>
      </c>
      <c r="M851" s="8">
        <v>14329210918.139992</v>
      </c>
      <c r="N851" s="8">
        <v>33.49</v>
      </c>
      <c r="O851" s="8" t="str">
        <f>vw_scenario_analysis_dataset[[#This Row],[reporter_name]] &amp; "-" &amp; vw_scenario_analysis_dataset[[#This Row],[reference_year]]</f>
        <v>Lao People's Dem. Rep.-2022</v>
      </c>
    </row>
    <row r="852" spans="1:15" x14ac:dyDescent="0.3">
      <c r="A852" s="8" t="s">
        <v>204</v>
      </c>
      <c r="B852" s="8" t="s">
        <v>205</v>
      </c>
      <c r="C852" s="8">
        <v>2023</v>
      </c>
      <c r="D852" s="8">
        <v>12084835183.369001</v>
      </c>
      <c r="E852" s="8">
        <v>15843155731</v>
      </c>
      <c r="F852" s="8">
        <v>7664993</v>
      </c>
      <c r="G852" s="8">
        <v>3.7456814020000002</v>
      </c>
      <c r="H852" s="8"/>
      <c r="I852" s="8">
        <v>1576.63</v>
      </c>
      <c r="J852" s="8">
        <v>2066.9499999999998</v>
      </c>
      <c r="K852" s="8">
        <v>76.28</v>
      </c>
      <c r="L852" s="8">
        <v>101</v>
      </c>
      <c r="M852" s="8">
        <v>19127784176.25</v>
      </c>
      <c r="N852" s="8">
        <v>-36.82</v>
      </c>
      <c r="O852" s="8" t="str">
        <f>vw_scenario_analysis_dataset[[#This Row],[reporter_name]] &amp; "-" &amp; vw_scenario_analysis_dataset[[#This Row],[reference_year]]</f>
        <v>Lao People's Dem. Rep.-2023</v>
      </c>
    </row>
    <row r="853" spans="1:15" x14ac:dyDescent="0.3">
      <c r="A853" s="8" t="s">
        <v>206</v>
      </c>
      <c r="B853" s="8" t="s">
        <v>207</v>
      </c>
      <c r="C853" s="8">
        <v>2015</v>
      </c>
      <c r="D853" s="8">
        <v>5906777279.2659988</v>
      </c>
      <c r="E853" s="8">
        <v>49929337837</v>
      </c>
      <c r="F853" s="8">
        <v>6472469</v>
      </c>
      <c r="G853" s="8">
        <v>0.46232079300000001</v>
      </c>
      <c r="H853" s="8">
        <v>71.839042629999994</v>
      </c>
      <c r="I853" s="8">
        <v>912.6</v>
      </c>
      <c r="J853" s="8">
        <v>7714.11</v>
      </c>
      <c r="K853" s="8">
        <v>11.83</v>
      </c>
      <c r="L853" s="8">
        <v>109</v>
      </c>
      <c r="M853" s="8"/>
      <c r="N853" s="8"/>
      <c r="O853" s="8" t="str">
        <f>vw_scenario_analysis_dataset[[#This Row],[reporter_name]] &amp; "-" &amp; vw_scenario_analysis_dataset[[#This Row],[reference_year]]</f>
        <v>Lebanon-2015</v>
      </c>
    </row>
    <row r="854" spans="1:15" x14ac:dyDescent="0.3">
      <c r="A854" s="8" t="s">
        <v>206</v>
      </c>
      <c r="B854" s="8" t="s">
        <v>207</v>
      </c>
      <c r="C854" s="8">
        <v>2016</v>
      </c>
      <c r="D854" s="8">
        <v>5953123166</v>
      </c>
      <c r="E854" s="8">
        <v>51147308774</v>
      </c>
      <c r="F854" s="8">
        <v>6323060</v>
      </c>
      <c r="G854" s="8">
        <v>1.554549409</v>
      </c>
      <c r="H854" s="8">
        <v>67.723617790000006</v>
      </c>
      <c r="I854" s="8">
        <v>941.49</v>
      </c>
      <c r="J854" s="8">
        <v>8089.01</v>
      </c>
      <c r="K854" s="8">
        <v>11.64</v>
      </c>
      <c r="L854" s="8">
        <v>109</v>
      </c>
      <c r="M854" s="8">
        <v>5906777279.2659988</v>
      </c>
      <c r="N854" s="8">
        <v>0.78</v>
      </c>
      <c r="O854" s="8" t="str">
        <f>vw_scenario_analysis_dataset[[#This Row],[reporter_name]] &amp; "-" &amp; vw_scenario_analysis_dataset[[#This Row],[reference_year]]</f>
        <v>Lebanon-2016</v>
      </c>
    </row>
    <row r="855" spans="1:15" x14ac:dyDescent="0.3">
      <c r="A855" s="8" t="s">
        <v>206</v>
      </c>
      <c r="B855" s="8" t="s">
        <v>207</v>
      </c>
      <c r="C855" s="8">
        <v>2017</v>
      </c>
      <c r="D855" s="8">
        <v>7171911002</v>
      </c>
      <c r="E855" s="8">
        <v>53027680686</v>
      </c>
      <c r="F855" s="8">
        <v>6160128</v>
      </c>
      <c r="G855" s="8">
        <v>0.90302846400000003</v>
      </c>
      <c r="H855" s="8">
        <v>68.455429260000003</v>
      </c>
      <c r="I855" s="8">
        <v>1164.25</v>
      </c>
      <c r="J855" s="8">
        <v>8608.2099999999991</v>
      </c>
      <c r="K855" s="8">
        <v>13.52</v>
      </c>
      <c r="L855" s="8">
        <v>107</v>
      </c>
      <c r="M855" s="8">
        <v>5953123166</v>
      </c>
      <c r="N855" s="8">
        <v>20.47</v>
      </c>
      <c r="O855" s="8" t="str">
        <f>vw_scenario_analysis_dataset[[#This Row],[reporter_name]] &amp; "-" &amp; vw_scenario_analysis_dataset[[#This Row],[reference_year]]</f>
        <v>Lebanon-2017</v>
      </c>
    </row>
    <row r="856" spans="1:15" x14ac:dyDescent="0.3">
      <c r="A856" s="8" t="s">
        <v>206</v>
      </c>
      <c r="B856" s="8" t="s">
        <v>207</v>
      </c>
      <c r="C856" s="8">
        <v>2018</v>
      </c>
      <c r="D856" s="8">
        <v>7660000000</v>
      </c>
      <c r="E856" s="8">
        <v>54901519156</v>
      </c>
      <c r="F856" s="8">
        <v>5984119</v>
      </c>
      <c r="G856" s="8">
        <v>-1.884705756</v>
      </c>
      <c r="H856" s="8">
        <v>68.257307299999994</v>
      </c>
      <c r="I856" s="8">
        <v>1280.05</v>
      </c>
      <c r="J856" s="8">
        <v>9174.5400000000009</v>
      </c>
      <c r="K856" s="8">
        <v>13.95</v>
      </c>
      <c r="L856" s="8">
        <v>105</v>
      </c>
      <c r="M856" s="8">
        <v>7171911002</v>
      </c>
      <c r="N856" s="8">
        <v>6.81</v>
      </c>
      <c r="O856" s="8" t="str">
        <f>vw_scenario_analysis_dataset[[#This Row],[reporter_name]] &amp; "-" &amp; vw_scenario_analysis_dataset[[#This Row],[reference_year]]</f>
        <v>Lebanon-2018</v>
      </c>
    </row>
    <row r="857" spans="1:15" x14ac:dyDescent="0.3">
      <c r="A857" s="8" t="s">
        <v>206</v>
      </c>
      <c r="B857" s="8" t="s">
        <v>207</v>
      </c>
      <c r="C857" s="8">
        <v>2019</v>
      </c>
      <c r="D857" s="8">
        <v>7462680181.3400021</v>
      </c>
      <c r="E857" s="8">
        <v>51605959131</v>
      </c>
      <c r="F857" s="8">
        <v>5794594</v>
      </c>
      <c r="G857" s="8">
        <v>-6.914924729</v>
      </c>
      <c r="H857" s="8">
        <v>62.980916010000001</v>
      </c>
      <c r="I857" s="8">
        <v>1287.8699999999999</v>
      </c>
      <c r="J857" s="8">
        <v>8905.8799999999992</v>
      </c>
      <c r="K857" s="8">
        <v>14.46</v>
      </c>
      <c r="L857" s="8">
        <v>108</v>
      </c>
      <c r="M857" s="8">
        <v>7660000000</v>
      </c>
      <c r="N857" s="8">
        <v>-2.58</v>
      </c>
      <c r="O857" s="8" t="str">
        <f>vw_scenario_analysis_dataset[[#This Row],[reporter_name]] &amp; "-" &amp; vw_scenario_analysis_dataset[[#This Row],[reference_year]]</f>
        <v>Lebanon-2019</v>
      </c>
    </row>
    <row r="858" spans="1:15" x14ac:dyDescent="0.3">
      <c r="A858" s="8" t="s">
        <v>206</v>
      </c>
      <c r="B858" s="8" t="s">
        <v>207</v>
      </c>
      <c r="C858" s="8">
        <v>2020</v>
      </c>
      <c r="D858" s="8">
        <v>7614922364</v>
      </c>
      <c r="E858" s="8">
        <v>31712128254</v>
      </c>
      <c r="F858" s="8">
        <v>5702398</v>
      </c>
      <c r="G858" s="8">
        <v>-21.399899690000002</v>
      </c>
      <c r="H858" s="8">
        <v>50.129804290000003</v>
      </c>
      <c r="I858" s="8">
        <v>1335.39</v>
      </c>
      <c r="J858" s="8">
        <v>5561.19</v>
      </c>
      <c r="K858" s="8">
        <v>24.01</v>
      </c>
      <c r="L858" s="8">
        <v>107</v>
      </c>
      <c r="M858" s="8">
        <v>7462680181.3400021</v>
      </c>
      <c r="N858" s="8">
        <v>2.04</v>
      </c>
      <c r="O858" s="8" t="str">
        <f>vw_scenario_analysis_dataset[[#This Row],[reporter_name]] &amp; "-" &amp; vw_scenario_analysis_dataset[[#This Row],[reference_year]]</f>
        <v>Lebanon-2020</v>
      </c>
    </row>
    <row r="859" spans="1:15" x14ac:dyDescent="0.3">
      <c r="A859" s="8" t="s">
        <v>206</v>
      </c>
      <c r="B859" s="8" t="s">
        <v>207</v>
      </c>
      <c r="C859" s="8">
        <v>2021</v>
      </c>
      <c r="D859" s="8">
        <v>8459953476</v>
      </c>
      <c r="E859" s="8">
        <v>23131941557</v>
      </c>
      <c r="F859" s="8">
        <v>5718122</v>
      </c>
      <c r="G859" s="8">
        <v>-7.001238625</v>
      </c>
      <c r="H859" s="8">
        <v>78.828620400000005</v>
      </c>
      <c r="I859" s="8">
        <v>1479.5</v>
      </c>
      <c r="J859" s="8">
        <v>4045.37</v>
      </c>
      <c r="K859" s="8">
        <v>36.57</v>
      </c>
      <c r="L859" s="8">
        <v>107</v>
      </c>
      <c r="M859" s="8">
        <v>7614922364</v>
      </c>
      <c r="N859" s="8">
        <v>11.1</v>
      </c>
      <c r="O859" s="8" t="str">
        <f>vw_scenario_analysis_dataset[[#This Row],[reporter_name]] &amp; "-" &amp; vw_scenario_analysis_dataset[[#This Row],[reference_year]]</f>
        <v>Lebanon-2021</v>
      </c>
    </row>
    <row r="860" spans="1:15" x14ac:dyDescent="0.3">
      <c r="A860" s="8" t="s">
        <v>206</v>
      </c>
      <c r="B860" s="8" t="s">
        <v>207</v>
      </c>
      <c r="C860" s="8">
        <v>2022</v>
      </c>
      <c r="D860" s="8">
        <v>7724490748</v>
      </c>
      <c r="E860" s="8">
        <v>20992421949</v>
      </c>
      <c r="F860" s="8">
        <v>5744489</v>
      </c>
      <c r="G860" s="8">
        <v>-0.62167897100000002</v>
      </c>
      <c r="H860" s="8">
        <v>114.8882783</v>
      </c>
      <c r="I860" s="8">
        <v>1344.68</v>
      </c>
      <c r="J860" s="8">
        <v>3654.36</v>
      </c>
      <c r="K860" s="8">
        <v>36.799999999999997</v>
      </c>
      <c r="L860" s="8">
        <v>111</v>
      </c>
      <c r="M860" s="8">
        <v>8459953476</v>
      </c>
      <c r="N860" s="8">
        <v>-8.69</v>
      </c>
      <c r="O860" s="8" t="str">
        <f>vw_scenario_analysis_dataset[[#This Row],[reporter_name]] &amp; "-" &amp; vw_scenario_analysis_dataset[[#This Row],[reference_year]]</f>
        <v>Lebanon-2022</v>
      </c>
    </row>
    <row r="861" spans="1:15" x14ac:dyDescent="0.3">
      <c r="A861" s="8" t="s">
        <v>206</v>
      </c>
      <c r="B861" s="8" t="s">
        <v>207</v>
      </c>
      <c r="C861" s="8">
        <v>2023</v>
      </c>
      <c r="D861" s="8">
        <v>9121387146</v>
      </c>
      <c r="E861" s="8">
        <v>20078620357</v>
      </c>
      <c r="F861" s="8">
        <v>5773493</v>
      </c>
      <c r="G861" s="8">
        <v>-0.76058446999999996</v>
      </c>
      <c r="H861" s="8">
        <v>104.2064101</v>
      </c>
      <c r="I861" s="8">
        <v>1579.87</v>
      </c>
      <c r="J861" s="8">
        <v>3477.72</v>
      </c>
      <c r="K861" s="8">
        <v>45.43</v>
      </c>
      <c r="L861" s="8">
        <v>108</v>
      </c>
      <c r="M861" s="8">
        <v>7724490748</v>
      </c>
      <c r="N861" s="8">
        <v>18.079999999999998</v>
      </c>
      <c r="O861" s="8" t="str">
        <f>vw_scenario_analysis_dataset[[#This Row],[reporter_name]] &amp; "-" &amp; vw_scenario_analysis_dataset[[#This Row],[reference_year]]</f>
        <v>Lebanon-2023</v>
      </c>
    </row>
    <row r="862" spans="1:15" x14ac:dyDescent="0.3">
      <c r="A862" s="8" t="s">
        <v>206</v>
      </c>
      <c r="B862" s="8" t="s">
        <v>207</v>
      </c>
      <c r="C862" s="8">
        <v>2024</v>
      </c>
      <c r="D862" s="8">
        <v>8579202304</v>
      </c>
      <c r="E862" s="8">
        <v>25971643441</v>
      </c>
      <c r="F862" s="8">
        <v>5805962</v>
      </c>
      <c r="G862" s="8">
        <v>-7.0798919290000004</v>
      </c>
      <c r="H862" s="8">
        <v>82.232360459999995</v>
      </c>
      <c r="I862" s="8">
        <v>1477.65</v>
      </c>
      <c r="J862" s="8">
        <v>4473.2700000000004</v>
      </c>
      <c r="K862" s="8">
        <v>33.03</v>
      </c>
      <c r="L862" s="8">
        <v>98</v>
      </c>
      <c r="M862" s="8">
        <v>9121387146</v>
      </c>
      <c r="N862" s="8">
        <v>-5.94</v>
      </c>
      <c r="O862" s="8" t="str">
        <f>vw_scenario_analysis_dataset[[#This Row],[reporter_name]] &amp; "-" &amp; vw_scenario_analysis_dataset[[#This Row],[reference_year]]</f>
        <v>Lebanon-2024</v>
      </c>
    </row>
    <row r="863" spans="1:15" x14ac:dyDescent="0.3">
      <c r="A863" s="8" t="s">
        <v>208</v>
      </c>
      <c r="B863" s="8" t="s">
        <v>209</v>
      </c>
      <c r="C863" s="8">
        <v>2017</v>
      </c>
      <c r="D863" s="8">
        <v>389337226</v>
      </c>
      <c r="E863" s="8">
        <v>3390703400</v>
      </c>
      <c r="F863" s="8">
        <v>4848925</v>
      </c>
      <c r="G863" s="8">
        <v>2.4551559200000002</v>
      </c>
      <c r="H863" s="8"/>
      <c r="I863" s="8">
        <v>80.290000000000006</v>
      </c>
      <c r="J863" s="8">
        <v>699.27</v>
      </c>
      <c r="K863" s="8">
        <v>11.48</v>
      </c>
      <c r="L863" s="8">
        <v>151</v>
      </c>
      <c r="M863" s="8"/>
      <c r="N863" s="8"/>
      <c r="O863" s="8" t="str">
        <f>vw_scenario_analysis_dataset[[#This Row],[reporter_name]] &amp; "-" &amp; vw_scenario_analysis_dataset[[#This Row],[reference_year]]</f>
        <v>Liberia-2017</v>
      </c>
    </row>
    <row r="864" spans="1:15" x14ac:dyDescent="0.3">
      <c r="A864" s="8" t="s">
        <v>208</v>
      </c>
      <c r="B864" s="8" t="s">
        <v>209</v>
      </c>
      <c r="C864" s="8">
        <v>2018</v>
      </c>
      <c r="D864" s="8">
        <v>326873531.14000005</v>
      </c>
      <c r="E864" s="8">
        <v>3422754800</v>
      </c>
      <c r="F864" s="8">
        <v>4944726</v>
      </c>
      <c r="G864" s="8">
        <v>1.1575751219999999</v>
      </c>
      <c r="H864" s="8"/>
      <c r="I864" s="8">
        <v>66.11</v>
      </c>
      <c r="J864" s="8">
        <v>692.2</v>
      </c>
      <c r="K864" s="8">
        <v>9.5500000000000007</v>
      </c>
      <c r="L864" s="8">
        <v>151</v>
      </c>
      <c r="M864" s="8">
        <v>389337226</v>
      </c>
      <c r="N864" s="8">
        <v>-16.04</v>
      </c>
      <c r="O864" s="8" t="str">
        <f>vw_scenario_analysis_dataset[[#This Row],[reporter_name]] &amp; "-" &amp; vw_scenario_analysis_dataset[[#This Row],[reference_year]]</f>
        <v>Liberia-2018</v>
      </c>
    </row>
    <row r="865" spans="1:15" x14ac:dyDescent="0.3">
      <c r="A865" s="8" t="s">
        <v>208</v>
      </c>
      <c r="B865" s="8" t="s">
        <v>209</v>
      </c>
      <c r="C865" s="8">
        <v>2019</v>
      </c>
      <c r="D865" s="8">
        <v>542340614.91799998</v>
      </c>
      <c r="E865" s="8">
        <v>3319596500</v>
      </c>
      <c r="F865" s="8">
        <v>5043721</v>
      </c>
      <c r="G865" s="8">
        <v>-2.467297635</v>
      </c>
      <c r="H865" s="8"/>
      <c r="I865" s="8">
        <v>107.53</v>
      </c>
      <c r="J865" s="8">
        <v>658.16</v>
      </c>
      <c r="K865" s="8">
        <v>16.34</v>
      </c>
      <c r="L865" s="8">
        <v>145</v>
      </c>
      <c r="M865" s="8">
        <v>326873531.14000005</v>
      </c>
      <c r="N865" s="8">
        <v>65.92</v>
      </c>
      <c r="O865" s="8" t="str">
        <f>vw_scenario_analysis_dataset[[#This Row],[reporter_name]] &amp; "-" &amp; vw_scenario_analysis_dataset[[#This Row],[reference_year]]</f>
        <v>Liberia-2019</v>
      </c>
    </row>
    <row r="866" spans="1:15" x14ac:dyDescent="0.3">
      <c r="A866" s="8" t="s">
        <v>208</v>
      </c>
      <c r="B866" s="8" t="s">
        <v>209</v>
      </c>
      <c r="C866" s="8">
        <v>2020</v>
      </c>
      <c r="D866" s="8">
        <v>836113456.91500008</v>
      </c>
      <c r="E866" s="8">
        <v>3176126300</v>
      </c>
      <c r="F866" s="8">
        <v>5149463</v>
      </c>
      <c r="G866" s="8">
        <v>-2.9824912760000002</v>
      </c>
      <c r="H866" s="8"/>
      <c r="I866" s="8">
        <v>162.37</v>
      </c>
      <c r="J866" s="8">
        <v>616.79</v>
      </c>
      <c r="K866" s="8">
        <v>26.32</v>
      </c>
      <c r="L866" s="8">
        <v>137</v>
      </c>
      <c r="M866" s="8">
        <v>542340614.91799998</v>
      </c>
      <c r="N866" s="8">
        <v>54.17</v>
      </c>
      <c r="O866" s="8" t="str">
        <f>vw_scenario_analysis_dataset[[#This Row],[reporter_name]] &amp; "-" &amp; vw_scenario_analysis_dataset[[#This Row],[reference_year]]</f>
        <v>Liberia-2020</v>
      </c>
    </row>
    <row r="867" spans="1:15" x14ac:dyDescent="0.3">
      <c r="A867" s="8" t="s">
        <v>208</v>
      </c>
      <c r="B867" s="8" t="s">
        <v>209</v>
      </c>
      <c r="C867" s="8">
        <v>2021</v>
      </c>
      <c r="D867" s="8">
        <v>343338189.08000004</v>
      </c>
      <c r="E867" s="8">
        <v>3513049500</v>
      </c>
      <c r="F867" s="8">
        <v>5259323</v>
      </c>
      <c r="G867" s="8">
        <v>4.9867128349999996</v>
      </c>
      <c r="H867" s="8"/>
      <c r="I867" s="8">
        <v>65.28</v>
      </c>
      <c r="J867" s="8">
        <v>667.97</v>
      </c>
      <c r="K867" s="8">
        <v>9.77</v>
      </c>
      <c r="L867" s="8">
        <v>145</v>
      </c>
      <c r="M867" s="8">
        <v>836113456.91500008</v>
      </c>
      <c r="N867" s="8">
        <v>-58.94</v>
      </c>
      <c r="O867" s="8" t="str">
        <f>vw_scenario_analysis_dataset[[#This Row],[reporter_name]] &amp; "-" &amp; vw_scenario_analysis_dataset[[#This Row],[reference_year]]</f>
        <v>Liberia-2021</v>
      </c>
    </row>
    <row r="868" spans="1:15" x14ac:dyDescent="0.3">
      <c r="A868" s="8" t="s">
        <v>208</v>
      </c>
      <c r="B868" s="8" t="s">
        <v>209</v>
      </c>
      <c r="C868" s="8">
        <v>2022</v>
      </c>
      <c r="D868" s="8">
        <v>405777434.94</v>
      </c>
      <c r="E868" s="8">
        <v>4001047000</v>
      </c>
      <c r="F868" s="8">
        <v>5373294</v>
      </c>
      <c r="G868" s="8">
        <v>4.8081051730000004</v>
      </c>
      <c r="H868" s="8"/>
      <c r="I868" s="8">
        <v>75.52</v>
      </c>
      <c r="J868" s="8">
        <v>744.62</v>
      </c>
      <c r="K868" s="8">
        <v>10.14</v>
      </c>
      <c r="L868" s="8">
        <v>145</v>
      </c>
      <c r="M868" s="8">
        <v>343338189.08000004</v>
      </c>
      <c r="N868" s="8">
        <v>18.190000000000001</v>
      </c>
      <c r="O868" s="8" t="str">
        <f>vw_scenario_analysis_dataset[[#This Row],[reporter_name]] &amp; "-" &amp; vw_scenario_analysis_dataset[[#This Row],[reference_year]]</f>
        <v>Liberia-2022</v>
      </c>
    </row>
    <row r="869" spans="1:15" x14ac:dyDescent="0.3">
      <c r="A869" s="8" t="s">
        <v>208</v>
      </c>
      <c r="B869" s="8" t="s">
        <v>209</v>
      </c>
      <c r="C869" s="8">
        <v>2023</v>
      </c>
      <c r="D869" s="8">
        <v>307405142.31999993</v>
      </c>
      <c r="E869" s="8">
        <v>4390000000</v>
      </c>
      <c r="F869" s="8">
        <v>5493031</v>
      </c>
      <c r="G869" s="8">
        <v>4.6837568879999996</v>
      </c>
      <c r="H869" s="8"/>
      <c r="I869" s="8">
        <v>55.96</v>
      </c>
      <c r="J869" s="8">
        <v>799.19</v>
      </c>
      <c r="K869" s="8">
        <v>7</v>
      </c>
      <c r="L869" s="8">
        <v>144</v>
      </c>
      <c r="M869" s="8">
        <v>405777434.94</v>
      </c>
      <c r="N869" s="8">
        <v>-24.24</v>
      </c>
      <c r="O869" s="8" t="str">
        <f>vw_scenario_analysis_dataset[[#This Row],[reporter_name]] &amp; "-" &amp; vw_scenario_analysis_dataset[[#This Row],[reference_year]]</f>
        <v>Liberia-2023</v>
      </c>
    </row>
    <row r="870" spans="1:15" x14ac:dyDescent="0.3">
      <c r="A870" s="8" t="s">
        <v>210</v>
      </c>
      <c r="B870" s="8" t="s">
        <v>211</v>
      </c>
      <c r="C870" s="8">
        <v>2016</v>
      </c>
      <c r="D870" s="8">
        <v>40271056510.927994</v>
      </c>
      <c r="E870" s="8">
        <v>49912073701</v>
      </c>
      <c r="F870" s="8">
        <v>6632126</v>
      </c>
      <c r="G870" s="8">
        <v>-1.490941117</v>
      </c>
      <c r="H870" s="8">
        <v>41.110176060000001</v>
      </c>
      <c r="I870" s="8">
        <v>6072.12</v>
      </c>
      <c r="J870" s="8">
        <v>7525.8</v>
      </c>
      <c r="K870" s="8">
        <v>80.680000000000007</v>
      </c>
      <c r="L870" s="8">
        <v>64</v>
      </c>
      <c r="M870" s="8"/>
      <c r="N870" s="8"/>
      <c r="O870" s="8" t="str">
        <f>vw_scenario_analysis_dataset[[#This Row],[reporter_name]] &amp; "-" &amp; vw_scenario_analysis_dataset[[#This Row],[reference_year]]</f>
        <v>Libya-2016</v>
      </c>
    </row>
    <row r="871" spans="1:15" x14ac:dyDescent="0.3">
      <c r="A871" s="8" t="s">
        <v>210</v>
      </c>
      <c r="B871" s="8" t="s">
        <v>211</v>
      </c>
      <c r="C871" s="8">
        <v>2017</v>
      </c>
      <c r="D871" s="8">
        <v>40271056510.927994</v>
      </c>
      <c r="E871" s="8">
        <v>67157452182</v>
      </c>
      <c r="F871" s="8">
        <v>6738770</v>
      </c>
      <c r="G871" s="8">
        <v>32.491802190000001</v>
      </c>
      <c r="H871" s="8">
        <v>47.548966190000002</v>
      </c>
      <c r="I871" s="8">
        <v>5976.02</v>
      </c>
      <c r="J871" s="8">
        <v>9965.83</v>
      </c>
      <c r="K871" s="8">
        <v>59.97</v>
      </c>
      <c r="L871" s="8">
        <v>63</v>
      </c>
      <c r="M871" s="8">
        <v>40271056510.927994</v>
      </c>
      <c r="N871" s="8">
        <v>0</v>
      </c>
      <c r="O871" s="8" t="str">
        <f>vw_scenario_analysis_dataset[[#This Row],[reporter_name]] &amp; "-" &amp; vw_scenario_analysis_dataset[[#This Row],[reference_year]]</f>
        <v>Libya-2017</v>
      </c>
    </row>
    <row r="872" spans="1:15" x14ac:dyDescent="0.3">
      <c r="A872" s="8" t="s">
        <v>210</v>
      </c>
      <c r="B872" s="8" t="s">
        <v>211</v>
      </c>
      <c r="C872" s="8">
        <v>2018</v>
      </c>
      <c r="D872" s="8">
        <v>60081784369.02198</v>
      </c>
      <c r="E872" s="8">
        <v>76686029772</v>
      </c>
      <c r="F872" s="8">
        <v>6849055</v>
      </c>
      <c r="G872" s="8">
        <v>7.941367853</v>
      </c>
      <c r="H872" s="8">
        <v>63.781133599999997</v>
      </c>
      <c r="I872" s="8">
        <v>8772.27</v>
      </c>
      <c r="J872" s="8">
        <v>11196.59</v>
      </c>
      <c r="K872" s="8">
        <v>78.349999999999994</v>
      </c>
      <c r="L872" s="8">
        <v>59</v>
      </c>
      <c r="M872" s="8">
        <v>40271056510.927994</v>
      </c>
      <c r="N872" s="8">
        <v>49.19</v>
      </c>
      <c r="O872" s="8" t="str">
        <f>vw_scenario_analysis_dataset[[#This Row],[reporter_name]] &amp; "-" &amp; vw_scenario_analysis_dataset[[#This Row],[reference_year]]</f>
        <v>Libya-2018</v>
      </c>
    </row>
    <row r="873" spans="1:15" x14ac:dyDescent="0.3">
      <c r="A873" s="8" t="s">
        <v>210</v>
      </c>
      <c r="B873" s="8" t="s">
        <v>211</v>
      </c>
      <c r="C873" s="8">
        <v>2019</v>
      </c>
      <c r="D873" s="8">
        <v>58571818175.828011</v>
      </c>
      <c r="E873" s="8">
        <v>69254496472</v>
      </c>
      <c r="F873" s="8">
        <v>6951033</v>
      </c>
      <c r="G873" s="8">
        <v>-11.19608289</v>
      </c>
      <c r="H873" s="8">
        <v>78.993969190000001</v>
      </c>
      <c r="I873" s="8">
        <v>8426.35</v>
      </c>
      <c r="J873" s="8">
        <v>9963.19</v>
      </c>
      <c r="K873" s="8">
        <v>84.57</v>
      </c>
      <c r="L873" s="8">
        <v>60</v>
      </c>
      <c r="M873" s="8">
        <v>60081784369.02198</v>
      </c>
      <c r="N873" s="8">
        <v>-2.5099999999999998</v>
      </c>
      <c r="O873" s="8" t="str">
        <f>vw_scenario_analysis_dataset[[#This Row],[reporter_name]] &amp; "-" &amp; vw_scenario_analysis_dataset[[#This Row],[reference_year]]</f>
        <v>Libya-2019</v>
      </c>
    </row>
    <row r="874" spans="1:15" x14ac:dyDescent="0.3">
      <c r="A874" s="8" t="s">
        <v>212</v>
      </c>
      <c r="B874" s="8" t="s">
        <v>213</v>
      </c>
      <c r="C874" s="8">
        <v>2015</v>
      </c>
      <c r="D874" s="8">
        <v>361193616</v>
      </c>
      <c r="E874" s="8">
        <v>1807640741</v>
      </c>
      <c r="F874" s="8">
        <v>174905</v>
      </c>
      <c r="G874" s="8">
        <v>0.101917836</v>
      </c>
      <c r="H874" s="8"/>
      <c r="I874" s="8">
        <v>2065.08</v>
      </c>
      <c r="J874" s="8">
        <v>10334.99</v>
      </c>
      <c r="K874" s="8">
        <v>19.98</v>
      </c>
      <c r="L874" s="8">
        <v>150</v>
      </c>
      <c r="M874" s="8"/>
      <c r="N874" s="8"/>
      <c r="O874" s="8" t="str">
        <f>vw_scenario_analysis_dataset[[#This Row],[reporter_name]] &amp; "-" &amp; vw_scenario_analysis_dataset[[#This Row],[reference_year]]</f>
        <v>Saint Lucia-2015</v>
      </c>
    </row>
    <row r="875" spans="1:15" x14ac:dyDescent="0.3">
      <c r="A875" s="8" t="s">
        <v>212</v>
      </c>
      <c r="B875" s="8" t="s">
        <v>213</v>
      </c>
      <c r="C875" s="8">
        <v>2016</v>
      </c>
      <c r="D875" s="8">
        <v>239613201</v>
      </c>
      <c r="E875" s="8">
        <v>1868544444</v>
      </c>
      <c r="F875" s="8">
        <v>175646</v>
      </c>
      <c r="G875" s="8">
        <v>3.4278721449999998</v>
      </c>
      <c r="H875" s="8"/>
      <c r="I875" s="8">
        <v>1364.18</v>
      </c>
      <c r="J875" s="8">
        <v>10638.13</v>
      </c>
      <c r="K875" s="8">
        <v>12.82</v>
      </c>
      <c r="L875" s="8">
        <v>155</v>
      </c>
      <c r="M875" s="8">
        <v>361193616</v>
      </c>
      <c r="N875" s="8">
        <v>-33.659999999999997</v>
      </c>
      <c r="O875" s="8" t="str">
        <f>vw_scenario_analysis_dataset[[#This Row],[reporter_name]] &amp; "-" &amp; vw_scenario_analysis_dataset[[#This Row],[reference_year]]</f>
        <v>Saint Lucia-2016</v>
      </c>
    </row>
    <row r="876" spans="1:15" x14ac:dyDescent="0.3">
      <c r="A876" s="8" t="s">
        <v>212</v>
      </c>
      <c r="B876" s="8" t="s">
        <v>213</v>
      </c>
      <c r="C876" s="8">
        <v>2017</v>
      </c>
      <c r="D876" s="8">
        <v>283310488.87500006</v>
      </c>
      <c r="E876" s="8">
        <v>1998503704</v>
      </c>
      <c r="F876" s="8">
        <v>176342</v>
      </c>
      <c r="G876" s="8">
        <v>3.3798261730000001</v>
      </c>
      <c r="H876" s="8"/>
      <c r="I876" s="8">
        <v>1606.6</v>
      </c>
      <c r="J876" s="8">
        <v>11333.11</v>
      </c>
      <c r="K876" s="8">
        <v>14.18</v>
      </c>
      <c r="L876" s="8">
        <v>155</v>
      </c>
      <c r="M876" s="8">
        <v>239613201</v>
      </c>
      <c r="N876" s="8">
        <v>18.239999999999998</v>
      </c>
      <c r="O876" s="8" t="str">
        <f>vw_scenario_analysis_dataset[[#This Row],[reporter_name]] &amp; "-" &amp; vw_scenario_analysis_dataset[[#This Row],[reference_year]]</f>
        <v>Saint Lucia-2017</v>
      </c>
    </row>
    <row r="877" spans="1:15" x14ac:dyDescent="0.3">
      <c r="A877" s="8" t="s">
        <v>212</v>
      </c>
      <c r="B877" s="8" t="s">
        <v>213</v>
      </c>
      <c r="C877" s="8">
        <v>2018</v>
      </c>
      <c r="D877" s="8">
        <v>233627967.26000002</v>
      </c>
      <c r="E877" s="8">
        <v>2060955556</v>
      </c>
      <c r="F877" s="8">
        <v>177017</v>
      </c>
      <c r="G877" s="8">
        <v>2.8867790219999998</v>
      </c>
      <c r="H877" s="8"/>
      <c r="I877" s="8">
        <v>1319.81</v>
      </c>
      <c r="J877" s="8">
        <v>11642.7</v>
      </c>
      <c r="K877" s="8">
        <v>11.34</v>
      </c>
      <c r="L877" s="8">
        <v>153</v>
      </c>
      <c r="M877" s="8">
        <v>283310488.87500006</v>
      </c>
      <c r="N877" s="8">
        <v>-17.54</v>
      </c>
      <c r="O877" s="8" t="str">
        <f>vw_scenario_analysis_dataset[[#This Row],[reporter_name]] &amp; "-" &amp; vw_scenario_analysis_dataset[[#This Row],[reference_year]]</f>
        <v>Saint Lucia-2018</v>
      </c>
    </row>
    <row r="878" spans="1:15" x14ac:dyDescent="0.3">
      <c r="A878" s="8" t="s">
        <v>212</v>
      </c>
      <c r="B878" s="8" t="s">
        <v>213</v>
      </c>
      <c r="C878" s="8">
        <v>2019</v>
      </c>
      <c r="D878" s="8">
        <v>194510520.41999999</v>
      </c>
      <c r="E878" s="8">
        <v>2090074074</v>
      </c>
      <c r="F878" s="8">
        <v>177661</v>
      </c>
      <c r="G878" s="8">
        <v>-1.029367895</v>
      </c>
      <c r="H878" s="8"/>
      <c r="I878" s="8">
        <v>1094.8399999999999</v>
      </c>
      <c r="J878" s="8">
        <v>11764.39</v>
      </c>
      <c r="K878" s="8">
        <v>9.31</v>
      </c>
      <c r="L878" s="8">
        <v>152</v>
      </c>
      <c r="M878" s="8">
        <v>233627967.26000002</v>
      </c>
      <c r="N878" s="8">
        <v>-16.739999999999998</v>
      </c>
      <c r="O878" s="8" t="str">
        <f>vw_scenario_analysis_dataset[[#This Row],[reporter_name]] &amp; "-" &amp; vw_scenario_analysis_dataset[[#This Row],[reference_year]]</f>
        <v>Saint Lucia-2019</v>
      </c>
    </row>
    <row r="879" spans="1:15" x14ac:dyDescent="0.3">
      <c r="A879" s="8" t="s">
        <v>212</v>
      </c>
      <c r="B879" s="8" t="s">
        <v>213</v>
      </c>
      <c r="C879" s="8">
        <v>2020</v>
      </c>
      <c r="D879" s="8">
        <v>134849663.20000005</v>
      </c>
      <c r="E879" s="8">
        <v>1521740741</v>
      </c>
      <c r="F879" s="8">
        <v>178250</v>
      </c>
      <c r="G879" s="8">
        <v>-22.90051386</v>
      </c>
      <c r="H879" s="8"/>
      <c r="I879" s="8">
        <v>756.52</v>
      </c>
      <c r="J879" s="8">
        <v>8537.11</v>
      </c>
      <c r="K879" s="8">
        <v>8.86</v>
      </c>
      <c r="L879" s="8">
        <v>148</v>
      </c>
      <c r="M879" s="8">
        <v>194510520.41999999</v>
      </c>
      <c r="N879" s="8">
        <v>-30.67</v>
      </c>
      <c r="O879" s="8" t="str">
        <f>vw_scenario_analysis_dataset[[#This Row],[reporter_name]] &amp; "-" &amp; vw_scenario_analysis_dataset[[#This Row],[reference_year]]</f>
        <v>Saint Lucia-2020</v>
      </c>
    </row>
    <row r="880" spans="1:15" x14ac:dyDescent="0.3">
      <c r="A880" s="8" t="s">
        <v>214</v>
      </c>
      <c r="B880" s="8" t="s">
        <v>215</v>
      </c>
      <c r="C880" s="8">
        <v>2015</v>
      </c>
      <c r="D880" s="8">
        <v>20879459325</v>
      </c>
      <c r="E880" s="8">
        <v>85090300896</v>
      </c>
      <c r="F880" s="8">
        <v>20970000</v>
      </c>
      <c r="G880" s="8">
        <v>4.2059554749999997</v>
      </c>
      <c r="H880" s="8">
        <v>46.91797081</v>
      </c>
      <c r="I880" s="8">
        <v>995.68</v>
      </c>
      <c r="J880" s="8">
        <v>4057.72</v>
      </c>
      <c r="K880" s="8">
        <v>24.54</v>
      </c>
      <c r="L880" s="8">
        <v>79</v>
      </c>
      <c r="M880" s="8"/>
      <c r="N880" s="8"/>
      <c r="O880" s="8" t="str">
        <f>vw_scenario_analysis_dataset[[#This Row],[reporter_name]] &amp; "-" &amp; vw_scenario_analysis_dataset[[#This Row],[reference_year]]</f>
        <v>Sri Lanka-2015</v>
      </c>
    </row>
    <row r="881" spans="1:15" x14ac:dyDescent="0.3">
      <c r="A881" s="8" t="s">
        <v>214</v>
      </c>
      <c r="B881" s="8" t="s">
        <v>215</v>
      </c>
      <c r="C881" s="8">
        <v>2016</v>
      </c>
      <c r="D881" s="8">
        <v>21091786585</v>
      </c>
      <c r="E881" s="8">
        <v>88000210878</v>
      </c>
      <c r="F881" s="8">
        <v>21209000</v>
      </c>
      <c r="G881" s="8">
        <v>5.05362489</v>
      </c>
      <c r="H881" s="8">
        <v>46.47153703</v>
      </c>
      <c r="I881" s="8">
        <v>994.47</v>
      </c>
      <c r="J881" s="8">
        <v>4149.1899999999996</v>
      </c>
      <c r="K881" s="8">
        <v>23.97</v>
      </c>
      <c r="L881" s="8">
        <v>77</v>
      </c>
      <c r="M881" s="8">
        <v>20879459325</v>
      </c>
      <c r="N881" s="8">
        <v>1.02</v>
      </c>
      <c r="O881" s="8" t="str">
        <f>vw_scenario_analysis_dataset[[#This Row],[reporter_name]] &amp; "-" &amp; vw_scenario_analysis_dataset[[#This Row],[reference_year]]</f>
        <v>Sri Lanka-2016</v>
      </c>
    </row>
    <row r="882" spans="1:15" x14ac:dyDescent="0.3">
      <c r="A882" s="8" t="s">
        <v>214</v>
      </c>
      <c r="B882" s="8" t="s">
        <v>215</v>
      </c>
      <c r="C882" s="8">
        <v>2017</v>
      </c>
      <c r="D882" s="8">
        <v>23482073572.179974</v>
      </c>
      <c r="E882" s="8">
        <v>94369350439</v>
      </c>
      <c r="F882" s="8">
        <v>21453000</v>
      </c>
      <c r="G882" s="8">
        <v>6.4606812710000003</v>
      </c>
      <c r="H882" s="8">
        <v>47.1404098</v>
      </c>
      <c r="I882" s="8">
        <v>1094.58</v>
      </c>
      <c r="J882" s="8">
        <v>4398.8900000000003</v>
      </c>
      <c r="K882" s="8">
        <v>24.88</v>
      </c>
      <c r="L882" s="8">
        <v>75</v>
      </c>
      <c r="M882" s="8">
        <v>21091786585</v>
      </c>
      <c r="N882" s="8">
        <v>11.33</v>
      </c>
      <c r="O882" s="8" t="str">
        <f>vw_scenario_analysis_dataset[[#This Row],[reporter_name]] &amp; "-" &amp; vw_scenario_analysis_dataset[[#This Row],[reference_year]]</f>
        <v>Sri Lanka-2017</v>
      </c>
    </row>
    <row r="883" spans="1:15" x14ac:dyDescent="0.3">
      <c r="A883" s="8" t="s">
        <v>214</v>
      </c>
      <c r="B883" s="8" t="s">
        <v>215</v>
      </c>
      <c r="C883" s="8">
        <v>2019</v>
      </c>
      <c r="D883" s="8">
        <v>23948312731.889992</v>
      </c>
      <c r="E883" s="8">
        <v>88998706178</v>
      </c>
      <c r="F883" s="8">
        <v>21803000</v>
      </c>
      <c r="G883" s="8">
        <v>-0.22048388699999999</v>
      </c>
      <c r="H883" s="8">
        <v>49.425523890000001</v>
      </c>
      <c r="I883" s="8">
        <v>1098.4000000000001</v>
      </c>
      <c r="J883" s="8">
        <v>4081.95</v>
      </c>
      <c r="K883" s="8">
        <v>26.91</v>
      </c>
      <c r="L883" s="8">
        <v>76</v>
      </c>
      <c r="M883" s="8">
        <v>23482073572.179974</v>
      </c>
      <c r="N883" s="8">
        <v>1.99</v>
      </c>
      <c r="O883" s="8" t="str">
        <f>vw_scenario_analysis_dataset[[#This Row],[reporter_name]] &amp; "-" &amp; vw_scenario_analysis_dataset[[#This Row],[reference_year]]</f>
        <v>Sri Lanka-2019</v>
      </c>
    </row>
    <row r="884" spans="1:15" x14ac:dyDescent="0.3">
      <c r="A884" s="8" t="s">
        <v>214</v>
      </c>
      <c r="B884" s="8" t="s">
        <v>215</v>
      </c>
      <c r="C884" s="8">
        <v>2020</v>
      </c>
      <c r="D884" s="8">
        <v>21413716088.642002</v>
      </c>
      <c r="E884" s="8">
        <v>84335574372</v>
      </c>
      <c r="F884" s="8">
        <v>21919000</v>
      </c>
      <c r="G884" s="8">
        <v>-4.6245150370000001</v>
      </c>
      <c r="H884" s="8">
        <v>37.089118859999999</v>
      </c>
      <c r="I884" s="8">
        <v>976.95</v>
      </c>
      <c r="J884" s="8">
        <v>3847.6</v>
      </c>
      <c r="K884" s="8">
        <v>25.39</v>
      </c>
      <c r="L884" s="8">
        <v>76</v>
      </c>
      <c r="M884" s="8">
        <v>23948312731.889992</v>
      </c>
      <c r="N884" s="8">
        <v>-10.58</v>
      </c>
      <c r="O884" s="8" t="str">
        <f>vw_scenario_analysis_dataset[[#This Row],[reporter_name]] &amp; "-" &amp; vw_scenario_analysis_dataset[[#This Row],[reference_year]]</f>
        <v>Sri Lanka-2020</v>
      </c>
    </row>
    <row r="885" spans="1:15" x14ac:dyDescent="0.3">
      <c r="A885" s="8" t="s">
        <v>214</v>
      </c>
      <c r="B885" s="8" t="s">
        <v>215</v>
      </c>
      <c r="C885" s="8">
        <v>2021</v>
      </c>
      <c r="D885" s="8">
        <v>26662497166.634979</v>
      </c>
      <c r="E885" s="8">
        <v>88556699052</v>
      </c>
      <c r="F885" s="8">
        <v>22156000</v>
      </c>
      <c r="G885" s="8">
        <v>4.2074764949999999</v>
      </c>
      <c r="H885" s="8">
        <v>41.228846330000003</v>
      </c>
      <c r="I885" s="8">
        <v>1203.4000000000001</v>
      </c>
      <c r="J885" s="8">
        <v>3996.96</v>
      </c>
      <c r="K885" s="8">
        <v>30.11</v>
      </c>
      <c r="L885" s="8">
        <v>77</v>
      </c>
      <c r="M885" s="8">
        <v>21413716088.642002</v>
      </c>
      <c r="N885" s="8">
        <v>24.51</v>
      </c>
      <c r="O885" s="8" t="str">
        <f>vw_scenario_analysis_dataset[[#This Row],[reporter_name]] &amp; "-" &amp; vw_scenario_analysis_dataset[[#This Row],[reference_year]]</f>
        <v>Sri Lanka-2021</v>
      </c>
    </row>
    <row r="886" spans="1:15" x14ac:dyDescent="0.3">
      <c r="A886" s="8" t="s">
        <v>214</v>
      </c>
      <c r="B886" s="8" t="s">
        <v>215</v>
      </c>
      <c r="C886" s="8">
        <v>2022</v>
      </c>
      <c r="D886" s="8">
        <v>27184248866.958004</v>
      </c>
      <c r="E886" s="8">
        <v>74143020304</v>
      </c>
      <c r="F886" s="8">
        <v>22181000</v>
      </c>
      <c r="G886" s="8">
        <v>-7.3491931109999999</v>
      </c>
      <c r="H886" s="8">
        <v>46.682608020000004</v>
      </c>
      <c r="I886" s="8">
        <v>1225.56</v>
      </c>
      <c r="J886" s="8">
        <v>3342.64</v>
      </c>
      <c r="K886" s="8">
        <v>36.659999999999997</v>
      </c>
      <c r="L886" s="8">
        <v>78</v>
      </c>
      <c r="M886" s="8">
        <v>26662497166.634979</v>
      </c>
      <c r="N886" s="8">
        <v>1.96</v>
      </c>
      <c r="O886" s="8" t="str">
        <f>vw_scenario_analysis_dataset[[#This Row],[reporter_name]] &amp; "-" &amp; vw_scenario_analysis_dataset[[#This Row],[reference_year]]</f>
        <v>Sri Lanka-2022</v>
      </c>
    </row>
    <row r="887" spans="1:15" x14ac:dyDescent="0.3">
      <c r="A887" s="8" t="s">
        <v>214</v>
      </c>
      <c r="B887" s="8" t="s">
        <v>215</v>
      </c>
      <c r="C887" s="8">
        <v>2023</v>
      </c>
      <c r="D887" s="8">
        <v>24104995097.884003</v>
      </c>
      <c r="E887" s="8">
        <v>84080307356</v>
      </c>
      <c r="F887" s="8">
        <v>22037000</v>
      </c>
      <c r="G887" s="8">
        <v>-2.028929669</v>
      </c>
      <c r="H887" s="8">
        <v>43.347668120000002</v>
      </c>
      <c r="I887" s="8">
        <v>1093.8399999999999</v>
      </c>
      <c r="J887" s="8">
        <v>3815.42</v>
      </c>
      <c r="K887" s="8">
        <v>28.67</v>
      </c>
      <c r="L887" s="8">
        <v>77</v>
      </c>
      <c r="M887" s="8">
        <v>27184248866.958004</v>
      </c>
      <c r="N887" s="8">
        <v>-11.33</v>
      </c>
      <c r="O887" s="8" t="str">
        <f>vw_scenario_analysis_dataset[[#This Row],[reporter_name]] &amp; "-" &amp; vw_scenario_analysis_dataset[[#This Row],[reference_year]]</f>
        <v>Sri Lanka-2023</v>
      </c>
    </row>
    <row r="888" spans="1:15" x14ac:dyDescent="0.3">
      <c r="A888" s="8" t="s">
        <v>214</v>
      </c>
      <c r="B888" s="8" t="s">
        <v>215</v>
      </c>
      <c r="C888" s="8">
        <v>2024</v>
      </c>
      <c r="D888" s="8">
        <v>24219252842.128998</v>
      </c>
      <c r="E888" s="8">
        <v>99616111266</v>
      </c>
      <c r="F888" s="8">
        <v>21916000</v>
      </c>
      <c r="G888" s="8">
        <v>4.9924161439999999</v>
      </c>
      <c r="H888" s="8">
        <v>42.119609830000002</v>
      </c>
      <c r="I888" s="8">
        <v>1105.0899999999999</v>
      </c>
      <c r="J888" s="8">
        <v>4545.3599999999997</v>
      </c>
      <c r="K888" s="8">
        <v>24.31</v>
      </c>
      <c r="L888" s="8">
        <v>75</v>
      </c>
      <c r="M888" s="8">
        <v>24104995097.884003</v>
      </c>
      <c r="N888" s="8">
        <v>0.47</v>
      </c>
      <c r="O888" s="8" t="str">
        <f>vw_scenario_analysis_dataset[[#This Row],[reporter_name]] &amp; "-" &amp; vw_scenario_analysis_dataset[[#This Row],[reference_year]]</f>
        <v>Sri Lanka-2024</v>
      </c>
    </row>
    <row r="889" spans="1:15" x14ac:dyDescent="0.3">
      <c r="A889" s="8" t="s">
        <v>216</v>
      </c>
      <c r="B889" s="8" t="s">
        <v>217</v>
      </c>
      <c r="C889" s="8">
        <v>2015</v>
      </c>
      <c r="D889" s="8">
        <v>1211845306.9099998</v>
      </c>
      <c r="E889" s="8">
        <v>2359686725</v>
      </c>
      <c r="F889" s="8">
        <v>2104611</v>
      </c>
      <c r="G889" s="8">
        <v>3.1240667800000002</v>
      </c>
      <c r="H889" s="8">
        <v>129.72277310000001</v>
      </c>
      <c r="I889" s="8">
        <v>575.79999999999995</v>
      </c>
      <c r="J889" s="8">
        <v>1121.2</v>
      </c>
      <c r="K889" s="8">
        <v>51.36</v>
      </c>
      <c r="L889" s="8">
        <v>137</v>
      </c>
      <c r="M889" s="8"/>
      <c r="N889" s="8"/>
      <c r="O889" s="8" t="str">
        <f>vw_scenario_analysis_dataset[[#This Row],[reporter_name]] &amp; "-" &amp; vw_scenario_analysis_dataset[[#This Row],[reference_year]]</f>
        <v>Lesotho-2015</v>
      </c>
    </row>
    <row r="890" spans="1:15" x14ac:dyDescent="0.3">
      <c r="A890" s="8" t="s">
        <v>216</v>
      </c>
      <c r="B890" s="8" t="s">
        <v>217</v>
      </c>
      <c r="C890" s="8">
        <v>2016</v>
      </c>
      <c r="D890" s="8">
        <v>1328223553.7480004</v>
      </c>
      <c r="E890" s="8">
        <v>2114426452</v>
      </c>
      <c r="F890" s="8">
        <v>2130422</v>
      </c>
      <c r="G890" s="8">
        <v>3.6089073169999999</v>
      </c>
      <c r="H890" s="8">
        <v>136.31524769999999</v>
      </c>
      <c r="I890" s="8">
        <v>623.46</v>
      </c>
      <c r="J890" s="8">
        <v>992.49</v>
      </c>
      <c r="K890" s="8">
        <v>62.82</v>
      </c>
      <c r="L890" s="8">
        <v>138</v>
      </c>
      <c r="M890" s="8">
        <v>1211845306.9099998</v>
      </c>
      <c r="N890" s="8">
        <v>9.6</v>
      </c>
      <c r="O890" s="8" t="str">
        <f>vw_scenario_analysis_dataset[[#This Row],[reporter_name]] &amp; "-" &amp; vw_scenario_analysis_dataset[[#This Row],[reference_year]]</f>
        <v>Lesotho-2016</v>
      </c>
    </row>
    <row r="891" spans="1:15" x14ac:dyDescent="0.3">
      <c r="A891" s="8" t="s">
        <v>216</v>
      </c>
      <c r="B891" s="8" t="s">
        <v>217</v>
      </c>
      <c r="C891" s="8">
        <v>2017</v>
      </c>
      <c r="D891" s="8">
        <v>1437339880.072999</v>
      </c>
      <c r="E891" s="8">
        <v>2306741672</v>
      </c>
      <c r="F891" s="8">
        <v>2157110</v>
      </c>
      <c r="G891" s="8">
        <v>-3.1381749370000001</v>
      </c>
      <c r="H891" s="8">
        <v>146.36677130000001</v>
      </c>
      <c r="I891" s="8">
        <v>666.33</v>
      </c>
      <c r="J891" s="8">
        <v>1069.3699999999999</v>
      </c>
      <c r="K891" s="8">
        <v>62.31</v>
      </c>
      <c r="L891" s="8">
        <v>141</v>
      </c>
      <c r="M891" s="8">
        <v>1328223553.7480004</v>
      </c>
      <c r="N891" s="8">
        <v>8.2200000000000006</v>
      </c>
      <c r="O891" s="8" t="str">
        <f>vw_scenario_analysis_dataset[[#This Row],[reporter_name]] &amp; "-" &amp; vw_scenario_analysis_dataset[[#This Row],[reference_year]]</f>
        <v>Lesotho-2017</v>
      </c>
    </row>
    <row r="892" spans="1:15" x14ac:dyDescent="0.3">
      <c r="A892" s="8" t="s">
        <v>216</v>
      </c>
      <c r="B892" s="8" t="s">
        <v>217</v>
      </c>
      <c r="C892" s="8">
        <v>2018</v>
      </c>
      <c r="D892" s="8">
        <v>1764770633.5760002</v>
      </c>
      <c r="E892" s="8">
        <v>2556247292</v>
      </c>
      <c r="F892" s="8">
        <v>2183603</v>
      </c>
      <c r="G892" s="8">
        <v>-1.4806331580000001</v>
      </c>
      <c r="H892" s="8">
        <v>144.4349555</v>
      </c>
      <c r="I892" s="8">
        <v>808.19</v>
      </c>
      <c r="J892" s="8">
        <v>1170.6600000000001</v>
      </c>
      <c r="K892" s="8">
        <v>69.040000000000006</v>
      </c>
      <c r="L892" s="8">
        <v>136</v>
      </c>
      <c r="M892" s="8">
        <v>1437339880.072999</v>
      </c>
      <c r="N892" s="8">
        <v>22.78</v>
      </c>
      <c r="O892" s="8" t="str">
        <f>vw_scenario_analysis_dataset[[#This Row],[reporter_name]] &amp; "-" &amp; vw_scenario_analysis_dataset[[#This Row],[reference_year]]</f>
        <v>Lesotho-2018</v>
      </c>
    </row>
    <row r="893" spans="1:15" x14ac:dyDescent="0.3">
      <c r="A893" s="8" t="s">
        <v>216</v>
      </c>
      <c r="B893" s="8" t="s">
        <v>217</v>
      </c>
      <c r="C893" s="8">
        <v>2019</v>
      </c>
      <c r="D893" s="8">
        <v>1789814954.7999995</v>
      </c>
      <c r="E893" s="8">
        <v>2390702296</v>
      </c>
      <c r="F893" s="8">
        <v>2209405</v>
      </c>
      <c r="G893" s="8">
        <v>-1.417993831</v>
      </c>
      <c r="H893" s="8">
        <v>140.51663350000001</v>
      </c>
      <c r="I893" s="8">
        <v>810.09</v>
      </c>
      <c r="J893" s="8">
        <v>1082.06</v>
      </c>
      <c r="K893" s="8">
        <v>74.87</v>
      </c>
      <c r="L893" s="8">
        <v>134</v>
      </c>
      <c r="M893" s="8">
        <v>1764770633.5760002</v>
      </c>
      <c r="N893" s="8">
        <v>1.42</v>
      </c>
      <c r="O893" s="8" t="str">
        <f>vw_scenario_analysis_dataset[[#This Row],[reporter_name]] &amp; "-" &amp; vw_scenario_analysis_dataset[[#This Row],[reference_year]]</f>
        <v>Lesotho-2019</v>
      </c>
    </row>
    <row r="894" spans="1:15" x14ac:dyDescent="0.3">
      <c r="A894" s="8" t="s">
        <v>216</v>
      </c>
      <c r="B894" s="8" t="s">
        <v>217</v>
      </c>
      <c r="C894" s="8">
        <v>2020</v>
      </c>
      <c r="D894" s="8">
        <v>1674571114.4380009</v>
      </c>
      <c r="E894" s="8">
        <v>2053699864</v>
      </c>
      <c r="F894" s="8">
        <v>2235727</v>
      </c>
      <c r="G894" s="8">
        <v>-8.1559578550000005</v>
      </c>
      <c r="H894" s="8">
        <v>141.0966051</v>
      </c>
      <c r="I894" s="8">
        <v>749.01</v>
      </c>
      <c r="J894" s="8">
        <v>918.58</v>
      </c>
      <c r="K894" s="8">
        <v>81.540000000000006</v>
      </c>
      <c r="L894" s="8">
        <v>132</v>
      </c>
      <c r="M894" s="8">
        <v>1789814954.7999995</v>
      </c>
      <c r="N894" s="8">
        <v>-6.44</v>
      </c>
      <c r="O894" s="8" t="str">
        <f>vw_scenario_analysis_dataset[[#This Row],[reporter_name]] &amp; "-" &amp; vw_scenario_analysis_dataset[[#This Row],[reference_year]]</f>
        <v>Lesotho-2020</v>
      </c>
    </row>
    <row r="895" spans="1:15" x14ac:dyDescent="0.3">
      <c r="A895" s="8" t="s">
        <v>216</v>
      </c>
      <c r="B895" s="8" t="s">
        <v>217</v>
      </c>
      <c r="C895" s="8">
        <v>2021</v>
      </c>
      <c r="D895" s="8">
        <v>1897070376.9030008</v>
      </c>
      <c r="E895" s="8">
        <v>2412130057</v>
      </c>
      <c r="F895" s="8">
        <v>2261542</v>
      </c>
      <c r="G895" s="8">
        <v>2.2667096180000001</v>
      </c>
      <c r="H895" s="8">
        <v>139.18647949999999</v>
      </c>
      <c r="I895" s="8">
        <v>838.84</v>
      </c>
      <c r="J895" s="8">
        <v>1066.5899999999999</v>
      </c>
      <c r="K895" s="8">
        <v>78.650000000000006</v>
      </c>
      <c r="L895" s="8">
        <v>135</v>
      </c>
      <c r="M895" s="8">
        <v>1674571114.4380009</v>
      </c>
      <c r="N895" s="8">
        <v>13.29</v>
      </c>
      <c r="O895" s="8" t="str">
        <f>vw_scenario_analysis_dataset[[#This Row],[reporter_name]] &amp; "-" &amp; vw_scenario_analysis_dataset[[#This Row],[reference_year]]</f>
        <v>Lesotho-2021</v>
      </c>
    </row>
    <row r="896" spans="1:15" x14ac:dyDescent="0.3">
      <c r="A896" s="8" t="s">
        <v>216</v>
      </c>
      <c r="B896" s="8" t="s">
        <v>217</v>
      </c>
      <c r="C896" s="8">
        <v>2022</v>
      </c>
      <c r="D896" s="8">
        <v>1799311988.1269999</v>
      </c>
      <c r="E896" s="8">
        <v>2354980960</v>
      </c>
      <c r="F896" s="8">
        <v>2286110</v>
      </c>
      <c r="G896" s="8">
        <v>2.3877802020000001</v>
      </c>
      <c r="H896" s="8">
        <v>142.37398110000001</v>
      </c>
      <c r="I896" s="8">
        <v>787.06</v>
      </c>
      <c r="J896" s="8">
        <v>1030.1300000000001</v>
      </c>
      <c r="K896" s="8">
        <v>76.400000000000006</v>
      </c>
      <c r="L896" s="8">
        <v>132</v>
      </c>
      <c r="M896" s="8">
        <v>1897070376.9030008</v>
      </c>
      <c r="N896" s="8">
        <v>-5.15</v>
      </c>
      <c r="O896" s="8" t="str">
        <f>vw_scenario_analysis_dataset[[#This Row],[reporter_name]] &amp; "-" &amp; vw_scenario_analysis_dataset[[#This Row],[reference_year]]</f>
        <v>Lesotho-2022</v>
      </c>
    </row>
    <row r="897" spans="1:15" x14ac:dyDescent="0.3">
      <c r="A897" s="8" t="s">
        <v>216</v>
      </c>
      <c r="B897" s="8" t="s">
        <v>217</v>
      </c>
      <c r="C897" s="8">
        <v>2023</v>
      </c>
      <c r="D897" s="8">
        <v>1659804677.849</v>
      </c>
      <c r="E897" s="8">
        <v>2129871530</v>
      </c>
      <c r="F897" s="8">
        <v>2311472</v>
      </c>
      <c r="G897" s="8">
        <v>1.6943317760000001</v>
      </c>
      <c r="H897" s="8">
        <v>140.7224879</v>
      </c>
      <c r="I897" s="8">
        <v>718.07</v>
      </c>
      <c r="J897" s="8">
        <v>921.44</v>
      </c>
      <c r="K897" s="8">
        <v>77.930000000000007</v>
      </c>
      <c r="L897" s="8">
        <v>130</v>
      </c>
      <c r="M897" s="8">
        <v>1799311988.1269999</v>
      </c>
      <c r="N897" s="8">
        <v>-7.75</v>
      </c>
      <c r="O897" s="8" t="str">
        <f>vw_scenario_analysis_dataset[[#This Row],[reporter_name]] &amp; "-" &amp; vw_scenario_analysis_dataset[[#This Row],[reference_year]]</f>
        <v>Lesotho-2023</v>
      </c>
    </row>
    <row r="898" spans="1:15" x14ac:dyDescent="0.3">
      <c r="A898" s="8" t="s">
        <v>216</v>
      </c>
      <c r="B898" s="8" t="s">
        <v>217</v>
      </c>
      <c r="C898" s="8">
        <v>2024</v>
      </c>
      <c r="D898" s="8">
        <v>2009505038.802</v>
      </c>
      <c r="E898" s="8">
        <v>2391282548</v>
      </c>
      <c r="F898" s="8">
        <v>2337423</v>
      </c>
      <c r="G898" s="8">
        <v>5.2250338029999996</v>
      </c>
      <c r="H898" s="8">
        <v>152.4743891</v>
      </c>
      <c r="I898" s="8">
        <v>859.71</v>
      </c>
      <c r="J898" s="8">
        <v>1023.04</v>
      </c>
      <c r="K898" s="8">
        <v>84.03</v>
      </c>
      <c r="L898" s="8">
        <v>114</v>
      </c>
      <c r="M898" s="8">
        <v>1659804677.849</v>
      </c>
      <c r="N898" s="8">
        <v>21.07</v>
      </c>
      <c r="O898" s="8" t="str">
        <f>vw_scenario_analysis_dataset[[#This Row],[reporter_name]] &amp; "-" &amp; vw_scenario_analysis_dataset[[#This Row],[reference_year]]</f>
        <v>Lesotho-2024</v>
      </c>
    </row>
    <row r="899" spans="1:15" x14ac:dyDescent="0.3">
      <c r="A899" s="8" t="s">
        <v>218</v>
      </c>
      <c r="B899" s="8" t="s">
        <v>219</v>
      </c>
      <c r="C899" s="8">
        <v>2015</v>
      </c>
      <c r="D899" s="8">
        <v>50822044488</v>
      </c>
      <c r="E899" s="8">
        <v>41540954817</v>
      </c>
      <c r="F899" s="8">
        <v>2911109</v>
      </c>
      <c r="G899" s="8">
        <v>2.832806433</v>
      </c>
      <c r="H899" s="8">
        <v>138.19557499999999</v>
      </c>
      <c r="I899" s="8">
        <v>17457.97</v>
      </c>
      <c r="J899" s="8">
        <v>14269.8</v>
      </c>
      <c r="K899" s="8">
        <v>122.34</v>
      </c>
      <c r="L899" s="8">
        <v>60</v>
      </c>
      <c r="M899" s="8"/>
      <c r="N899" s="8"/>
      <c r="O899" s="8" t="str">
        <f>vw_scenario_analysis_dataset[[#This Row],[reporter_name]] &amp; "-" &amp; vw_scenario_analysis_dataset[[#This Row],[reference_year]]</f>
        <v>Lithuania-2015</v>
      </c>
    </row>
    <row r="900" spans="1:15" x14ac:dyDescent="0.3">
      <c r="A900" s="8" t="s">
        <v>218</v>
      </c>
      <c r="B900" s="8" t="s">
        <v>219</v>
      </c>
      <c r="C900" s="8">
        <v>2016</v>
      </c>
      <c r="D900" s="8">
        <v>50045304947.599998</v>
      </c>
      <c r="E900" s="8">
        <v>42970749245</v>
      </c>
      <c r="F900" s="8">
        <v>2877325</v>
      </c>
      <c r="G900" s="8">
        <v>2.671922151</v>
      </c>
      <c r="H900" s="8">
        <v>134.69044969999999</v>
      </c>
      <c r="I900" s="8">
        <v>17393</v>
      </c>
      <c r="J900" s="8">
        <v>14934.27</v>
      </c>
      <c r="K900" s="8">
        <v>116.46</v>
      </c>
      <c r="L900" s="8">
        <v>59</v>
      </c>
      <c r="M900" s="8">
        <v>50822044488</v>
      </c>
      <c r="N900" s="8">
        <v>-1.53</v>
      </c>
      <c r="O900" s="8" t="str">
        <f>vw_scenario_analysis_dataset[[#This Row],[reporter_name]] &amp; "-" &amp; vw_scenario_analysis_dataset[[#This Row],[reference_year]]</f>
        <v>Lithuania-2016</v>
      </c>
    </row>
    <row r="901" spans="1:15" x14ac:dyDescent="0.3">
      <c r="A901" s="8" t="s">
        <v>218</v>
      </c>
      <c r="B901" s="8" t="s">
        <v>219</v>
      </c>
      <c r="C901" s="8">
        <v>2017</v>
      </c>
      <c r="D901" s="8">
        <v>59776208515.599998</v>
      </c>
      <c r="E901" s="8">
        <v>47756764508</v>
      </c>
      <c r="F901" s="8">
        <v>2842639</v>
      </c>
      <c r="G901" s="8">
        <v>4.612243103</v>
      </c>
      <c r="H901" s="8">
        <v>144.9183931</v>
      </c>
      <c r="I901" s="8">
        <v>21028.42</v>
      </c>
      <c r="J901" s="8">
        <v>16800.150000000001</v>
      </c>
      <c r="K901" s="8">
        <v>125.17</v>
      </c>
      <c r="L901" s="8">
        <v>58</v>
      </c>
      <c r="M901" s="8">
        <v>50045304947.599998</v>
      </c>
      <c r="N901" s="8">
        <v>19.440000000000001</v>
      </c>
      <c r="O901" s="8" t="str">
        <f>vw_scenario_analysis_dataset[[#This Row],[reporter_name]] &amp; "-" &amp; vw_scenario_analysis_dataset[[#This Row],[reference_year]]</f>
        <v>Lithuania-2017</v>
      </c>
    </row>
    <row r="902" spans="1:15" x14ac:dyDescent="0.3">
      <c r="A902" s="8" t="s">
        <v>218</v>
      </c>
      <c r="B902" s="8" t="s">
        <v>219</v>
      </c>
      <c r="C902" s="8">
        <v>2018</v>
      </c>
      <c r="D902" s="8">
        <v>66669153473.659988</v>
      </c>
      <c r="E902" s="8">
        <v>54261795149</v>
      </c>
      <c r="F902" s="8">
        <v>2819200</v>
      </c>
      <c r="G902" s="8">
        <v>4.9183678009999996</v>
      </c>
      <c r="H902" s="8">
        <v>147.2021325</v>
      </c>
      <c r="I902" s="8">
        <v>23648.25</v>
      </c>
      <c r="J902" s="8">
        <v>19247.23</v>
      </c>
      <c r="K902" s="8">
        <v>122.87</v>
      </c>
      <c r="L902" s="8">
        <v>58</v>
      </c>
      <c r="M902" s="8">
        <v>59776208515.599998</v>
      </c>
      <c r="N902" s="8">
        <v>11.53</v>
      </c>
      <c r="O902" s="8" t="str">
        <f>vw_scenario_analysis_dataset[[#This Row],[reporter_name]] &amp; "-" &amp; vw_scenario_analysis_dataset[[#This Row],[reference_year]]</f>
        <v>Lithuania-2018</v>
      </c>
    </row>
    <row r="903" spans="1:15" x14ac:dyDescent="0.3">
      <c r="A903" s="8" t="s">
        <v>218</v>
      </c>
      <c r="B903" s="8" t="s">
        <v>219</v>
      </c>
      <c r="C903" s="8">
        <v>2019</v>
      </c>
      <c r="D903" s="8">
        <v>66301543793.619987</v>
      </c>
      <c r="E903" s="8">
        <v>55122066226</v>
      </c>
      <c r="F903" s="8">
        <v>2811089</v>
      </c>
      <c r="G903" s="8">
        <v>4.6773518349999996</v>
      </c>
      <c r="H903" s="8">
        <v>148.37499600000001</v>
      </c>
      <c r="I903" s="8">
        <v>23585.71</v>
      </c>
      <c r="J903" s="8">
        <v>19608.79</v>
      </c>
      <c r="K903" s="8">
        <v>120.28</v>
      </c>
      <c r="L903" s="8">
        <v>56</v>
      </c>
      <c r="M903" s="8">
        <v>66669153473.659988</v>
      </c>
      <c r="N903" s="8">
        <v>-0.55000000000000004</v>
      </c>
      <c r="O903" s="8" t="str">
        <f>vw_scenario_analysis_dataset[[#This Row],[reporter_name]] &amp; "-" &amp; vw_scenario_analysis_dataset[[#This Row],[reference_year]]</f>
        <v>Lithuania-2019</v>
      </c>
    </row>
    <row r="904" spans="1:15" x14ac:dyDescent="0.3">
      <c r="A904" s="8" t="s">
        <v>218</v>
      </c>
      <c r="B904" s="8" t="s">
        <v>219</v>
      </c>
      <c r="C904" s="8">
        <v>2020</v>
      </c>
      <c r="D904" s="8">
        <v>65580744730</v>
      </c>
      <c r="E904" s="8">
        <v>57412038533</v>
      </c>
      <c r="F904" s="8">
        <v>2810369</v>
      </c>
      <c r="G904" s="8">
        <v>4.2815833999999997E-2</v>
      </c>
      <c r="H904" s="8">
        <v>135.79656560000001</v>
      </c>
      <c r="I904" s="8">
        <v>23335.279999999999</v>
      </c>
      <c r="J904" s="8">
        <v>20428.650000000001</v>
      </c>
      <c r="K904" s="8">
        <v>114.23</v>
      </c>
      <c r="L904" s="8">
        <v>53</v>
      </c>
      <c r="M904" s="8">
        <v>66301543793.619987</v>
      </c>
      <c r="N904" s="8">
        <v>-1.0900000000000001</v>
      </c>
      <c r="O904" s="8" t="str">
        <f>vw_scenario_analysis_dataset[[#This Row],[reporter_name]] &amp; "-" &amp; vw_scenario_analysis_dataset[[#This Row],[reference_year]]</f>
        <v>Lithuania-2020</v>
      </c>
    </row>
    <row r="905" spans="1:15" x14ac:dyDescent="0.3">
      <c r="A905" s="8" t="s">
        <v>218</v>
      </c>
      <c r="B905" s="8" t="s">
        <v>219</v>
      </c>
      <c r="C905" s="8">
        <v>2021</v>
      </c>
      <c r="D905" s="8">
        <v>81396766557.559998</v>
      </c>
      <c r="E905" s="8">
        <v>67072165721</v>
      </c>
      <c r="F905" s="8">
        <v>2808380</v>
      </c>
      <c r="G905" s="8">
        <v>6.3948177289999997</v>
      </c>
      <c r="H905" s="8">
        <v>154.7263039</v>
      </c>
      <c r="I905" s="8">
        <v>28983.53</v>
      </c>
      <c r="J905" s="8">
        <v>23882.87</v>
      </c>
      <c r="K905" s="8">
        <v>121.36</v>
      </c>
      <c r="L905" s="8">
        <v>56</v>
      </c>
      <c r="M905" s="8">
        <v>65580744730</v>
      </c>
      <c r="N905" s="8">
        <v>24.12</v>
      </c>
      <c r="O905" s="8" t="str">
        <f>vw_scenario_analysis_dataset[[#This Row],[reporter_name]] &amp; "-" &amp; vw_scenario_analysis_dataset[[#This Row],[reference_year]]</f>
        <v>Lithuania-2021</v>
      </c>
    </row>
    <row r="906" spans="1:15" x14ac:dyDescent="0.3">
      <c r="A906" s="8" t="s">
        <v>218</v>
      </c>
      <c r="B906" s="8" t="s">
        <v>219</v>
      </c>
      <c r="C906" s="8">
        <v>2022</v>
      </c>
      <c r="D906" s="8">
        <v>93003798072</v>
      </c>
      <c r="E906" s="8">
        <v>70639687326</v>
      </c>
      <c r="F906" s="8">
        <v>2831639</v>
      </c>
      <c r="G906" s="8">
        <v>2.465320132</v>
      </c>
      <c r="H906" s="8">
        <v>176.63181710000001</v>
      </c>
      <c r="I906" s="8">
        <v>32844.51</v>
      </c>
      <c r="J906" s="8">
        <v>24946.57</v>
      </c>
      <c r="K906" s="8">
        <v>131.66</v>
      </c>
      <c r="L906" s="8">
        <v>54</v>
      </c>
      <c r="M906" s="8">
        <v>81396766557.559998</v>
      </c>
      <c r="N906" s="8">
        <v>14.26</v>
      </c>
      <c r="O906" s="8" t="str">
        <f>vw_scenario_analysis_dataset[[#This Row],[reporter_name]] &amp; "-" &amp; vw_scenario_analysis_dataset[[#This Row],[reference_year]]</f>
        <v>Lithuania-2022</v>
      </c>
    </row>
    <row r="907" spans="1:15" x14ac:dyDescent="0.3">
      <c r="A907" s="8" t="s">
        <v>218</v>
      </c>
      <c r="B907" s="8" t="s">
        <v>219</v>
      </c>
      <c r="C907" s="8">
        <v>2023</v>
      </c>
      <c r="D907" s="8">
        <v>85251383850</v>
      </c>
      <c r="E907" s="8">
        <v>80356613555</v>
      </c>
      <c r="F907" s="8">
        <v>2871585</v>
      </c>
      <c r="G907" s="8">
        <v>0.73953739799999996</v>
      </c>
      <c r="H907" s="8">
        <v>147.9907518</v>
      </c>
      <c r="I907" s="8">
        <v>29687.919999999998</v>
      </c>
      <c r="J907" s="8">
        <v>27983.37</v>
      </c>
      <c r="K907" s="8">
        <v>106.09</v>
      </c>
      <c r="L907" s="8">
        <v>51</v>
      </c>
      <c r="M907" s="8">
        <v>93003798072</v>
      </c>
      <c r="N907" s="8">
        <v>-8.34</v>
      </c>
      <c r="O907" s="8" t="str">
        <f>vw_scenario_analysis_dataset[[#This Row],[reporter_name]] &amp; "-" &amp; vw_scenario_analysis_dataset[[#This Row],[reference_year]]</f>
        <v>Lithuania-2023</v>
      </c>
    </row>
    <row r="908" spans="1:15" x14ac:dyDescent="0.3">
      <c r="A908" s="8" t="s">
        <v>218</v>
      </c>
      <c r="B908" s="8" t="s">
        <v>219</v>
      </c>
      <c r="C908" s="8">
        <v>2024</v>
      </c>
      <c r="D908" s="8">
        <v>79638193646</v>
      </c>
      <c r="E908" s="8">
        <v>85503938574</v>
      </c>
      <c r="F908" s="8">
        <v>2888278</v>
      </c>
      <c r="G908" s="8">
        <v>3.0301954379999998</v>
      </c>
      <c r="H908" s="8">
        <v>142.4199102</v>
      </c>
      <c r="I908" s="8">
        <v>27572.9</v>
      </c>
      <c r="J908" s="8">
        <v>29603.78</v>
      </c>
      <c r="K908" s="8">
        <v>93.14</v>
      </c>
      <c r="L908" s="8">
        <v>54</v>
      </c>
      <c r="M908" s="8">
        <v>85251383850</v>
      </c>
      <c r="N908" s="8">
        <v>-6.58</v>
      </c>
      <c r="O908" s="8" t="str">
        <f>vw_scenario_analysis_dataset[[#This Row],[reporter_name]] &amp; "-" &amp; vw_scenario_analysis_dataset[[#This Row],[reference_year]]</f>
        <v>Lithuania-2024</v>
      </c>
    </row>
    <row r="909" spans="1:15" x14ac:dyDescent="0.3">
      <c r="A909" s="8" t="s">
        <v>220</v>
      </c>
      <c r="B909" s="8" t="s">
        <v>221</v>
      </c>
      <c r="C909" s="8">
        <v>2015</v>
      </c>
      <c r="D909" s="8">
        <v>25251405342</v>
      </c>
      <c r="E909" s="8">
        <v>60071584216</v>
      </c>
      <c r="F909" s="8">
        <v>569604</v>
      </c>
      <c r="G909" s="8">
        <v>2.2683657269999999</v>
      </c>
      <c r="H909" s="8">
        <v>351.13195400000001</v>
      </c>
      <c r="I909" s="8">
        <v>44331.51</v>
      </c>
      <c r="J909" s="8">
        <v>105462.01</v>
      </c>
      <c r="K909" s="8">
        <v>42.04</v>
      </c>
      <c r="L909" s="8">
        <v>72</v>
      </c>
      <c r="M909" s="8"/>
      <c r="N909" s="8"/>
      <c r="O909" s="8" t="str">
        <f>vw_scenario_analysis_dataset[[#This Row],[reporter_name]] &amp; "-" &amp; vw_scenario_analysis_dataset[[#This Row],[reference_year]]</f>
        <v>Luxembourg-2015</v>
      </c>
    </row>
    <row r="910" spans="1:15" x14ac:dyDescent="0.3">
      <c r="A910" s="8" t="s">
        <v>220</v>
      </c>
      <c r="B910" s="8" t="s">
        <v>221</v>
      </c>
      <c r="C910" s="8">
        <v>2016</v>
      </c>
      <c r="D910" s="8">
        <v>25676762138</v>
      </c>
      <c r="E910" s="8">
        <v>62216885436</v>
      </c>
      <c r="F910" s="8">
        <v>582014</v>
      </c>
      <c r="G910" s="8">
        <v>4.9781904709999996</v>
      </c>
      <c r="H910" s="8">
        <v>348.43740939999998</v>
      </c>
      <c r="I910" s="8">
        <v>44117.09</v>
      </c>
      <c r="J910" s="8">
        <v>106899.29</v>
      </c>
      <c r="K910" s="8">
        <v>41.27</v>
      </c>
      <c r="L910" s="8">
        <v>71</v>
      </c>
      <c r="M910" s="8">
        <v>25251405342</v>
      </c>
      <c r="N910" s="8">
        <v>1.68</v>
      </c>
      <c r="O910" s="8" t="str">
        <f>vw_scenario_analysis_dataset[[#This Row],[reporter_name]] &amp; "-" &amp; vw_scenario_analysis_dataset[[#This Row],[reference_year]]</f>
        <v>Luxembourg-2016</v>
      </c>
    </row>
    <row r="911" spans="1:15" x14ac:dyDescent="0.3">
      <c r="A911" s="8" t="s">
        <v>220</v>
      </c>
      <c r="B911" s="8" t="s">
        <v>221</v>
      </c>
      <c r="C911" s="8">
        <v>2017</v>
      </c>
      <c r="D911" s="8">
        <v>23065762296.432999</v>
      </c>
      <c r="E911" s="8">
        <v>65712180343</v>
      </c>
      <c r="F911" s="8">
        <v>596336</v>
      </c>
      <c r="G911" s="8">
        <v>1.3171194230000001</v>
      </c>
      <c r="H911" s="8">
        <v>353.793992</v>
      </c>
      <c r="I911" s="8">
        <v>38679.14</v>
      </c>
      <c r="J911" s="8">
        <v>110193.21</v>
      </c>
      <c r="K911" s="8">
        <v>35.1</v>
      </c>
      <c r="L911" s="8">
        <v>76</v>
      </c>
      <c r="M911" s="8">
        <v>25676762138</v>
      </c>
      <c r="N911" s="8">
        <v>-10.17</v>
      </c>
      <c r="O911" s="8" t="str">
        <f>vw_scenario_analysis_dataset[[#This Row],[reporter_name]] &amp; "-" &amp; vw_scenario_analysis_dataset[[#This Row],[reference_year]]</f>
        <v>Luxembourg-2017</v>
      </c>
    </row>
    <row r="912" spans="1:15" x14ac:dyDescent="0.3">
      <c r="A912" s="8" t="s">
        <v>220</v>
      </c>
      <c r="B912" s="8" t="s">
        <v>221</v>
      </c>
      <c r="C912" s="8">
        <v>2018</v>
      </c>
      <c r="D912" s="8">
        <v>30296734742.762039</v>
      </c>
      <c r="E912" s="8">
        <v>71085623495</v>
      </c>
      <c r="F912" s="8">
        <v>607950</v>
      </c>
      <c r="G912" s="8">
        <v>1.6112989120000001</v>
      </c>
      <c r="H912" s="8">
        <v>361.86544520000001</v>
      </c>
      <c r="I912" s="8">
        <v>49834.25</v>
      </c>
      <c r="J912" s="8">
        <v>116926.76</v>
      </c>
      <c r="K912" s="8">
        <v>42.62</v>
      </c>
      <c r="L912" s="8">
        <v>72</v>
      </c>
      <c r="M912" s="8">
        <v>23065762296.432999</v>
      </c>
      <c r="N912" s="8">
        <v>31.35</v>
      </c>
      <c r="O912" s="8" t="str">
        <f>vw_scenario_analysis_dataset[[#This Row],[reporter_name]] &amp; "-" &amp; vw_scenario_analysis_dataset[[#This Row],[reference_year]]</f>
        <v>Luxembourg-2018</v>
      </c>
    </row>
    <row r="913" spans="1:15" x14ac:dyDescent="0.3">
      <c r="A913" s="8" t="s">
        <v>220</v>
      </c>
      <c r="B913" s="8" t="s">
        <v>221</v>
      </c>
      <c r="C913" s="8">
        <v>2019</v>
      </c>
      <c r="D913" s="8">
        <v>29334893820.907005</v>
      </c>
      <c r="E913" s="8">
        <v>69872035114</v>
      </c>
      <c r="F913" s="8">
        <v>620001</v>
      </c>
      <c r="G913" s="8">
        <v>2.7493209190000001</v>
      </c>
      <c r="H913" s="8">
        <v>382.66078060000001</v>
      </c>
      <c r="I913" s="8">
        <v>47314.27</v>
      </c>
      <c r="J913" s="8">
        <v>112696.65</v>
      </c>
      <c r="K913" s="8">
        <v>41.98</v>
      </c>
      <c r="L913" s="8">
        <v>72</v>
      </c>
      <c r="M913" s="8">
        <v>30296734742.762039</v>
      </c>
      <c r="N913" s="8">
        <v>-3.17</v>
      </c>
      <c r="O913" s="8" t="str">
        <f>vw_scenario_analysis_dataset[[#This Row],[reporter_name]] &amp; "-" &amp; vw_scenario_analysis_dataset[[#This Row],[reference_year]]</f>
        <v>Luxembourg-2019</v>
      </c>
    </row>
    <row r="914" spans="1:15" x14ac:dyDescent="0.3">
      <c r="A914" s="8" t="s">
        <v>220</v>
      </c>
      <c r="B914" s="8" t="s">
        <v>221</v>
      </c>
      <c r="C914" s="8">
        <v>2020</v>
      </c>
      <c r="D914" s="8">
        <v>27012106891.128002</v>
      </c>
      <c r="E914" s="8">
        <v>73670782100</v>
      </c>
      <c r="F914" s="8">
        <v>630419</v>
      </c>
      <c r="G914" s="8">
        <v>-0.51005163399999998</v>
      </c>
      <c r="H914" s="8">
        <v>375.5813948</v>
      </c>
      <c r="I914" s="8">
        <v>42847.86</v>
      </c>
      <c r="J914" s="8">
        <v>116860.03</v>
      </c>
      <c r="K914" s="8">
        <v>36.67</v>
      </c>
      <c r="L914" s="8">
        <v>71</v>
      </c>
      <c r="M914" s="8">
        <v>29334893820.907005</v>
      </c>
      <c r="N914" s="8">
        <v>-7.92</v>
      </c>
      <c r="O914" s="8" t="str">
        <f>vw_scenario_analysis_dataset[[#This Row],[reporter_name]] &amp; "-" &amp; vw_scenario_analysis_dataset[[#This Row],[reference_year]]</f>
        <v>Luxembourg-2020</v>
      </c>
    </row>
    <row r="915" spans="1:15" x14ac:dyDescent="0.3">
      <c r="A915" s="8" t="s">
        <v>220</v>
      </c>
      <c r="B915" s="8" t="s">
        <v>221</v>
      </c>
      <c r="C915" s="8">
        <v>2021</v>
      </c>
      <c r="D915" s="8">
        <v>32494253084.275021</v>
      </c>
      <c r="E915" s="8">
        <v>86386759695</v>
      </c>
      <c r="F915" s="8">
        <v>640064</v>
      </c>
      <c r="G915" s="8">
        <v>6.9297327080000004</v>
      </c>
      <c r="H915" s="8">
        <v>397.5061809</v>
      </c>
      <c r="I915" s="8">
        <v>50767.19</v>
      </c>
      <c r="J915" s="8">
        <v>134965.82</v>
      </c>
      <c r="K915" s="8">
        <v>37.61</v>
      </c>
      <c r="L915" s="8">
        <v>71</v>
      </c>
      <c r="M915" s="8">
        <v>27012106891.128002</v>
      </c>
      <c r="N915" s="8">
        <v>20.3</v>
      </c>
      <c r="O915" s="8" t="str">
        <f>vw_scenario_analysis_dataset[[#This Row],[reporter_name]] &amp; "-" &amp; vw_scenario_analysis_dataset[[#This Row],[reference_year]]</f>
        <v>Luxembourg-2021</v>
      </c>
    </row>
    <row r="916" spans="1:15" x14ac:dyDescent="0.3">
      <c r="A916" s="8" t="s">
        <v>220</v>
      </c>
      <c r="B916" s="8" t="s">
        <v>221</v>
      </c>
      <c r="C916" s="8">
        <v>2022</v>
      </c>
      <c r="D916" s="8">
        <v>33532226646.890991</v>
      </c>
      <c r="E916" s="8">
        <v>80801680397</v>
      </c>
      <c r="F916" s="8">
        <v>653103</v>
      </c>
      <c r="G916" s="8">
        <v>-1.097412563</v>
      </c>
      <c r="H916" s="8">
        <v>412.17716990000002</v>
      </c>
      <c r="I916" s="8">
        <v>51342.94</v>
      </c>
      <c r="J916" s="8">
        <v>123719.66</v>
      </c>
      <c r="K916" s="8">
        <v>41.5</v>
      </c>
      <c r="L916" s="8">
        <v>71</v>
      </c>
      <c r="M916" s="8">
        <v>32494253084.275021</v>
      </c>
      <c r="N916" s="8">
        <v>3.19</v>
      </c>
      <c r="O916" s="8" t="str">
        <f>vw_scenario_analysis_dataset[[#This Row],[reporter_name]] &amp; "-" &amp; vw_scenario_analysis_dataset[[#This Row],[reference_year]]</f>
        <v>Luxembourg-2022</v>
      </c>
    </row>
    <row r="917" spans="1:15" x14ac:dyDescent="0.3">
      <c r="A917" s="8" t="s">
        <v>220</v>
      </c>
      <c r="B917" s="8" t="s">
        <v>221</v>
      </c>
      <c r="C917" s="8">
        <v>2023</v>
      </c>
      <c r="D917" s="8">
        <v>32735226824.945999</v>
      </c>
      <c r="E917" s="8">
        <v>88788881539</v>
      </c>
      <c r="F917" s="8">
        <v>666430</v>
      </c>
      <c r="G917" s="8">
        <v>9.9437058999999994E-2</v>
      </c>
      <c r="H917" s="8">
        <v>402.56696820000002</v>
      </c>
      <c r="I917" s="8">
        <v>49120.28</v>
      </c>
      <c r="J917" s="8">
        <v>133230.62</v>
      </c>
      <c r="K917" s="8">
        <v>36.869999999999997</v>
      </c>
      <c r="L917" s="8">
        <v>70</v>
      </c>
      <c r="M917" s="8">
        <v>33532226646.890991</v>
      </c>
      <c r="N917" s="8">
        <v>-2.38</v>
      </c>
      <c r="O917" s="8" t="str">
        <f>vw_scenario_analysis_dataset[[#This Row],[reporter_name]] &amp; "-" &amp; vw_scenario_analysis_dataset[[#This Row],[reference_year]]</f>
        <v>Luxembourg-2023</v>
      </c>
    </row>
    <row r="918" spans="1:15" x14ac:dyDescent="0.3">
      <c r="A918" s="8" t="s">
        <v>220</v>
      </c>
      <c r="B918" s="8" t="s">
        <v>221</v>
      </c>
      <c r="C918" s="8">
        <v>2024</v>
      </c>
      <c r="D918" s="8">
        <v>31271074936.86301</v>
      </c>
      <c r="E918" s="8">
        <v>93279851863</v>
      </c>
      <c r="F918" s="8">
        <v>677012</v>
      </c>
      <c r="G918" s="8">
        <v>0.35861400399999999</v>
      </c>
      <c r="H918" s="8">
        <v>351.26792119999999</v>
      </c>
      <c r="I918" s="8">
        <v>46189.84</v>
      </c>
      <c r="J918" s="8">
        <v>137781.68</v>
      </c>
      <c r="K918" s="8">
        <v>33.520000000000003</v>
      </c>
      <c r="L918" s="8">
        <v>68</v>
      </c>
      <c r="M918" s="8">
        <v>32735226824.945999</v>
      </c>
      <c r="N918" s="8">
        <v>-4.47</v>
      </c>
      <c r="O918" s="8" t="str">
        <f>vw_scenario_analysis_dataset[[#This Row],[reporter_name]] &amp; "-" &amp; vw_scenario_analysis_dataset[[#This Row],[reference_year]]</f>
        <v>Luxembourg-2024</v>
      </c>
    </row>
    <row r="919" spans="1:15" x14ac:dyDescent="0.3">
      <c r="A919" s="8" t="s">
        <v>222</v>
      </c>
      <c r="B919" s="8" t="s">
        <v>223</v>
      </c>
      <c r="C919" s="8">
        <v>2015</v>
      </c>
      <c r="D919" s="8">
        <v>22851579572.558987</v>
      </c>
      <c r="E919" s="8">
        <v>26344565877</v>
      </c>
      <c r="F919" s="8">
        <v>1977527</v>
      </c>
      <c r="G919" s="8">
        <v>3.7833671209999999</v>
      </c>
      <c r="H919" s="8">
        <v>126.38001439999999</v>
      </c>
      <c r="I919" s="8">
        <v>11555.63</v>
      </c>
      <c r="J919" s="8">
        <v>13321.98</v>
      </c>
      <c r="K919" s="8">
        <v>86.74</v>
      </c>
      <c r="L919" s="8">
        <v>75</v>
      </c>
      <c r="M919" s="8"/>
      <c r="N919" s="8"/>
      <c r="O919" s="8" t="str">
        <f>vw_scenario_analysis_dataset[[#This Row],[reporter_name]] &amp; "-" &amp; vw_scenario_analysis_dataset[[#This Row],[reference_year]]</f>
        <v>Latvia-2015</v>
      </c>
    </row>
    <row r="920" spans="1:15" x14ac:dyDescent="0.3">
      <c r="A920" s="8" t="s">
        <v>222</v>
      </c>
      <c r="B920" s="8" t="s">
        <v>223</v>
      </c>
      <c r="C920" s="8">
        <v>2016</v>
      </c>
      <c r="D920" s="8">
        <v>23222841780.425991</v>
      </c>
      <c r="E920" s="8">
        <v>27117105060</v>
      </c>
      <c r="F920" s="8">
        <v>1959537</v>
      </c>
      <c r="G920" s="8">
        <v>2.55168602</v>
      </c>
      <c r="H920" s="8">
        <v>123.3305184</v>
      </c>
      <c r="I920" s="8">
        <v>11851.19</v>
      </c>
      <c r="J920" s="8">
        <v>13838.53</v>
      </c>
      <c r="K920" s="8">
        <v>85.64</v>
      </c>
      <c r="L920" s="8">
        <v>73</v>
      </c>
      <c r="M920" s="8">
        <v>22851579572.558987</v>
      </c>
      <c r="N920" s="8">
        <v>1.62</v>
      </c>
      <c r="O920" s="8" t="str">
        <f>vw_scenario_analysis_dataset[[#This Row],[reporter_name]] &amp; "-" &amp; vw_scenario_analysis_dataset[[#This Row],[reference_year]]</f>
        <v>Latvia-2016</v>
      </c>
    </row>
    <row r="921" spans="1:15" x14ac:dyDescent="0.3">
      <c r="A921" s="8" t="s">
        <v>222</v>
      </c>
      <c r="B921" s="8" t="s">
        <v>223</v>
      </c>
      <c r="C921" s="8">
        <v>2017</v>
      </c>
      <c r="D921" s="8">
        <v>25952637597.312988</v>
      </c>
      <c r="E921" s="8">
        <v>29391059767</v>
      </c>
      <c r="F921" s="8">
        <v>1942248</v>
      </c>
      <c r="G921" s="8">
        <v>3.398948726</v>
      </c>
      <c r="H921" s="8">
        <v>128.7140033</v>
      </c>
      <c r="I921" s="8">
        <v>13362.16</v>
      </c>
      <c r="J921" s="8">
        <v>15132.5</v>
      </c>
      <c r="K921" s="8">
        <v>88.3</v>
      </c>
      <c r="L921" s="8">
        <v>72</v>
      </c>
      <c r="M921" s="8">
        <v>23222841780.425991</v>
      </c>
      <c r="N921" s="8">
        <v>11.75</v>
      </c>
      <c r="O921" s="8" t="str">
        <f>vw_scenario_analysis_dataset[[#This Row],[reporter_name]] &amp; "-" &amp; vw_scenario_analysis_dataset[[#This Row],[reference_year]]</f>
        <v>Latvia-2017</v>
      </c>
    </row>
    <row r="922" spans="1:15" x14ac:dyDescent="0.3">
      <c r="A922" s="8" t="s">
        <v>222</v>
      </c>
      <c r="B922" s="8" t="s">
        <v>223</v>
      </c>
      <c r="C922" s="8">
        <v>2018</v>
      </c>
      <c r="D922" s="8">
        <v>29300707756.784012</v>
      </c>
      <c r="E922" s="8">
        <v>33247935477</v>
      </c>
      <c r="F922" s="8">
        <v>1927174</v>
      </c>
      <c r="G922" s="8">
        <v>4.3097128629999997</v>
      </c>
      <c r="H922" s="8">
        <v>128.23409559999999</v>
      </c>
      <c r="I922" s="8">
        <v>15203.98</v>
      </c>
      <c r="J922" s="8">
        <v>17252.169999999998</v>
      </c>
      <c r="K922" s="8">
        <v>88.13</v>
      </c>
      <c r="L922" s="8">
        <v>73</v>
      </c>
      <c r="M922" s="8">
        <v>25952637597.312988</v>
      </c>
      <c r="N922" s="8">
        <v>12.9</v>
      </c>
      <c r="O922" s="8" t="str">
        <f>vw_scenario_analysis_dataset[[#This Row],[reporter_name]] &amp; "-" &amp; vw_scenario_analysis_dataset[[#This Row],[reference_year]]</f>
        <v>Latvia-2018</v>
      </c>
    </row>
    <row r="923" spans="1:15" x14ac:dyDescent="0.3">
      <c r="A923" s="8" t="s">
        <v>222</v>
      </c>
      <c r="B923" s="8" t="s">
        <v>223</v>
      </c>
      <c r="C923" s="8">
        <v>2019</v>
      </c>
      <c r="D923" s="8">
        <v>29003684658.076004</v>
      </c>
      <c r="E923" s="8">
        <v>33099503951</v>
      </c>
      <c r="F923" s="8">
        <v>1913822</v>
      </c>
      <c r="G923" s="8">
        <v>0.67537277200000001</v>
      </c>
      <c r="H923" s="8">
        <v>125.2916317</v>
      </c>
      <c r="I923" s="8">
        <v>15154.85</v>
      </c>
      <c r="J923" s="8">
        <v>17294.98</v>
      </c>
      <c r="K923" s="8">
        <v>87.63</v>
      </c>
      <c r="L923" s="8">
        <v>73</v>
      </c>
      <c r="M923" s="8">
        <v>29300707756.784012</v>
      </c>
      <c r="N923" s="8">
        <v>-1.01</v>
      </c>
      <c r="O923" s="8" t="str">
        <f>vw_scenario_analysis_dataset[[#This Row],[reporter_name]] &amp; "-" &amp; vw_scenario_analysis_dataset[[#This Row],[reference_year]]</f>
        <v>Latvia-2019</v>
      </c>
    </row>
    <row r="924" spans="1:15" x14ac:dyDescent="0.3">
      <c r="A924" s="8" t="s">
        <v>222</v>
      </c>
      <c r="B924" s="8" t="s">
        <v>223</v>
      </c>
      <c r="C924" s="8">
        <v>2020</v>
      </c>
      <c r="D924" s="8">
        <v>30392527774.843994</v>
      </c>
      <c r="E924" s="8">
        <v>33379927435</v>
      </c>
      <c r="F924" s="8">
        <v>1900449</v>
      </c>
      <c r="G924" s="8">
        <v>-3.4692275079999999</v>
      </c>
      <c r="H924" s="8">
        <v>123.88319799999999</v>
      </c>
      <c r="I924" s="8">
        <v>15992.29</v>
      </c>
      <c r="J924" s="8">
        <v>17564.23</v>
      </c>
      <c r="K924" s="8">
        <v>91.05</v>
      </c>
      <c r="L924" s="8">
        <v>67</v>
      </c>
      <c r="M924" s="8">
        <v>29003684658.076004</v>
      </c>
      <c r="N924" s="8">
        <v>4.79</v>
      </c>
      <c r="O924" s="8" t="str">
        <f>vw_scenario_analysis_dataset[[#This Row],[reporter_name]] &amp; "-" &amp; vw_scenario_analysis_dataset[[#This Row],[reference_year]]</f>
        <v>Latvia-2020</v>
      </c>
    </row>
    <row r="925" spans="1:15" x14ac:dyDescent="0.3">
      <c r="A925" s="8" t="s">
        <v>222</v>
      </c>
      <c r="B925" s="8" t="s">
        <v>223</v>
      </c>
      <c r="C925" s="8">
        <v>2021</v>
      </c>
      <c r="D925" s="8">
        <v>38917643832.540977</v>
      </c>
      <c r="E925" s="8">
        <v>38183326785</v>
      </c>
      <c r="F925" s="8">
        <v>1884490</v>
      </c>
      <c r="G925" s="8">
        <v>6.9425417310000004</v>
      </c>
      <c r="H925" s="8">
        <v>136.79661540000001</v>
      </c>
      <c r="I925" s="8">
        <v>20651.55</v>
      </c>
      <c r="J925" s="8">
        <v>20261.89</v>
      </c>
      <c r="K925" s="8">
        <v>101.92</v>
      </c>
      <c r="L925" s="8">
        <v>67</v>
      </c>
      <c r="M925" s="8">
        <v>30392527774.843994</v>
      </c>
      <c r="N925" s="8">
        <v>28.05</v>
      </c>
      <c r="O925" s="8" t="str">
        <f>vw_scenario_analysis_dataset[[#This Row],[reporter_name]] &amp; "-" &amp; vw_scenario_analysis_dataset[[#This Row],[reference_year]]</f>
        <v>Latvia-2021</v>
      </c>
    </row>
    <row r="926" spans="1:15" x14ac:dyDescent="0.3">
      <c r="A926" s="8" t="s">
        <v>222</v>
      </c>
      <c r="B926" s="8" t="s">
        <v>223</v>
      </c>
      <c r="C926" s="8">
        <v>2022</v>
      </c>
      <c r="D926" s="8">
        <v>44932469328.657005</v>
      </c>
      <c r="E926" s="8">
        <v>38003198509</v>
      </c>
      <c r="F926" s="8">
        <v>1879383</v>
      </c>
      <c r="G926" s="8">
        <v>1.9085341899999999</v>
      </c>
      <c r="H926" s="8">
        <v>159.89277820000001</v>
      </c>
      <c r="I926" s="8">
        <v>23908.1</v>
      </c>
      <c r="J926" s="8">
        <v>20221.099999999999</v>
      </c>
      <c r="K926" s="8">
        <v>118.23</v>
      </c>
      <c r="L926" s="8">
        <v>65</v>
      </c>
      <c r="M926" s="8">
        <v>38917643832.540977</v>
      </c>
      <c r="N926" s="8">
        <v>15.46</v>
      </c>
      <c r="O926" s="8" t="str">
        <f>vw_scenario_analysis_dataset[[#This Row],[reporter_name]] &amp; "-" &amp; vw_scenario_analysis_dataset[[#This Row],[reference_year]]</f>
        <v>Latvia-2022</v>
      </c>
    </row>
    <row r="927" spans="1:15" x14ac:dyDescent="0.3">
      <c r="A927" s="8" t="s">
        <v>222</v>
      </c>
      <c r="B927" s="8" t="s">
        <v>223</v>
      </c>
      <c r="C927" s="8">
        <v>2023</v>
      </c>
      <c r="D927" s="8">
        <v>41079956864.104019</v>
      </c>
      <c r="E927" s="8">
        <v>42779550937</v>
      </c>
      <c r="F927" s="8">
        <v>1883710</v>
      </c>
      <c r="G927" s="8">
        <v>-0.94160606899999999</v>
      </c>
      <c r="H927" s="8">
        <v>135.64298919999999</v>
      </c>
      <c r="I927" s="8">
        <v>21808</v>
      </c>
      <c r="J927" s="8">
        <v>22710.26</v>
      </c>
      <c r="K927" s="8">
        <v>96.03</v>
      </c>
      <c r="L927" s="8">
        <v>65</v>
      </c>
      <c r="M927" s="8">
        <v>44932469328.657005</v>
      </c>
      <c r="N927" s="8">
        <v>-8.57</v>
      </c>
      <c r="O927" s="8" t="str">
        <f>vw_scenario_analysis_dataset[[#This Row],[reporter_name]] &amp; "-" &amp; vw_scenario_analysis_dataset[[#This Row],[reference_year]]</f>
        <v>Latvia-2023</v>
      </c>
    </row>
    <row r="928" spans="1:15" x14ac:dyDescent="0.3">
      <c r="A928" s="8" t="s">
        <v>222</v>
      </c>
      <c r="B928" s="8" t="s">
        <v>223</v>
      </c>
      <c r="C928" s="8">
        <v>2024</v>
      </c>
      <c r="D928" s="8">
        <v>39483073284.635971</v>
      </c>
      <c r="E928" s="8">
        <v>44001275013</v>
      </c>
      <c r="F928" s="8">
        <v>1866124</v>
      </c>
      <c r="G928" s="8">
        <v>-3.7055665000000002E-2</v>
      </c>
      <c r="H928" s="8">
        <v>131.30958240000001</v>
      </c>
      <c r="I928" s="8">
        <v>21157.8</v>
      </c>
      <c r="J928" s="8">
        <v>23578.97</v>
      </c>
      <c r="K928" s="8">
        <v>89.73</v>
      </c>
      <c r="L928" s="8">
        <v>66</v>
      </c>
      <c r="M928" s="8">
        <v>41079956864.104019</v>
      </c>
      <c r="N928" s="8">
        <v>-3.89</v>
      </c>
      <c r="O928" s="8" t="str">
        <f>vw_scenario_analysis_dataset[[#This Row],[reporter_name]] &amp; "-" &amp; vw_scenario_analysis_dataset[[#This Row],[reference_year]]</f>
        <v>Latvia-2024</v>
      </c>
    </row>
    <row r="929" spans="1:15" x14ac:dyDescent="0.3">
      <c r="A929" s="8" t="s">
        <v>224</v>
      </c>
      <c r="B929" s="8" t="s">
        <v>225</v>
      </c>
      <c r="C929" s="8">
        <v>2015</v>
      </c>
      <c r="D929" s="8">
        <v>2678025238</v>
      </c>
      <c r="E929" s="8">
        <v>44940613353</v>
      </c>
      <c r="F929" s="8">
        <v>642900</v>
      </c>
      <c r="G929" s="8">
        <v>-21.75400788</v>
      </c>
      <c r="H929" s="8">
        <v>119.2504368</v>
      </c>
      <c r="I929" s="8">
        <v>4165.54</v>
      </c>
      <c r="J929" s="8">
        <v>69902.960000000006</v>
      </c>
      <c r="K929" s="8">
        <v>5.96</v>
      </c>
      <c r="L929" s="8">
        <v>125</v>
      </c>
      <c r="M929" s="8"/>
      <c r="N929" s="8"/>
      <c r="O929" s="8" t="str">
        <f>vw_scenario_analysis_dataset[[#This Row],[reporter_name]] &amp; "-" &amp; vw_scenario_analysis_dataset[[#This Row],[reference_year]]</f>
        <v>China, Macao SAR-2015</v>
      </c>
    </row>
    <row r="930" spans="1:15" x14ac:dyDescent="0.3">
      <c r="A930" s="8" t="s">
        <v>224</v>
      </c>
      <c r="B930" s="8" t="s">
        <v>225</v>
      </c>
      <c r="C930" s="8">
        <v>2016</v>
      </c>
      <c r="D930" s="8">
        <v>2513206198</v>
      </c>
      <c r="E930" s="8">
        <v>44964868324</v>
      </c>
      <c r="F930" s="8">
        <v>652500</v>
      </c>
      <c r="G930" s="8">
        <v>-0.70151021300000005</v>
      </c>
      <c r="H930" s="8">
        <v>112.8902327</v>
      </c>
      <c r="I930" s="8">
        <v>3851.66</v>
      </c>
      <c r="J930" s="8">
        <v>68911.679999999993</v>
      </c>
      <c r="K930" s="8">
        <v>5.59</v>
      </c>
      <c r="L930" s="8">
        <v>128</v>
      </c>
      <c r="M930" s="8">
        <v>2678025238</v>
      </c>
      <c r="N930" s="8">
        <v>-6.15</v>
      </c>
      <c r="O930" s="8" t="str">
        <f>vw_scenario_analysis_dataset[[#This Row],[reporter_name]] &amp; "-" &amp; vw_scenario_analysis_dataset[[#This Row],[reference_year]]</f>
        <v>China, Macao SAR-2016</v>
      </c>
    </row>
    <row r="931" spans="1:15" x14ac:dyDescent="0.3">
      <c r="A931" s="8" t="s">
        <v>224</v>
      </c>
      <c r="B931" s="8" t="s">
        <v>225</v>
      </c>
      <c r="C931" s="8">
        <v>2017</v>
      </c>
      <c r="D931" s="8">
        <v>1993330464.6949995</v>
      </c>
      <c r="E931" s="8">
        <v>50297028371</v>
      </c>
      <c r="F931" s="8">
        <v>648400</v>
      </c>
      <c r="G931" s="8">
        <v>9.9185584450000004</v>
      </c>
      <c r="H931" s="8">
        <v>115.45466260000001</v>
      </c>
      <c r="I931" s="8">
        <v>3074.23</v>
      </c>
      <c r="J931" s="8">
        <v>77570.990000000005</v>
      </c>
      <c r="K931" s="8">
        <v>3.96</v>
      </c>
      <c r="L931" s="8">
        <v>132</v>
      </c>
      <c r="M931" s="8">
        <v>2513206198</v>
      </c>
      <c r="N931" s="8">
        <v>-20.69</v>
      </c>
      <c r="O931" s="8" t="str">
        <f>vw_scenario_analysis_dataset[[#This Row],[reporter_name]] &amp; "-" &amp; vw_scenario_analysis_dataset[[#This Row],[reference_year]]</f>
        <v>China, Macao SAR-2017</v>
      </c>
    </row>
    <row r="932" spans="1:15" x14ac:dyDescent="0.3">
      <c r="A932" s="8" t="s">
        <v>224</v>
      </c>
      <c r="B932" s="8" t="s">
        <v>225</v>
      </c>
      <c r="C932" s="8">
        <v>2018</v>
      </c>
      <c r="D932" s="8">
        <v>2313183743.1789989</v>
      </c>
      <c r="E932" s="8">
        <v>55076322634</v>
      </c>
      <c r="F932" s="8">
        <v>658900</v>
      </c>
      <c r="G932" s="8">
        <v>6.3591703060000002</v>
      </c>
      <c r="H932" s="8">
        <v>116.56867680000001</v>
      </c>
      <c r="I932" s="8">
        <v>3510.67</v>
      </c>
      <c r="J932" s="8">
        <v>83588.289999999994</v>
      </c>
      <c r="K932" s="8">
        <v>4.2</v>
      </c>
      <c r="L932" s="8">
        <v>127</v>
      </c>
      <c r="M932" s="8">
        <v>1993330464.6949995</v>
      </c>
      <c r="N932" s="8">
        <v>16.05</v>
      </c>
      <c r="O932" s="8" t="str">
        <f>vw_scenario_analysis_dataset[[#This Row],[reporter_name]] &amp; "-" &amp; vw_scenario_analysis_dataset[[#This Row],[reference_year]]</f>
        <v>China, Macao SAR-2018</v>
      </c>
    </row>
    <row r="933" spans="1:15" x14ac:dyDescent="0.3">
      <c r="A933" s="8" t="s">
        <v>224</v>
      </c>
      <c r="B933" s="8" t="s">
        <v>225</v>
      </c>
      <c r="C933" s="8">
        <v>2019</v>
      </c>
      <c r="D933" s="8">
        <v>2047966062.1010001</v>
      </c>
      <c r="E933" s="8">
        <v>55025172016</v>
      </c>
      <c r="F933" s="8">
        <v>672000</v>
      </c>
      <c r="G933" s="8">
        <v>-2.4609094009999999</v>
      </c>
      <c r="H933" s="8">
        <v>115.2312989</v>
      </c>
      <c r="I933" s="8">
        <v>3047.57</v>
      </c>
      <c r="J933" s="8">
        <v>81882.7</v>
      </c>
      <c r="K933" s="8">
        <v>3.72</v>
      </c>
      <c r="L933" s="8">
        <v>129</v>
      </c>
      <c r="M933" s="8">
        <v>2313183743.1789989</v>
      </c>
      <c r="N933" s="8">
        <v>-11.47</v>
      </c>
      <c r="O933" s="8" t="str">
        <f>vw_scenario_analysis_dataset[[#This Row],[reporter_name]] &amp; "-" &amp; vw_scenario_analysis_dataset[[#This Row],[reference_year]]</f>
        <v>China, Macao SAR-2019</v>
      </c>
    </row>
    <row r="934" spans="1:15" x14ac:dyDescent="0.3">
      <c r="A934" s="8" t="s">
        <v>224</v>
      </c>
      <c r="B934" s="8" t="s">
        <v>225</v>
      </c>
      <c r="C934" s="8">
        <v>2020</v>
      </c>
      <c r="D934" s="8">
        <v>2049163060.5519998</v>
      </c>
      <c r="E934" s="8">
        <v>25280064168</v>
      </c>
      <c r="F934" s="8">
        <v>685400</v>
      </c>
      <c r="G934" s="8">
        <v>-54.402092580000001</v>
      </c>
      <c r="H934" s="8">
        <v>123.4343744</v>
      </c>
      <c r="I934" s="8">
        <v>2989.73</v>
      </c>
      <c r="J934" s="8">
        <v>36883.67</v>
      </c>
      <c r="K934" s="8">
        <v>8.11</v>
      </c>
      <c r="L934" s="8">
        <v>127</v>
      </c>
      <c r="M934" s="8">
        <v>2047966062.1010001</v>
      </c>
      <c r="N934" s="8">
        <v>0.06</v>
      </c>
      <c r="O934" s="8" t="str">
        <f>vw_scenario_analysis_dataset[[#This Row],[reporter_name]] &amp; "-" &amp; vw_scenario_analysis_dataset[[#This Row],[reference_year]]</f>
        <v>China, Macao SAR-2020</v>
      </c>
    </row>
    <row r="935" spans="1:15" x14ac:dyDescent="0.3">
      <c r="A935" s="8" t="s">
        <v>224</v>
      </c>
      <c r="B935" s="8" t="s">
        <v>225</v>
      </c>
      <c r="C935" s="8">
        <v>2021</v>
      </c>
      <c r="D935" s="8">
        <v>2784849801.1069999</v>
      </c>
      <c r="E935" s="8">
        <v>30633941629</v>
      </c>
      <c r="F935" s="8">
        <v>682500</v>
      </c>
      <c r="G935" s="8">
        <v>22.462202000000001</v>
      </c>
      <c r="H935" s="8">
        <v>171.3159708</v>
      </c>
      <c r="I935" s="8">
        <v>4080.37</v>
      </c>
      <c r="J935" s="8">
        <v>44884.9</v>
      </c>
      <c r="K935" s="8">
        <v>9.09</v>
      </c>
      <c r="L935" s="8">
        <v>130</v>
      </c>
      <c r="M935" s="8">
        <v>2049163060.5519998</v>
      </c>
      <c r="N935" s="8">
        <v>35.9</v>
      </c>
      <c r="O935" s="8" t="str">
        <f>vw_scenario_analysis_dataset[[#This Row],[reporter_name]] &amp; "-" &amp; vw_scenario_analysis_dataset[[#This Row],[reference_year]]</f>
        <v>China, Macao SAR-2021</v>
      </c>
    </row>
    <row r="936" spans="1:15" x14ac:dyDescent="0.3">
      <c r="A936" s="8" t="s">
        <v>224</v>
      </c>
      <c r="B936" s="8" t="s">
        <v>225</v>
      </c>
      <c r="C936" s="8">
        <v>2022</v>
      </c>
      <c r="D936" s="8">
        <v>2733475553.6699991</v>
      </c>
      <c r="E936" s="8">
        <v>24929307447</v>
      </c>
      <c r="F936" s="8">
        <v>677300</v>
      </c>
      <c r="G936" s="8">
        <v>-18.956941489999998</v>
      </c>
      <c r="H936" s="8">
        <v>170.3680493</v>
      </c>
      <c r="I936" s="8">
        <v>4035.84</v>
      </c>
      <c r="J936" s="8">
        <v>36806.89</v>
      </c>
      <c r="K936" s="8">
        <v>10.96</v>
      </c>
      <c r="L936" s="8">
        <v>127</v>
      </c>
      <c r="M936" s="8">
        <v>2784849801.1069999</v>
      </c>
      <c r="N936" s="8">
        <v>-1.84</v>
      </c>
      <c r="O936" s="8" t="str">
        <f>vw_scenario_analysis_dataset[[#This Row],[reporter_name]] &amp; "-" &amp; vw_scenario_analysis_dataset[[#This Row],[reference_year]]</f>
        <v>China, Macao SAR-2022</v>
      </c>
    </row>
    <row r="937" spans="1:15" x14ac:dyDescent="0.3">
      <c r="A937" s="8" t="s">
        <v>224</v>
      </c>
      <c r="B937" s="8" t="s">
        <v>225</v>
      </c>
      <c r="C937" s="8">
        <v>2023</v>
      </c>
      <c r="D937" s="8">
        <v>2443104894.1480007</v>
      </c>
      <c r="E937" s="8">
        <v>45626467280</v>
      </c>
      <c r="F937" s="8">
        <v>678800</v>
      </c>
      <c r="G937" s="8">
        <v>75.308418430000003</v>
      </c>
      <c r="H937" s="8">
        <v>145.87446729999999</v>
      </c>
      <c r="I937" s="8">
        <v>3599.15</v>
      </c>
      <c r="J937" s="8">
        <v>67216.36</v>
      </c>
      <c r="K937" s="8">
        <v>5.35</v>
      </c>
      <c r="L937" s="8">
        <v>126</v>
      </c>
      <c r="M937" s="8">
        <v>2733475553.6699991</v>
      </c>
      <c r="N937" s="8">
        <v>-10.62</v>
      </c>
      <c r="O937" s="8" t="str">
        <f>vw_scenario_analysis_dataset[[#This Row],[reporter_name]] &amp; "-" &amp; vw_scenario_analysis_dataset[[#This Row],[reference_year]]</f>
        <v>China, Macao SAR-2023</v>
      </c>
    </row>
    <row r="938" spans="1:15" x14ac:dyDescent="0.3">
      <c r="A938" s="8" t="s">
        <v>224</v>
      </c>
      <c r="B938" s="8" t="s">
        <v>225</v>
      </c>
      <c r="C938" s="8">
        <v>2024</v>
      </c>
      <c r="D938" s="8">
        <v>2139265293.0529995</v>
      </c>
      <c r="E938" s="8">
        <v>49467258923</v>
      </c>
      <c r="F938" s="8">
        <v>687000</v>
      </c>
      <c r="G938" s="8">
        <v>7.8496020700000004</v>
      </c>
      <c r="H938" s="8">
        <v>142.07943460000001</v>
      </c>
      <c r="I938" s="8">
        <v>3113.92</v>
      </c>
      <c r="J938" s="8">
        <v>72004.740000000005</v>
      </c>
      <c r="K938" s="8">
        <v>4.32</v>
      </c>
      <c r="L938" s="8">
        <v>112</v>
      </c>
      <c r="M938" s="8">
        <v>2443104894.1480007</v>
      </c>
      <c r="N938" s="8">
        <v>-12.44</v>
      </c>
      <c r="O938" s="8" t="str">
        <f>vw_scenario_analysis_dataset[[#This Row],[reporter_name]] &amp; "-" &amp; vw_scenario_analysis_dataset[[#This Row],[reference_year]]</f>
        <v>China, Macao SAR-2024</v>
      </c>
    </row>
    <row r="939" spans="1:15" x14ac:dyDescent="0.3">
      <c r="A939" s="8" t="s">
        <v>226</v>
      </c>
      <c r="B939" s="8" t="s">
        <v>227</v>
      </c>
      <c r="C939" s="8">
        <v>2015</v>
      </c>
      <c r="D939" s="8">
        <v>44673870798.936028</v>
      </c>
      <c r="E939" s="8">
        <v>110000000000</v>
      </c>
      <c r="F939" s="8">
        <v>34607588</v>
      </c>
      <c r="G939" s="8">
        <v>4.3445829759999999</v>
      </c>
      <c r="H939" s="8">
        <v>67.288675929999997</v>
      </c>
      <c r="I939" s="8">
        <v>1290.8699999999999</v>
      </c>
      <c r="J939" s="8">
        <v>3178.49</v>
      </c>
      <c r="K939" s="8">
        <v>40.61</v>
      </c>
      <c r="L939" s="8">
        <v>61</v>
      </c>
      <c r="M939" s="8"/>
      <c r="N939" s="8"/>
      <c r="O939" s="8" t="str">
        <f>vw_scenario_analysis_dataset[[#This Row],[reporter_name]] &amp; "-" &amp; vw_scenario_analysis_dataset[[#This Row],[reference_year]]</f>
        <v>Morocco-2015</v>
      </c>
    </row>
    <row r="940" spans="1:15" x14ac:dyDescent="0.3">
      <c r="A940" s="8" t="s">
        <v>226</v>
      </c>
      <c r="B940" s="8" t="s">
        <v>227</v>
      </c>
      <c r="C940" s="8">
        <v>2016</v>
      </c>
      <c r="D940" s="8">
        <v>45716577045</v>
      </c>
      <c r="E940" s="8">
        <v>112000000000</v>
      </c>
      <c r="F940" s="8">
        <v>35023457</v>
      </c>
      <c r="G940" s="8">
        <v>0.52118550600000002</v>
      </c>
      <c r="H940" s="8">
        <v>71.122660379999999</v>
      </c>
      <c r="I940" s="8">
        <v>1305.31</v>
      </c>
      <c r="J940" s="8">
        <v>3197.86</v>
      </c>
      <c r="K940" s="8">
        <v>40.82</v>
      </c>
      <c r="L940" s="8">
        <v>62</v>
      </c>
      <c r="M940" s="8">
        <v>44673870798.936028</v>
      </c>
      <c r="N940" s="8">
        <v>2.33</v>
      </c>
      <c r="O940" s="8" t="str">
        <f>vw_scenario_analysis_dataset[[#This Row],[reporter_name]] &amp; "-" &amp; vw_scenario_analysis_dataset[[#This Row],[reference_year]]</f>
        <v>Morocco-2016</v>
      </c>
    </row>
    <row r="941" spans="1:15" x14ac:dyDescent="0.3">
      <c r="A941" s="8" t="s">
        <v>226</v>
      </c>
      <c r="B941" s="8" t="s">
        <v>227</v>
      </c>
      <c r="C941" s="8">
        <v>2017</v>
      </c>
      <c r="D941" s="8">
        <v>51248595698.96904</v>
      </c>
      <c r="E941" s="8">
        <v>119000000000</v>
      </c>
      <c r="F941" s="8">
        <v>35446392</v>
      </c>
      <c r="G941" s="8">
        <v>5.0578981619999999</v>
      </c>
      <c r="H941" s="8">
        <v>74.173357879999998</v>
      </c>
      <c r="I941" s="8">
        <v>1445.81</v>
      </c>
      <c r="J941" s="8">
        <v>3357.18</v>
      </c>
      <c r="K941" s="8">
        <v>43.07</v>
      </c>
      <c r="L941" s="8">
        <v>61</v>
      </c>
      <c r="M941" s="8">
        <v>45716577045</v>
      </c>
      <c r="N941" s="8">
        <v>12.1</v>
      </c>
      <c r="O941" s="8" t="str">
        <f>vw_scenario_analysis_dataset[[#This Row],[reporter_name]] &amp; "-" &amp; vw_scenario_analysis_dataset[[#This Row],[reference_year]]</f>
        <v>Morocco-2017</v>
      </c>
    </row>
    <row r="942" spans="1:15" x14ac:dyDescent="0.3">
      <c r="A942" s="8" t="s">
        <v>226</v>
      </c>
      <c r="B942" s="8" t="s">
        <v>227</v>
      </c>
      <c r="C942" s="8">
        <v>2018</v>
      </c>
      <c r="D942" s="8">
        <v>58691144233.613991</v>
      </c>
      <c r="E942" s="8">
        <v>127000000000</v>
      </c>
      <c r="F942" s="8">
        <v>35839760</v>
      </c>
      <c r="G942" s="8">
        <v>3.0656413300000001</v>
      </c>
      <c r="H942" s="8">
        <v>77.254887519999997</v>
      </c>
      <c r="I942" s="8">
        <v>1637.6</v>
      </c>
      <c r="J942" s="8">
        <v>3543.55</v>
      </c>
      <c r="K942" s="8">
        <v>46.21</v>
      </c>
      <c r="L942" s="8">
        <v>60</v>
      </c>
      <c r="M942" s="8">
        <v>51248595698.96904</v>
      </c>
      <c r="N942" s="8">
        <v>14.52</v>
      </c>
      <c r="O942" s="8" t="str">
        <f>vw_scenario_analysis_dataset[[#This Row],[reporter_name]] &amp; "-" &amp; vw_scenario_analysis_dataset[[#This Row],[reference_year]]</f>
        <v>Morocco-2018</v>
      </c>
    </row>
    <row r="943" spans="1:15" x14ac:dyDescent="0.3">
      <c r="A943" s="8" t="s">
        <v>226</v>
      </c>
      <c r="B943" s="8" t="s">
        <v>227</v>
      </c>
      <c r="C943" s="8">
        <v>2019</v>
      </c>
      <c r="D943" s="8">
        <v>59164798152.099052</v>
      </c>
      <c r="E943" s="8">
        <v>129000000000</v>
      </c>
      <c r="F943" s="8">
        <v>36210898</v>
      </c>
      <c r="G943" s="8">
        <v>2.8909747609999998</v>
      </c>
      <c r="H943" s="8">
        <v>75.99811588</v>
      </c>
      <c r="I943" s="8">
        <v>1633.89</v>
      </c>
      <c r="J943" s="8">
        <v>3562.46</v>
      </c>
      <c r="K943" s="8">
        <v>45.86</v>
      </c>
      <c r="L943" s="8">
        <v>59</v>
      </c>
      <c r="M943" s="8">
        <v>58691144233.613991</v>
      </c>
      <c r="N943" s="8">
        <v>0.81</v>
      </c>
      <c r="O943" s="8" t="str">
        <f>vw_scenario_analysis_dataset[[#This Row],[reporter_name]] &amp; "-" &amp; vw_scenario_analysis_dataset[[#This Row],[reference_year]]</f>
        <v>Morocco-2019</v>
      </c>
    </row>
    <row r="944" spans="1:15" x14ac:dyDescent="0.3">
      <c r="A944" s="8" t="s">
        <v>226</v>
      </c>
      <c r="B944" s="8" t="s">
        <v>227</v>
      </c>
      <c r="C944" s="8">
        <v>2020</v>
      </c>
      <c r="D944" s="8">
        <v>55405449168.841995</v>
      </c>
      <c r="E944" s="8">
        <v>121000000000</v>
      </c>
      <c r="F944" s="8">
        <v>36584208</v>
      </c>
      <c r="G944" s="8">
        <v>-7.1782074419999997</v>
      </c>
      <c r="H944" s="8">
        <v>68.843803390000005</v>
      </c>
      <c r="I944" s="8">
        <v>1514.46</v>
      </c>
      <c r="J944" s="8">
        <v>3307.44</v>
      </c>
      <c r="K944" s="8">
        <v>45.79</v>
      </c>
      <c r="L944" s="8">
        <v>58</v>
      </c>
      <c r="M944" s="8">
        <v>59164798152.099052</v>
      </c>
      <c r="N944" s="8">
        <v>-6.35</v>
      </c>
      <c r="O944" s="8" t="str">
        <f>vw_scenario_analysis_dataset[[#This Row],[reporter_name]] &amp; "-" &amp; vw_scenario_analysis_dataset[[#This Row],[reference_year]]</f>
        <v>Morocco-2020</v>
      </c>
    </row>
    <row r="945" spans="1:15" x14ac:dyDescent="0.3">
      <c r="A945" s="8" t="s">
        <v>226</v>
      </c>
      <c r="B945" s="8" t="s">
        <v>227</v>
      </c>
      <c r="C945" s="8">
        <v>2021</v>
      </c>
      <c r="D945" s="8">
        <v>73170449902.406967</v>
      </c>
      <c r="E945" s="8">
        <v>142000000000</v>
      </c>
      <c r="F945" s="8">
        <v>36954442</v>
      </c>
      <c r="G945" s="8">
        <v>8.1547388979999997</v>
      </c>
      <c r="H945" s="8">
        <v>75.523417179999996</v>
      </c>
      <c r="I945" s="8">
        <v>1980.02</v>
      </c>
      <c r="J945" s="8">
        <v>3842.57</v>
      </c>
      <c r="K945" s="8">
        <v>51.53</v>
      </c>
      <c r="L945" s="8">
        <v>58</v>
      </c>
      <c r="M945" s="8">
        <v>55405449168.841995</v>
      </c>
      <c r="N945" s="8">
        <v>32.06</v>
      </c>
      <c r="O945" s="8" t="str">
        <f>vw_scenario_analysis_dataset[[#This Row],[reporter_name]] &amp; "-" &amp; vw_scenario_analysis_dataset[[#This Row],[reference_year]]</f>
        <v>Morocco-2021</v>
      </c>
    </row>
    <row r="946" spans="1:15" x14ac:dyDescent="0.3">
      <c r="A946" s="8" t="s">
        <v>226</v>
      </c>
      <c r="B946" s="8" t="s">
        <v>227</v>
      </c>
      <c r="C946" s="8">
        <v>2022</v>
      </c>
      <c r="D946" s="8">
        <v>84366941452.703033</v>
      </c>
      <c r="E946" s="8">
        <v>131000000000</v>
      </c>
      <c r="F946" s="8">
        <v>37329064</v>
      </c>
      <c r="G946" s="8">
        <v>1.812692422</v>
      </c>
      <c r="H946" s="8">
        <v>100.90631019999999</v>
      </c>
      <c r="I946" s="8">
        <v>2260.09</v>
      </c>
      <c r="J946" s="8">
        <v>3509.33</v>
      </c>
      <c r="K946" s="8">
        <v>64.400000000000006</v>
      </c>
      <c r="L946" s="8">
        <v>57</v>
      </c>
      <c r="M946" s="8">
        <v>73170449902.406967</v>
      </c>
      <c r="N946" s="8">
        <v>15.3</v>
      </c>
      <c r="O946" s="8" t="str">
        <f>vw_scenario_analysis_dataset[[#This Row],[reporter_name]] &amp; "-" &amp; vw_scenario_analysis_dataset[[#This Row],[reference_year]]</f>
        <v>Morocco-2022</v>
      </c>
    </row>
    <row r="947" spans="1:15" x14ac:dyDescent="0.3">
      <c r="A947" s="8" t="s">
        <v>226</v>
      </c>
      <c r="B947" s="8" t="s">
        <v>227</v>
      </c>
      <c r="C947" s="8">
        <v>2023</v>
      </c>
      <c r="D947" s="8">
        <v>84925613739.845978</v>
      </c>
      <c r="E947" s="8">
        <v>146000000000</v>
      </c>
      <c r="F947" s="8">
        <v>37712505</v>
      </c>
      <c r="G947" s="8">
        <v>3.6556441099999999</v>
      </c>
      <c r="H947" s="8">
        <v>93.117884419999996</v>
      </c>
      <c r="I947" s="8">
        <v>2251.92</v>
      </c>
      <c r="J947" s="8">
        <v>3871.39</v>
      </c>
      <c r="K947" s="8">
        <v>58.17</v>
      </c>
      <c r="L947" s="8">
        <v>53</v>
      </c>
      <c r="M947" s="8">
        <v>84366941452.703033</v>
      </c>
      <c r="N947" s="8">
        <v>0.66</v>
      </c>
      <c r="O947" s="8" t="str">
        <f>vw_scenario_analysis_dataset[[#This Row],[reporter_name]] &amp; "-" &amp; vw_scenario_analysis_dataset[[#This Row],[reference_year]]</f>
        <v>Morocco-2023</v>
      </c>
    </row>
    <row r="948" spans="1:15" x14ac:dyDescent="0.3">
      <c r="A948" s="8" t="s">
        <v>226</v>
      </c>
      <c r="B948" s="8" t="s">
        <v>227</v>
      </c>
      <c r="C948" s="8">
        <v>2024</v>
      </c>
      <c r="D948" s="8">
        <v>161137766817.05908</v>
      </c>
      <c r="E948" s="8">
        <v>161000000000</v>
      </c>
      <c r="F948" s="8">
        <v>38081173</v>
      </c>
      <c r="G948" s="8">
        <v>3.79336516</v>
      </c>
      <c r="H948" s="8">
        <v>92.187244609999993</v>
      </c>
      <c r="I948" s="8">
        <v>4231.43</v>
      </c>
      <c r="J948" s="8">
        <v>4227.8100000000004</v>
      </c>
      <c r="K948" s="8">
        <v>100.09</v>
      </c>
      <c r="L948" s="8">
        <v>37</v>
      </c>
      <c r="M948" s="8">
        <v>84925613739.845978</v>
      </c>
      <c r="N948" s="8">
        <v>89.74</v>
      </c>
      <c r="O948" s="8" t="str">
        <f>vw_scenario_analysis_dataset[[#This Row],[reporter_name]] &amp; "-" &amp; vw_scenario_analysis_dataset[[#This Row],[reference_year]]</f>
        <v>Morocco-2024</v>
      </c>
    </row>
    <row r="949" spans="1:15" x14ac:dyDescent="0.3">
      <c r="A949" s="8" t="s">
        <v>228</v>
      </c>
      <c r="B949" s="8" t="s">
        <v>229</v>
      </c>
      <c r="C949" s="8">
        <v>2015</v>
      </c>
      <c r="D949" s="8">
        <v>3933674628</v>
      </c>
      <c r="E949" s="8">
        <v>7797667197</v>
      </c>
      <c r="F949" s="8">
        <v>2835978</v>
      </c>
      <c r="G949" s="8">
        <v>-0.33823562200000001</v>
      </c>
      <c r="H949" s="8">
        <v>88.966415459999993</v>
      </c>
      <c r="I949" s="8">
        <v>1387.06</v>
      </c>
      <c r="J949" s="8">
        <v>2749.55</v>
      </c>
      <c r="K949" s="8">
        <v>50.45</v>
      </c>
      <c r="L949" s="8">
        <v>117</v>
      </c>
      <c r="M949" s="8"/>
      <c r="N949" s="8"/>
      <c r="O949" s="8" t="str">
        <f>vw_scenario_analysis_dataset[[#This Row],[reporter_name]] &amp; "-" &amp; vw_scenario_analysis_dataset[[#This Row],[reference_year]]</f>
        <v>Rep. of Moldova-2015</v>
      </c>
    </row>
    <row r="950" spans="1:15" x14ac:dyDescent="0.3">
      <c r="A950" s="8" t="s">
        <v>228</v>
      </c>
      <c r="B950" s="8" t="s">
        <v>229</v>
      </c>
      <c r="C950" s="8">
        <v>2016</v>
      </c>
      <c r="D950" s="8">
        <v>4089077692</v>
      </c>
      <c r="E950" s="8">
        <v>7980917076</v>
      </c>
      <c r="F950" s="8">
        <v>2803186</v>
      </c>
      <c r="G950" s="8">
        <v>4.6460143629999999</v>
      </c>
      <c r="H950" s="8">
        <v>89.004683720000003</v>
      </c>
      <c r="I950" s="8">
        <v>1458.73</v>
      </c>
      <c r="J950" s="8">
        <v>2847.09</v>
      </c>
      <c r="K950" s="8">
        <v>51.24</v>
      </c>
      <c r="L950" s="8">
        <v>120</v>
      </c>
      <c r="M950" s="8">
        <v>3933674628</v>
      </c>
      <c r="N950" s="8">
        <v>3.95</v>
      </c>
      <c r="O950" s="8" t="str">
        <f>vw_scenario_analysis_dataset[[#This Row],[reporter_name]] &amp; "-" &amp; vw_scenario_analysis_dataset[[#This Row],[reference_year]]</f>
        <v>Rep. of Moldova-2016</v>
      </c>
    </row>
    <row r="951" spans="1:15" x14ac:dyDescent="0.3">
      <c r="A951" s="8" t="s">
        <v>228</v>
      </c>
      <c r="B951" s="8" t="s">
        <v>229</v>
      </c>
      <c r="C951" s="8">
        <v>2017</v>
      </c>
      <c r="D951" s="8">
        <v>4850237504</v>
      </c>
      <c r="E951" s="8">
        <v>9514404016</v>
      </c>
      <c r="F951" s="8">
        <v>2755189</v>
      </c>
      <c r="G951" s="8">
        <v>4.1756120509999999</v>
      </c>
      <c r="H951" s="8">
        <v>88.623390279999995</v>
      </c>
      <c r="I951" s="8">
        <v>1760.4</v>
      </c>
      <c r="J951" s="8">
        <v>3453.27</v>
      </c>
      <c r="K951" s="8">
        <v>50.98</v>
      </c>
      <c r="L951" s="8">
        <v>117</v>
      </c>
      <c r="M951" s="8">
        <v>4089077692</v>
      </c>
      <c r="N951" s="8">
        <v>18.61</v>
      </c>
      <c r="O951" s="8" t="str">
        <f>vw_scenario_analysis_dataset[[#This Row],[reporter_name]] &amp; "-" &amp; vw_scenario_analysis_dataset[[#This Row],[reference_year]]</f>
        <v>Rep. of Moldova-2017</v>
      </c>
    </row>
    <row r="952" spans="1:15" x14ac:dyDescent="0.3">
      <c r="A952" s="8" t="s">
        <v>228</v>
      </c>
      <c r="B952" s="8" t="s">
        <v>229</v>
      </c>
      <c r="C952" s="8">
        <v>2018</v>
      </c>
      <c r="D952" s="8">
        <v>5413636432</v>
      </c>
      <c r="E952" s="8">
        <v>11252353421</v>
      </c>
      <c r="F952" s="8">
        <v>2707203</v>
      </c>
      <c r="G952" s="8">
        <v>4.0755954660000002</v>
      </c>
      <c r="H952" s="8">
        <v>87.446787430000001</v>
      </c>
      <c r="I952" s="8">
        <v>1999.72</v>
      </c>
      <c r="J952" s="8">
        <v>4156.45</v>
      </c>
      <c r="K952" s="8">
        <v>48.11</v>
      </c>
      <c r="L952" s="8">
        <v>116</v>
      </c>
      <c r="M952" s="8">
        <v>4850237504</v>
      </c>
      <c r="N952" s="8">
        <v>11.62</v>
      </c>
      <c r="O952" s="8" t="str">
        <f>vw_scenario_analysis_dataset[[#This Row],[reporter_name]] &amp; "-" &amp; vw_scenario_analysis_dataset[[#This Row],[reference_year]]</f>
        <v>Rep. of Moldova-2018</v>
      </c>
    </row>
    <row r="953" spans="1:15" x14ac:dyDescent="0.3">
      <c r="A953" s="8" t="s">
        <v>228</v>
      </c>
      <c r="B953" s="8" t="s">
        <v>229</v>
      </c>
      <c r="C953" s="8">
        <v>2019</v>
      </c>
      <c r="D953" s="8">
        <v>5558329566</v>
      </c>
      <c r="E953" s="8">
        <v>11736797055</v>
      </c>
      <c r="F953" s="8">
        <v>2664224</v>
      </c>
      <c r="G953" s="8">
        <v>3.5523140849999999</v>
      </c>
      <c r="H953" s="8">
        <v>87.632237110000005</v>
      </c>
      <c r="I953" s="8">
        <v>2086.2800000000002</v>
      </c>
      <c r="J953" s="8">
        <v>4405.33</v>
      </c>
      <c r="K953" s="8">
        <v>47.36</v>
      </c>
      <c r="L953" s="8">
        <v>114</v>
      </c>
      <c r="M953" s="8">
        <v>5413636432</v>
      </c>
      <c r="N953" s="8">
        <v>2.67</v>
      </c>
      <c r="O953" s="8" t="str">
        <f>vw_scenario_analysis_dataset[[#This Row],[reporter_name]] &amp; "-" &amp; vw_scenario_analysis_dataset[[#This Row],[reference_year]]</f>
        <v>Rep. of Moldova-2019</v>
      </c>
    </row>
    <row r="954" spans="1:15" x14ac:dyDescent="0.3">
      <c r="A954" s="8" t="s">
        <v>228</v>
      </c>
      <c r="B954" s="8" t="s">
        <v>229</v>
      </c>
      <c r="C954" s="8">
        <v>2020</v>
      </c>
      <c r="D954" s="8">
        <v>4934213026</v>
      </c>
      <c r="E954" s="8">
        <v>11530746234</v>
      </c>
      <c r="F954" s="8">
        <v>2635130</v>
      </c>
      <c r="G954" s="8">
        <v>-8.2759783200000001</v>
      </c>
      <c r="H954" s="8">
        <v>79.265722120000007</v>
      </c>
      <c r="I954" s="8">
        <v>1872.47</v>
      </c>
      <c r="J954" s="8">
        <v>4375.78</v>
      </c>
      <c r="K954" s="8">
        <v>42.79</v>
      </c>
      <c r="L954" s="8">
        <v>115</v>
      </c>
      <c r="M954" s="8">
        <v>5558329566</v>
      </c>
      <c r="N954" s="8">
        <v>-11.23</v>
      </c>
      <c r="O954" s="8" t="str">
        <f>vw_scenario_analysis_dataset[[#This Row],[reporter_name]] &amp; "-" &amp; vw_scenario_analysis_dataset[[#This Row],[reference_year]]</f>
        <v>Rep. of Moldova-2020</v>
      </c>
    </row>
    <row r="955" spans="1:15" x14ac:dyDescent="0.3">
      <c r="A955" s="8" t="s">
        <v>228</v>
      </c>
      <c r="B955" s="8" t="s">
        <v>229</v>
      </c>
      <c r="C955" s="8">
        <v>2021</v>
      </c>
      <c r="D955" s="8">
        <v>6289009634</v>
      </c>
      <c r="E955" s="8">
        <v>13691869264</v>
      </c>
      <c r="F955" s="8">
        <v>2595809</v>
      </c>
      <c r="G955" s="8">
        <v>13.92999979</v>
      </c>
      <c r="H955" s="8">
        <v>88.470886539999995</v>
      </c>
      <c r="I955" s="8">
        <v>2422.7600000000002</v>
      </c>
      <c r="J955" s="8">
        <v>5274.61</v>
      </c>
      <c r="K955" s="8">
        <v>45.93</v>
      </c>
      <c r="L955" s="8">
        <v>115</v>
      </c>
      <c r="M955" s="8">
        <v>4934213026</v>
      </c>
      <c r="N955" s="8">
        <v>27.46</v>
      </c>
      <c r="O955" s="8" t="str">
        <f>vw_scenario_analysis_dataset[[#This Row],[reporter_name]] &amp; "-" &amp; vw_scenario_analysis_dataset[[#This Row],[reference_year]]</f>
        <v>Rep. of Moldova-2021</v>
      </c>
    </row>
    <row r="956" spans="1:15" x14ac:dyDescent="0.3">
      <c r="A956" s="8" t="s">
        <v>228</v>
      </c>
      <c r="B956" s="8" t="s">
        <v>229</v>
      </c>
      <c r="C956" s="8">
        <v>2022</v>
      </c>
      <c r="D956" s="8">
        <v>8664290906</v>
      </c>
      <c r="E956" s="8">
        <v>14525337524</v>
      </c>
      <c r="F956" s="8">
        <v>2528654</v>
      </c>
      <c r="G956" s="8">
        <v>-4.6478510100000001</v>
      </c>
      <c r="H956" s="8">
        <v>112.11767159999999</v>
      </c>
      <c r="I956" s="8">
        <v>3426.44</v>
      </c>
      <c r="J956" s="8">
        <v>5744.3</v>
      </c>
      <c r="K956" s="8">
        <v>59.65</v>
      </c>
      <c r="L956" s="8">
        <v>108</v>
      </c>
      <c r="M956" s="8">
        <v>6289009634</v>
      </c>
      <c r="N956" s="8">
        <v>37.770000000000003</v>
      </c>
      <c r="O956" s="8" t="str">
        <f>vw_scenario_analysis_dataset[[#This Row],[reporter_name]] &amp; "-" &amp; vw_scenario_analysis_dataset[[#This Row],[reference_year]]</f>
        <v>Rep. of Moldova-2022</v>
      </c>
    </row>
    <row r="957" spans="1:15" x14ac:dyDescent="0.3">
      <c r="A957" s="8" t="s">
        <v>228</v>
      </c>
      <c r="B957" s="8" t="s">
        <v>229</v>
      </c>
      <c r="C957" s="8">
        <v>2023</v>
      </c>
      <c r="D957" s="8">
        <v>8097233606</v>
      </c>
      <c r="E957" s="8">
        <v>16711906746</v>
      </c>
      <c r="F957" s="8">
        <v>2457783</v>
      </c>
      <c r="G957" s="8">
        <v>1.1880206790000001</v>
      </c>
      <c r="H957" s="8">
        <v>93.99462115</v>
      </c>
      <c r="I957" s="8">
        <v>3294.53</v>
      </c>
      <c r="J957" s="8">
        <v>6799.59</v>
      </c>
      <c r="K957" s="8">
        <v>48.45</v>
      </c>
      <c r="L957" s="8">
        <v>112</v>
      </c>
      <c r="M957" s="8">
        <v>8664290906</v>
      </c>
      <c r="N957" s="8">
        <v>-6.54</v>
      </c>
      <c r="O957" s="8" t="str">
        <f>vw_scenario_analysis_dataset[[#This Row],[reporter_name]] &amp; "-" &amp; vw_scenario_analysis_dataset[[#This Row],[reference_year]]</f>
        <v>Rep. of Moldova-2023</v>
      </c>
    </row>
    <row r="958" spans="1:15" x14ac:dyDescent="0.3">
      <c r="A958" s="8" t="s">
        <v>228</v>
      </c>
      <c r="B958" s="8" t="s">
        <v>229</v>
      </c>
      <c r="C958" s="8">
        <v>2024</v>
      </c>
      <c r="D958" s="8">
        <v>7110124128</v>
      </c>
      <c r="E958" s="8">
        <v>18206842141</v>
      </c>
      <c r="F958" s="8">
        <v>2402306</v>
      </c>
      <c r="G958" s="8">
        <v>0.270670456</v>
      </c>
      <c r="H958" s="8">
        <v>88.892437880000003</v>
      </c>
      <c r="I958" s="8">
        <v>2959.71</v>
      </c>
      <c r="J958" s="8">
        <v>7578.9</v>
      </c>
      <c r="K958" s="8">
        <v>39.049999999999997</v>
      </c>
      <c r="L958" s="8">
        <v>103</v>
      </c>
      <c r="M958" s="8">
        <v>8097233606</v>
      </c>
      <c r="N958" s="8">
        <v>-12.19</v>
      </c>
      <c r="O958" s="8" t="str">
        <f>vw_scenario_analysis_dataset[[#This Row],[reporter_name]] &amp; "-" &amp; vw_scenario_analysis_dataset[[#This Row],[reference_year]]</f>
        <v>Rep. of Moldova-2024</v>
      </c>
    </row>
    <row r="959" spans="1:15" x14ac:dyDescent="0.3">
      <c r="A959" s="8" t="s">
        <v>230</v>
      </c>
      <c r="B959" s="8" t="s">
        <v>231</v>
      </c>
      <c r="C959" s="8">
        <v>2015</v>
      </c>
      <c r="D959" s="8">
        <v>4266806616.5599966</v>
      </c>
      <c r="E959" s="8">
        <v>11323020701</v>
      </c>
      <c r="F959" s="8">
        <v>25426702</v>
      </c>
      <c r="G959" s="8">
        <v>3.132298075</v>
      </c>
      <c r="H959" s="8">
        <v>61.220378840000002</v>
      </c>
      <c r="I959" s="8">
        <v>167.81</v>
      </c>
      <c r="J959" s="8">
        <v>445.32</v>
      </c>
      <c r="K959" s="8">
        <v>37.68</v>
      </c>
      <c r="L959" s="8">
        <v>115</v>
      </c>
      <c r="M959" s="8"/>
      <c r="N959" s="8"/>
      <c r="O959" s="8" t="str">
        <f>vw_scenario_analysis_dataset[[#This Row],[reporter_name]] &amp; "-" &amp; vw_scenario_analysis_dataset[[#This Row],[reference_year]]</f>
        <v>Madagascar-2015</v>
      </c>
    </row>
    <row r="960" spans="1:15" x14ac:dyDescent="0.3">
      <c r="A960" s="8" t="s">
        <v>230</v>
      </c>
      <c r="B960" s="8" t="s">
        <v>231</v>
      </c>
      <c r="C960" s="8">
        <v>2016</v>
      </c>
      <c r="D960" s="8">
        <v>4528409273.6680002</v>
      </c>
      <c r="E960" s="8">
        <v>11848613858</v>
      </c>
      <c r="F960" s="8">
        <v>26099952</v>
      </c>
      <c r="G960" s="8">
        <v>3.9931460620000001</v>
      </c>
      <c r="H960" s="8">
        <v>60.83469848</v>
      </c>
      <c r="I960" s="8">
        <v>173.5</v>
      </c>
      <c r="J960" s="8">
        <v>453.97</v>
      </c>
      <c r="K960" s="8">
        <v>38.22</v>
      </c>
      <c r="L960" s="8">
        <v>115</v>
      </c>
      <c r="M960" s="8">
        <v>4266806616.5599966</v>
      </c>
      <c r="N960" s="8">
        <v>6.13</v>
      </c>
      <c r="O960" s="8" t="str">
        <f>vw_scenario_analysis_dataset[[#This Row],[reporter_name]] &amp; "-" &amp; vw_scenario_analysis_dataset[[#This Row],[reference_year]]</f>
        <v>Madagascar-2016</v>
      </c>
    </row>
    <row r="961" spans="1:15" x14ac:dyDescent="0.3">
      <c r="A961" s="8" t="s">
        <v>230</v>
      </c>
      <c r="B961" s="8" t="s">
        <v>231</v>
      </c>
      <c r="C961" s="8">
        <v>2017</v>
      </c>
      <c r="D961" s="8">
        <v>5859084929.249999</v>
      </c>
      <c r="E961" s="8">
        <v>13176313594</v>
      </c>
      <c r="F961" s="8">
        <v>26788375</v>
      </c>
      <c r="G961" s="8">
        <v>3.933307595</v>
      </c>
      <c r="H961" s="8">
        <v>65.343401510000007</v>
      </c>
      <c r="I961" s="8">
        <v>218.72</v>
      </c>
      <c r="J961" s="8">
        <v>491.87</v>
      </c>
      <c r="K961" s="8">
        <v>44.47</v>
      </c>
      <c r="L961" s="8">
        <v>113</v>
      </c>
      <c r="M961" s="8">
        <v>4528409273.6680002</v>
      </c>
      <c r="N961" s="8">
        <v>29.39</v>
      </c>
      <c r="O961" s="8" t="str">
        <f>vw_scenario_analysis_dataset[[#This Row],[reporter_name]] &amp; "-" &amp; vw_scenario_analysis_dataset[[#This Row],[reference_year]]</f>
        <v>Madagascar-2017</v>
      </c>
    </row>
    <row r="962" spans="1:15" x14ac:dyDescent="0.3">
      <c r="A962" s="8" t="s">
        <v>230</v>
      </c>
      <c r="B962" s="8" t="s">
        <v>231</v>
      </c>
      <c r="C962" s="8">
        <v>2018</v>
      </c>
      <c r="D962" s="8">
        <v>6256178407.8130016</v>
      </c>
      <c r="E962" s="8">
        <v>13760033282</v>
      </c>
      <c r="F962" s="8">
        <v>27494926</v>
      </c>
      <c r="G962" s="8">
        <v>3.1943565170000001</v>
      </c>
      <c r="H962" s="8">
        <v>67.841504670000006</v>
      </c>
      <c r="I962" s="8">
        <v>227.54</v>
      </c>
      <c r="J962" s="8">
        <v>500.46</v>
      </c>
      <c r="K962" s="8">
        <v>45.47</v>
      </c>
      <c r="L962" s="8">
        <v>113</v>
      </c>
      <c r="M962" s="8">
        <v>5859084929.249999</v>
      </c>
      <c r="N962" s="8">
        <v>6.78</v>
      </c>
      <c r="O962" s="8" t="str">
        <f>vw_scenario_analysis_dataset[[#This Row],[reporter_name]] &amp; "-" &amp; vw_scenario_analysis_dataset[[#This Row],[reference_year]]</f>
        <v>Madagascar-2018</v>
      </c>
    </row>
    <row r="963" spans="1:15" x14ac:dyDescent="0.3">
      <c r="A963" s="8" t="s">
        <v>230</v>
      </c>
      <c r="B963" s="8" t="s">
        <v>231</v>
      </c>
      <c r="C963" s="8">
        <v>2019</v>
      </c>
      <c r="D963" s="8">
        <v>5365023737.2840042</v>
      </c>
      <c r="E963" s="8">
        <v>14104664679</v>
      </c>
      <c r="F963" s="8">
        <v>28219554</v>
      </c>
      <c r="G963" s="8">
        <v>4.4112321290000001</v>
      </c>
      <c r="H963" s="8">
        <v>62.601323049999998</v>
      </c>
      <c r="I963" s="8">
        <v>190.12</v>
      </c>
      <c r="J963" s="8">
        <v>499.82</v>
      </c>
      <c r="K963" s="8">
        <v>38.04</v>
      </c>
      <c r="L963" s="8">
        <v>117</v>
      </c>
      <c r="M963" s="8">
        <v>6256178407.8130016</v>
      </c>
      <c r="N963" s="8">
        <v>-14.24</v>
      </c>
      <c r="O963" s="8" t="str">
        <f>vw_scenario_analysis_dataset[[#This Row],[reporter_name]] &amp; "-" &amp; vw_scenario_analysis_dataset[[#This Row],[reference_year]]</f>
        <v>Madagascar-2019</v>
      </c>
    </row>
    <row r="964" spans="1:15" x14ac:dyDescent="0.3">
      <c r="A964" s="8" t="s">
        <v>230</v>
      </c>
      <c r="B964" s="8" t="s">
        <v>231</v>
      </c>
      <c r="C964" s="8">
        <v>2020</v>
      </c>
      <c r="D964" s="8">
        <v>4037883562.703002</v>
      </c>
      <c r="E964" s="8">
        <v>13051441204</v>
      </c>
      <c r="F964" s="8">
        <v>28953556</v>
      </c>
      <c r="G964" s="8">
        <v>-7.137671621</v>
      </c>
      <c r="H964" s="8">
        <v>49.010707369999999</v>
      </c>
      <c r="I964" s="8">
        <v>139.46</v>
      </c>
      <c r="J964" s="8">
        <v>450.77</v>
      </c>
      <c r="K964" s="8">
        <v>30.94</v>
      </c>
      <c r="L964" s="8">
        <v>119</v>
      </c>
      <c r="M964" s="8">
        <v>5365023737.2840042</v>
      </c>
      <c r="N964" s="8">
        <v>-24.74</v>
      </c>
      <c r="O964" s="8" t="str">
        <f>vw_scenario_analysis_dataset[[#This Row],[reporter_name]] &amp; "-" &amp; vw_scenario_analysis_dataset[[#This Row],[reference_year]]</f>
        <v>Madagascar-2020</v>
      </c>
    </row>
    <row r="965" spans="1:15" x14ac:dyDescent="0.3">
      <c r="A965" s="8" t="s">
        <v>230</v>
      </c>
      <c r="B965" s="8" t="s">
        <v>231</v>
      </c>
      <c r="C965" s="8">
        <v>2021</v>
      </c>
      <c r="D965" s="8">
        <v>5576990951.5260029</v>
      </c>
      <c r="E965" s="8">
        <v>14354731964</v>
      </c>
      <c r="F965" s="8">
        <v>29691083</v>
      </c>
      <c r="G965" s="8">
        <v>4.6506834320000001</v>
      </c>
      <c r="H965" s="8">
        <v>55.215858590000003</v>
      </c>
      <c r="I965" s="8">
        <v>187.83</v>
      </c>
      <c r="J965" s="8">
        <v>483.47</v>
      </c>
      <c r="K965" s="8">
        <v>38.85</v>
      </c>
      <c r="L965" s="8">
        <v>119</v>
      </c>
      <c r="M965" s="8">
        <v>4037883562.703002</v>
      </c>
      <c r="N965" s="8">
        <v>38.119999999999997</v>
      </c>
      <c r="O965" s="8" t="str">
        <f>vw_scenario_analysis_dataset[[#This Row],[reporter_name]] &amp; "-" &amp; vw_scenario_analysis_dataset[[#This Row],[reference_year]]</f>
        <v>Madagascar-2021</v>
      </c>
    </row>
    <row r="966" spans="1:15" x14ac:dyDescent="0.3">
      <c r="A966" s="8" t="s">
        <v>230</v>
      </c>
      <c r="B966" s="8" t="s">
        <v>231</v>
      </c>
      <c r="C966" s="8">
        <v>2022</v>
      </c>
      <c r="D966" s="8">
        <v>7442912481.8119936</v>
      </c>
      <c r="E966" s="8">
        <v>15342178598</v>
      </c>
      <c r="F966" s="8">
        <v>30437261</v>
      </c>
      <c r="G966" s="8">
        <v>4.1375353500000003</v>
      </c>
      <c r="H966" s="8">
        <v>70.470854680000002</v>
      </c>
      <c r="I966" s="8">
        <v>244.53</v>
      </c>
      <c r="J966" s="8">
        <v>504.06</v>
      </c>
      <c r="K966" s="8">
        <v>48.51</v>
      </c>
      <c r="L966" s="8">
        <v>113</v>
      </c>
      <c r="M966" s="8">
        <v>5576990951.5260029</v>
      </c>
      <c r="N966" s="8">
        <v>33.46</v>
      </c>
      <c r="O966" s="8" t="str">
        <f>vw_scenario_analysis_dataset[[#This Row],[reporter_name]] &amp; "-" &amp; vw_scenario_analysis_dataset[[#This Row],[reference_year]]</f>
        <v>Madagascar-2022</v>
      </c>
    </row>
    <row r="967" spans="1:15" x14ac:dyDescent="0.3">
      <c r="A967" s="8" t="s">
        <v>230</v>
      </c>
      <c r="B967" s="8" t="s">
        <v>231</v>
      </c>
      <c r="C967" s="8">
        <v>2023</v>
      </c>
      <c r="D967" s="8">
        <v>6565699087.0879965</v>
      </c>
      <c r="E967" s="8">
        <v>16036707976</v>
      </c>
      <c r="F967" s="8">
        <v>31195932</v>
      </c>
      <c r="G967" s="8">
        <v>4.2308658069999998</v>
      </c>
      <c r="H967" s="8">
        <v>62.762214759999999</v>
      </c>
      <c r="I967" s="8">
        <v>210.47</v>
      </c>
      <c r="J967" s="8">
        <v>514.05999999999995</v>
      </c>
      <c r="K967" s="8">
        <v>40.94</v>
      </c>
      <c r="L967" s="8">
        <v>117</v>
      </c>
      <c r="M967" s="8">
        <v>7442912481.8119936</v>
      </c>
      <c r="N967" s="8">
        <v>-11.79</v>
      </c>
      <c r="O967" s="8" t="str">
        <f>vw_scenario_analysis_dataset[[#This Row],[reporter_name]] &amp; "-" &amp; vw_scenario_analysis_dataset[[#This Row],[reference_year]]</f>
        <v>Madagascar-2023</v>
      </c>
    </row>
    <row r="968" spans="1:15" x14ac:dyDescent="0.3">
      <c r="A968" s="8" t="s">
        <v>230</v>
      </c>
      <c r="B968" s="8" t="s">
        <v>231</v>
      </c>
      <c r="C968" s="8">
        <v>2024</v>
      </c>
      <c r="D968" s="8">
        <v>5114126740.7000008</v>
      </c>
      <c r="E968" s="8">
        <v>17592832696</v>
      </c>
      <c r="F968" s="8">
        <v>31964956</v>
      </c>
      <c r="G968" s="8">
        <v>4.322837281</v>
      </c>
      <c r="H968" s="8">
        <v>57.537021330000002</v>
      </c>
      <c r="I968" s="8">
        <v>159.99</v>
      </c>
      <c r="J968" s="8">
        <v>550.38</v>
      </c>
      <c r="K968" s="8">
        <v>29.07</v>
      </c>
      <c r="L968" s="8">
        <v>104</v>
      </c>
      <c r="M968" s="8">
        <v>6565699087.0879965</v>
      </c>
      <c r="N968" s="8">
        <v>-22.11</v>
      </c>
      <c r="O968" s="8" t="str">
        <f>vw_scenario_analysis_dataset[[#This Row],[reporter_name]] &amp; "-" &amp; vw_scenario_analysis_dataset[[#This Row],[reference_year]]</f>
        <v>Madagascar-2024</v>
      </c>
    </row>
    <row r="969" spans="1:15" x14ac:dyDescent="0.3">
      <c r="A969" s="8" t="s">
        <v>232</v>
      </c>
      <c r="B969" s="8" t="s">
        <v>233</v>
      </c>
      <c r="C969" s="8">
        <v>2015</v>
      </c>
      <c r="D969" s="8">
        <v>288344708</v>
      </c>
      <c r="E969" s="8">
        <v>4129505319</v>
      </c>
      <c r="F969" s="8">
        <v>428154</v>
      </c>
      <c r="G969" s="8">
        <v>3.8681353650000001</v>
      </c>
      <c r="H969" s="8">
        <v>143.72050669999999</v>
      </c>
      <c r="I969" s="8">
        <v>673.46</v>
      </c>
      <c r="J969" s="8">
        <v>9644.91</v>
      </c>
      <c r="K969" s="8">
        <v>6.98</v>
      </c>
      <c r="L969" s="8">
        <v>151</v>
      </c>
      <c r="M969" s="8"/>
      <c r="N969" s="8"/>
      <c r="O969" s="8" t="str">
        <f>vw_scenario_analysis_dataset[[#This Row],[reporter_name]] &amp; "-" &amp; vw_scenario_analysis_dataset[[#This Row],[reference_year]]</f>
        <v>Maldives-2015</v>
      </c>
    </row>
    <row r="970" spans="1:15" x14ac:dyDescent="0.3">
      <c r="A970" s="8" t="s">
        <v>232</v>
      </c>
      <c r="B970" s="8" t="s">
        <v>233</v>
      </c>
      <c r="C970" s="8">
        <v>2016</v>
      </c>
      <c r="D970" s="8">
        <v>279185582</v>
      </c>
      <c r="E970" s="8">
        <v>4409942624</v>
      </c>
      <c r="F970" s="8">
        <v>443308</v>
      </c>
      <c r="G970" s="8">
        <v>6.3752830669999998</v>
      </c>
      <c r="H970" s="8">
        <v>144.38021230000001</v>
      </c>
      <c r="I970" s="8">
        <v>629.78</v>
      </c>
      <c r="J970" s="8">
        <v>9947.81</v>
      </c>
      <c r="K970" s="8">
        <v>6.33</v>
      </c>
      <c r="L970" s="8">
        <v>153</v>
      </c>
      <c r="M970" s="8">
        <v>288344708</v>
      </c>
      <c r="N970" s="8">
        <v>-3.18</v>
      </c>
      <c r="O970" s="8" t="str">
        <f>vw_scenario_analysis_dataset[[#This Row],[reporter_name]] &amp; "-" &amp; vw_scenario_analysis_dataset[[#This Row],[reference_year]]</f>
        <v>Maldives-2016</v>
      </c>
    </row>
    <row r="971" spans="1:15" x14ac:dyDescent="0.3">
      <c r="A971" s="8" t="s">
        <v>232</v>
      </c>
      <c r="B971" s="8" t="s">
        <v>233</v>
      </c>
      <c r="C971" s="8">
        <v>2017</v>
      </c>
      <c r="D971" s="8">
        <v>398690558.71099997</v>
      </c>
      <c r="E971" s="8">
        <v>4816426257</v>
      </c>
      <c r="F971" s="8">
        <v>458287</v>
      </c>
      <c r="G971" s="8">
        <v>7.0744286320000001</v>
      </c>
      <c r="H971" s="8">
        <v>141.91211060000001</v>
      </c>
      <c r="I971" s="8">
        <v>869.96</v>
      </c>
      <c r="J971" s="8">
        <v>10509.63</v>
      </c>
      <c r="K971" s="8">
        <v>8.2799999999999994</v>
      </c>
      <c r="L971" s="8">
        <v>149</v>
      </c>
      <c r="M971" s="8">
        <v>279185582</v>
      </c>
      <c r="N971" s="8">
        <v>42.8</v>
      </c>
      <c r="O971" s="8" t="str">
        <f>vw_scenario_analysis_dataset[[#This Row],[reporter_name]] &amp; "-" &amp; vw_scenario_analysis_dataset[[#This Row],[reference_year]]</f>
        <v>Maldives-2017</v>
      </c>
    </row>
    <row r="972" spans="1:15" x14ac:dyDescent="0.3">
      <c r="A972" s="8" t="s">
        <v>232</v>
      </c>
      <c r="B972" s="8" t="s">
        <v>233</v>
      </c>
      <c r="C972" s="8">
        <v>2018</v>
      </c>
      <c r="D972" s="8">
        <v>363422802.16200012</v>
      </c>
      <c r="E972" s="8">
        <v>5404344163</v>
      </c>
      <c r="F972" s="8">
        <v>473099</v>
      </c>
      <c r="G972" s="8">
        <v>8.5689555829999993</v>
      </c>
      <c r="H972" s="8">
        <v>142.4911285</v>
      </c>
      <c r="I972" s="8">
        <v>768.17</v>
      </c>
      <c r="J972" s="8">
        <v>11423.28</v>
      </c>
      <c r="K972" s="8">
        <v>6.72</v>
      </c>
      <c r="L972" s="8">
        <v>149</v>
      </c>
      <c r="M972" s="8">
        <v>398690558.71099997</v>
      </c>
      <c r="N972" s="8">
        <v>-8.85</v>
      </c>
      <c r="O972" s="8" t="str">
        <f>vw_scenario_analysis_dataset[[#This Row],[reporter_name]] &amp; "-" &amp; vw_scenario_analysis_dataset[[#This Row],[reference_year]]</f>
        <v>Maldives-2018</v>
      </c>
    </row>
    <row r="973" spans="1:15" x14ac:dyDescent="0.3">
      <c r="A973" s="8" t="s">
        <v>232</v>
      </c>
      <c r="B973" s="8" t="s">
        <v>233</v>
      </c>
      <c r="C973" s="8">
        <v>2019</v>
      </c>
      <c r="D973" s="8">
        <v>316030956.43999994</v>
      </c>
      <c r="E973" s="8">
        <v>5726094799</v>
      </c>
      <c r="F973" s="8">
        <v>487731</v>
      </c>
      <c r="G973" s="8">
        <v>6.9230598910000003</v>
      </c>
      <c r="H973" s="8">
        <v>137.12523089999999</v>
      </c>
      <c r="I973" s="8">
        <v>647.96</v>
      </c>
      <c r="J973" s="8">
        <v>11740.27</v>
      </c>
      <c r="K973" s="8">
        <v>5.52</v>
      </c>
      <c r="L973" s="8">
        <v>148</v>
      </c>
      <c r="M973" s="8">
        <v>363422802.16200012</v>
      </c>
      <c r="N973" s="8">
        <v>-13.04</v>
      </c>
      <c r="O973" s="8" t="str">
        <f>vw_scenario_analysis_dataset[[#This Row],[reporter_name]] &amp; "-" &amp; vw_scenario_analysis_dataset[[#This Row],[reference_year]]</f>
        <v>Maldives-2019</v>
      </c>
    </row>
    <row r="974" spans="1:15" x14ac:dyDescent="0.3">
      <c r="A974" s="8" t="s">
        <v>232</v>
      </c>
      <c r="B974" s="8" t="s">
        <v>233</v>
      </c>
      <c r="C974" s="8">
        <v>2020</v>
      </c>
      <c r="D974" s="8">
        <v>325629577.79400003</v>
      </c>
      <c r="E974" s="8">
        <v>3712604583</v>
      </c>
      <c r="F974" s="8">
        <v>502118</v>
      </c>
      <c r="G974" s="8">
        <v>-32.90882878</v>
      </c>
      <c r="H974" s="8">
        <v>114.3619029</v>
      </c>
      <c r="I974" s="8">
        <v>648.51</v>
      </c>
      <c r="J974" s="8">
        <v>7393.89</v>
      </c>
      <c r="K974" s="8">
        <v>8.77</v>
      </c>
      <c r="L974" s="8">
        <v>145</v>
      </c>
      <c r="M974" s="8">
        <v>316030956.43999994</v>
      </c>
      <c r="N974" s="8">
        <v>3.04</v>
      </c>
      <c r="O974" s="8" t="str">
        <f>vw_scenario_analysis_dataset[[#This Row],[reporter_name]] &amp; "-" &amp; vw_scenario_analysis_dataset[[#This Row],[reference_year]]</f>
        <v>Maldives-2020</v>
      </c>
    </row>
    <row r="975" spans="1:15" x14ac:dyDescent="0.3">
      <c r="A975" s="8" t="s">
        <v>232</v>
      </c>
      <c r="B975" s="8" t="s">
        <v>233</v>
      </c>
      <c r="C975" s="8">
        <v>2021</v>
      </c>
      <c r="D975" s="8">
        <v>302586532.98200005</v>
      </c>
      <c r="E975" s="8">
        <v>5252457370</v>
      </c>
      <c r="F975" s="8">
        <v>516154</v>
      </c>
      <c r="G975" s="8">
        <v>37.50787012</v>
      </c>
      <c r="H975" s="8">
        <v>142.60729670000001</v>
      </c>
      <c r="I975" s="8">
        <v>586.23</v>
      </c>
      <c r="J975" s="8">
        <v>10176.14</v>
      </c>
      <c r="K975" s="8">
        <v>5.76</v>
      </c>
      <c r="L975" s="8">
        <v>148</v>
      </c>
      <c r="M975" s="8">
        <v>325629577.79400003</v>
      </c>
      <c r="N975" s="8">
        <v>-7.08</v>
      </c>
      <c r="O975" s="8" t="str">
        <f>vw_scenario_analysis_dataset[[#This Row],[reporter_name]] &amp; "-" &amp; vw_scenario_analysis_dataset[[#This Row],[reference_year]]</f>
        <v>Maldives-2021</v>
      </c>
    </row>
    <row r="976" spans="1:15" x14ac:dyDescent="0.3">
      <c r="A976" s="8" t="s">
        <v>232</v>
      </c>
      <c r="B976" s="8" t="s">
        <v>233</v>
      </c>
      <c r="C976" s="8">
        <v>2022</v>
      </c>
      <c r="D976" s="8">
        <v>316799783.28300005</v>
      </c>
      <c r="E976" s="8">
        <v>6177123352</v>
      </c>
      <c r="F976" s="8">
        <v>524106</v>
      </c>
      <c r="G976" s="8">
        <v>13.82608952</v>
      </c>
      <c r="H976" s="8">
        <v>162.24343289999999</v>
      </c>
      <c r="I976" s="8">
        <v>604.46</v>
      </c>
      <c r="J976" s="8">
        <v>11786.02</v>
      </c>
      <c r="K976" s="8">
        <v>5.13</v>
      </c>
      <c r="L976" s="8">
        <v>146</v>
      </c>
      <c r="M976" s="8">
        <v>302586532.98200005</v>
      </c>
      <c r="N976" s="8">
        <v>4.7</v>
      </c>
      <c r="O976" s="8" t="str">
        <f>vw_scenario_analysis_dataset[[#This Row],[reporter_name]] &amp; "-" &amp; vw_scenario_analysis_dataset[[#This Row],[reference_year]]</f>
        <v>Maldives-2022</v>
      </c>
    </row>
    <row r="977" spans="1:15" x14ac:dyDescent="0.3">
      <c r="A977" s="8" t="s">
        <v>232</v>
      </c>
      <c r="B977" s="8" t="s">
        <v>233</v>
      </c>
      <c r="C977" s="8">
        <v>2023</v>
      </c>
      <c r="D977" s="8">
        <v>324110203.26200002</v>
      </c>
      <c r="E977" s="8">
        <v>6621008704</v>
      </c>
      <c r="F977" s="8">
        <v>525994</v>
      </c>
      <c r="G977" s="8">
        <v>4.9428630120000001</v>
      </c>
      <c r="H977" s="8">
        <v>149.34997619999999</v>
      </c>
      <c r="I977" s="8">
        <v>616.19000000000005</v>
      </c>
      <c r="J977" s="8">
        <v>12587.61</v>
      </c>
      <c r="K977" s="8">
        <v>4.9000000000000004</v>
      </c>
      <c r="L977" s="8">
        <v>143</v>
      </c>
      <c r="M977" s="8">
        <v>316799783.28300005</v>
      </c>
      <c r="N977" s="8">
        <v>2.31</v>
      </c>
      <c r="O977" s="8" t="str">
        <f>vw_scenario_analysis_dataset[[#This Row],[reporter_name]] &amp; "-" &amp; vw_scenario_analysis_dataset[[#This Row],[reference_year]]</f>
        <v>Maldives-2023</v>
      </c>
    </row>
    <row r="978" spans="1:15" x14ac:dyDescent="0.3">
      <c r="A978" s="8" t="s">
        <v>232</v>
      </c>
      <c r="B978" s="8" t="s">
        <v>233</v>
      </c>
      <c r="C978" s="8">
        <v>2024</v>
      </c>
      <c r="D978" s="8">
        <v>184836994.70699996</v>
      </c>
      <c r="E978" s="8">
        <v>7061608267</v>
      </c>
      <c r="F978" s="8">
        <v>527799</v>
      </c>
      <c r="G978" s="8">
        <v>3.494404227</v>
      </c>
      <c r="H978" s="8">
        <v>156.4739557</v>
      </c>
      <c r="I978" s="8">
        <v>350.2</v>
      </c>
      <c r="J978" s="8">
        <v>13379.35</v>
      </c>
      <c r="K978" s="8">
        <v>2.62</v>
      </c>
      <c r="L978" s="8">
        <v>123</v>
      </c>
      <c r="M978" s="8">
        <v>324110203.26200002</v>
      </c>
      <c r="N978" s="8">
        <v>-42.97</v>
      </c>
      <c r="O978" s="8" t="str">
        <f>vw_scenario_analysis_dataset[[#This Row],[reporter_name]] &amp; "-" &amp; vw_scenario_analysis_dataset[[#This Row],[reference_year]]</f>
        <v>Maldives-2024</v>
      </c>
    </row>
    <row r="979" spans="1:15" x14ac:dyDescent="0.3">
      <c r="A979" s="8" t="s">
        <v>234</v>
      </c>
      <c r="B979" s="8" t="s">
        <v>235</v>
      </c>
      <c r="C979" s="8">
        <v>2015</v>
      </c>
      <c r="D979" s="8">
        <v>761112177364</v>
      </c>
      <c r="E979" s="8">
        <v>1210000000000</v>
      </c>
      <c r="F979" s="8">
        <v>121072306</v>
      </c>
      <c r="G979" s="8">
        <v>2.7023234299999999</v>
      </c>
      <c r="H979" s="8">
        <v>70.412974680000005</v>
      </c>
      <c r="I979" s="8">
        <v>6286.43</v>
      </c>
      <c r="J979" s="8">
        <v>9994.0300000000007</v>
      </c>
      <c r="K979" s="8">
        <v>62.9</v>
      </c>
      <c r="L979" s="8">
        <v>11</v>
      </c>
      <c r="M979" s="8"/>
      <c r="N979" s="8"/>
      <c r="O979" s="8" t="str">
        <f>vw_scenario_analysis_dataset[[#This Row],[reporter_name]] &amp; "-" &amp; vw_scenario_analysis_dataset[[#This Row],[reference_year]]</f>
        <v>Mexico-2015</v>
      </c>
    </row>
    <row r="980" spans="1:15" x14ac:dyDescent="0.3">
      <c r="A980" s="8" t="s">
        <v>234</v>
      </c>
      <c r="B980" s="8" t="s">
        <v>235</v>
      </c>
      <c r="C980" s="8">
        <v>2016</v>
      </c>
      <c r="D980" s="8">
        <v>747907227680</v>
      </c>
      <c r="E980" s="8">
        <v>1110000000000</v>
      </c>
      <c r="F980" s="8">
        <v>122251351</v>
      </c>
      <c r="G980" s="8">
        <v>1.7724932250000001</v>
      </c>
      <c r="H980" s="8">
        <v>75.690303409999999</v>
      </c>
      <c r="I980" s="8">
        <v>6117.78</v>
      </c>
      <c r="J980" s="8">
        <v>9079.65</v>
      </c>
      <c r="K980" s="8">
        <v>67.38</v>
      </c>
      <c r="L980" s="8">
        <v>11</v>
      </c>
      <c r="M980" s="8">
        <v>761112177364</v>
      </c>
      <c r="N980" s="8">
        <v>-1.73</v>
      </c>
      <c r="O980" s="8" t="str">
        <f>vw_scenario_analysis_dataset[[#This Row],[reporter_name]] &amp; "-" &amp; vw_scenario_analysis_dataset[[#This Row],[reference_year]]</f>
        <v>Mexico-2016</v>
      </c>
    </row>
    <row r="981" spans="1:15" x14ac:dyDescent="0.3">
      <c r="A981" s="8" t="s">
        <v>234</v>
      </c>
      <c r="B981" s="8" t="s">
        <v>235</v>
      </c>
      <c r="C981" s="8">
        <v>2017</v>
      </c>
      <c r="D981" s="8">
        <v>818792545980</v>
      </c>
      <c r="E981" s="8">
        <v>1190000000000</v>
      </c>
      <c r="F981" s="8">
        <v>123400057</v>
      </c>
      <c r="G981" s="8">
        <v>1.8717285459999999</v>
      </c>
      <c r="H981" s="8">
        <v>76.952126039999996</v>
      </c>
      <c r="I981" s="8">
        <v>6635.27</v>
      </c>
      <c r="J981" s="8">
        <v>9643.43</v>
      </c>
      <c r="K981" s="8">
        <v>68.81</v>
      </c>
      <c r="L981" s="8">
        <v>11</v>
      </c>
      <c r="M981" s="8">
        <v>747907227680</v>
      </c>
      <c r="N981" s="8">
        <v>9.48</v>
      </c>
      <c r="O981" s="8" t="str">
        <f>vw_scenario_analysis_dataset[[#This Row],[reporter_name]] &amp; "-" &amp; vw_scenario_analysis_dataset[[#This Row],[reference_year]]</f>
        <v>Mexico-2017</v>
      </c>
    </row>
    <row r="982" spans="1:15" x14ac:dyDescent="0.3">
      <c r="A982" s="8" t="s">
        <v>234</v>
      </c>
      <c r="B982" s="8" t="s">
        <v>235</v>
      </c>
      <c r="C982" s="8">
        <v>2018</v>
      </c>
      <c r="D982" s="8">
        <v>901367293250</v>
      </c>
      <c r="E982" s="8">
        <v>1260000000000</v>
      </c>
      <c r="F982" s="8">
        <v>124573711</v>
      </c>
      <c r="G982" s="8">
        <v>1.972082111</v>
      </c>
      <c r="H982" s="8">
        <v>80.212661650000001</v>
      </c>
      <c r="I982" s="8">
        <v>7235.61</v>
      </c>
      <c r="J982" s="8">
        <v>10114.49</v>
      </c>
      <c r="K982" s="8">
        <v>71.540000000000006</v>
      </c>
      <c r="L982" s="8">
        <v>11</v>
      </c>
      <c r="M982" s="8">
        <v>818792545980</v>
      </c>
      <c r="N982" s="8">
        <v>10.08</v>
      </c>
      <c r="O982" s="8" t="str">
        <f>vw_scenario_analysis_dataset[[#This Row],[reporter_name]] &amp; "-" &amp; vw_scenario_analysis_dataset[[#This Row],[reference_year]]</f>
        <v>Mexico-2018</v>
      </c>
    </row>
    <row r="983" spans="1:15" x14ac:dyDescent="0.3">
      <c r="A983" s="8" t="s">
        <v>234</v>
      </c>
      <c r="B983" s="8" t="s">
        <v>235</v>
      </c>
      <c r="C983" s="8">
        <v>2019</v>
      </c>
      <c r="D983" s="8">
        <v>921207391616</v>
      </c>
      <c r="E983" s="8">
        <v>1300000000000</v>
      </c>
      <c r="F983" s="8">
        <v>125762982</v>
      </c>
      <c r="G983" s="8">
        <v>-0.39269051300000002</v>
      </c>
      <c r="H983" s="8">
        <v>77.461972250000002</v>
      </c>
      <c r="I983" s="8">
        <v>7324.95</v>
      </c>
      <c r="J983" s="8">
        <v>10336.91</v>
      </c>
      <c r="K983" s="8">
        <v>70.86</v>
      </c>
      <c r="L983" s="8">
        <v>10</v>
      </c>
      <c r="M983" s="8">
        <v>901367293250</v>
      </c>
      <c r="N983" s="8">
        <v>2.2000000000000002</v>
      </c>
      <c r="O983" s="8" t="str">
        <f>vw_scenario_analysis_dataset[[#This Row],[reporter_name]] &amp; "-" &amp; vw_scenario_analysis_dataset[[#This Row],[reference_year]]</f>
        <v>Mexico-2019</v>
      </c>
    </row>
    <row r="984" spans="1:15" x14ac:dyDescent="0.3">
      <c r="A984" s="8" t="s">
        <v>234</v>
      </c>
      <c r="B984" s="8" t="s">
        <v>235</v>
      </c>
      <c r="C984" s="8">
        <v>2020</v>
      </c>
      <c r="D984" s="8">
        <v>833964340972</v>
      </c>
      <c r="E984" s="8">
        <v>1120000000000</v>
      </c>
      <c r="F984" s="8">
        <v>126799054</v>
      </c>
      <c r="G984" s="8">
        <v>-8.3540345939999998</v>
      </c>
      <c r="H984" s="8">
        <v>76.854555719999993</v>
      </c>
      <c r="I984" s="8">
        <v>6577.05</v>
      </c>
      <c r="J984" s="8">
        <v>8832.8700000000008</v>
      </c>
      <c r="K984" s="8">
        <v>74.459999999999994</v>
      </c>
      <c r="L984" s="8">
        <v>9</v>
      </c>
      <c r="M984" s="8">
        <v>921207391616</v>
      </c>
      <c r="N984" s="8">
        <v>-9.4700000000000006</v>
      </c>
      <c r="O984" s="8" t="str">
        <f>vw_scenario_analysis_dataset[[#This Row],[reporter_name]] &amp; "-" &amp; vw_scenario_analysis_dataset[[#This Row],[reference_year]]</f>
        <v>Mexico-2020</v>
      </c>
    </row>
    <row r="985" spans="1:15" x14ac:dyDescent="0.3">
      <c r="A985" s="8" t="s">
        <v>234</v>
      </c>
      <c r="B985" s="8" t="s">
        <v>235</v>
      </c>
      <c r="C985" s="8">
        <v>2021</v>
      </c>
      <c r="D985" s="8">
        <v>988921530010</v>
      </c>
      <c r="E985" s="8">
        <v>1320000000000</v>
      </c>
      <c r="F985" s="8">
        <v>127648148</v>
      </c>
      <c r="G985" s="8">
        <v>6.048483472</v>
      </c>
      <c r="H985" s="8">
        <v>83.069297629999994</v>
      </c>
      <c r="I985" s="8">
        <v>7747.25</v>
      </c>
      <c r="J985" s="8">
        <v>10340.93</v>
      </c>
      <c r="K985" s="8">
        <v>74.92</v>
      </c>
      <c r="L985" s="8">
        <v>10</v>
      </c>
      <c r="M985" s="8">
        <v>833964340972</v>
      </c>
      <c r="N985" s="8">
        <v>18.579999999999998</v>
      </c>
      <c r="O985" s="8" t="str">
        <f>vw_scenario_analysis_dataset[[#This Row],[reporter_name]] &amp; "-" &amp; vw_scenario_analysis_dataset[[#This Row],[reference_year]]</f>
        <v>Mexico-2021</v>
      </c>
    </row>
    <row r="986" spans="1:15" x14ac:dyDescent="0.3">
      <c r="A986" s="8" t="s">
        <v>234</v>
      </c>
      <c r="B986" s="8" t="s">
        <v>235</v>
      </c>
      <c r="C986" s="8">
        <v>2022</v>
      </c>
      <c r="D986" s="8">
        <v>1159629655886</v>
      </c>
      <c r="E986" s="8">
        <v>1470000000000</v>
      </c>
      <c r="F986" s="8">
        <v>128613117</v>
      </c>
      <c r="G986" s="8">
        <v>3.709757083</v>
      </c>
      <c r="H986" s="8">
        <v>88.798485589999999</v>
      </c>
      <c r="I986" s="8">
        <v>9016.42</v>
      </c>
      <c r="J986" s="8">
        <v>11429.63</v>
      </c>
      <c r="K986" s="8">
        <v>78.89</v>
      </c>
      <c r="L986" s="8">
        <v>10</v>
      </c>
      <c r="M986" s="8">
        <v>988921530010</v>
      </c>
      <c r="N986" s="8">
        <v>17.260000000000002</v>
      </c>
      <c r="O986" s="8" t="str">
        <f>vw_scenario_analysis_dataset[[#This Row],[reporter_name]] &amp; "-" &amp; vw_scenario_analysis_dataset[[#This Row],[reference_year]]</f>
        <v>Mexico-2022</v>
      </c>
    </row>
    <row r="987" spans="1:15" x14ac:dyDescent="0.3">
      <c r="A987" s="8" t="s">
        <v>234</v>
      </c>
      <c r="B987" s="8" t="s">
        <v>235</v>
      </c>
      <c r="C987" s="8">
        <v>2023</v>
      </c>
      <c r="D987" s="8">
        <v>1191945545328</v>
      </c>
      <c r="E987" s="8">
        <v>1790000000000</v>
      </c>
      <c r="F987" s="8">
        <v>129739759</v>
      </c>
      <c r="G987" s="8">
        <v>3.1067964130000001</v>
      </c>
      <c r="H987" s="8">
        <v>73.739075830000004</v>
      </c>
      <c r="I987" s="8">
        <v>9187.2000000000007</v>
      </c>
      <c r="J987" s="8">
        <v>13796.85</v>
      </c>
      <c r="K987" s="8">
        <v>66.59</v>
      </c>
      <c r="L987" s="8">
        <v>8</v>
      </c>
      <c r="M987" s="8">
        <v>1159629655886</v>
      </c>
      <c r="N987" s="8">
        <v>2.79</v>
      </c>
      <c r="O987" s="8" t="str">
        <f>vw_scenario_analysis_dataset[[#This Row],[reporter_name]] &amp; "-" &amp; vw_scenario_analysis_dataset[[#This Row],[reference_year]]</f>
        <v>Mexico-2023</v>
      </c>
    </row>
    <row r="988" spans="1:15" x14ac:dyDescent="0.3">
      <c r="A988" s="8" t="s">
        <v>234</v>
      </c>
      <c r="B988" s="8" t="s">
        <v>235</v>
      </c>
      <c r="C988" s="8">
        <v>2024</v>
      </c>
      <c r="D988" s="8">
        <v>1239310870236</v>
      </c>
      <c r="E988" s="8">
        <v>1830000000000</v>
      </c>
      <c r="F988" s="8">
        <v>130861007</v>
      </c>
      <c r="G988" s="8">
        <v>1.350576314</v>
      </c>
      <c r="H988" s="8">
        <v>75.425901539999998</v>
      </c>
      <c r="I988" s="8">
        <v>9470.44</v>
      </c>
      <c r="J988" s="8">
        <v>13984.3</v>
      </c>
      <c r="K988" s="8">
        <v>67.72</v>
      </c>
      <c r="L988" s="8">
        <v>9</v>
      </c>
      <c r="M988" s="8">
        <v>1191945545328</v>
      </c>
      <c r="N988" s="8">
        <v>3.97</v>
      </c>
      <c r="O988" s="8" t="str">
        <f>vw_scenario_analysis_dataset[[#This Row],[reporter_name]] &amp; "-" &amp; vw_scenario_analysis_dataset[[#This Row],[reference_year]]</f>
        <v>Mexico-2024</v>
      </c>
    </row>
    <row r="989" spans="1:15" x14ac:dyDescent="0.3">
      <c r="A989" s="8" t="s">
        <v>236</v>
      </c>
      <c r="B989" s="8" t="s">
        <v>237</v>
      </c>
      <c r="C989" s="8">
        <v>2015</v>
      </c>
      <c r="D989" s="8">
        <v>9060152425.4799995</v>
      </c>
      <c r="E989" s="8">
        <v>10064519963</v>
      </c>
      <c r="F989" s="8">
        <v>1912430</v>
      </c>
      <c r="G989" s="8">
        <v>3.8558651400000001</v>
      </c>
      <c r="H989" s="8">
        <v>113.6984439</v>
      </c>
      <c r="I989" s="8">
        <v>4737.51</v>
      </c>
      <c r="J989" s="8">
        <v>5262.69</v>
      </c>
      <c r="K989" s="8">
        <v>90.02</v>
      </c>
      <c r="L989" s="8">
        <v>101</v>
      </c>
      <c r="M989" s="8"/>
      <c r="N989" s="8"/>
      <c r="O989" s="8" t="str">
        <f>vw_scenario_analysis_dataset[[#This Row],[reporter_name]] &amp; "-" &amp; vw_scenario_analysis_dataset[[#This Row],[reference_year]]</f>
        <v>North Macedonia-2015</v>
      </c>
    </row>
    <row r="990" spans="1:15" x14ac:dyDescent="0.3">
      <c r="A990" s="8" t="s">
        <v>236</v>
      </c>
      <c r="B990" s="8" t="s">
        <v>237</v>
      </c>
      <c r="C990" s="8">
        <v>2016</v>
      </c>
      <c r="D990" s="8">
        <v>9704302874.3399982</v>
      </c>
      <c r="E990" s="8">
        <v>10672467073</v>
      </c>
      <c r="F990" s="8">
        <v>1906313</v>
      </c>
      <c r="G990" s="8">
        <v>2.8482051940000002</v>
      </c>
      <c r="H990" s="8">
        <v>116.1854084</v>
      </c>
      <c r="I990" s="8">
        <v>5090.6099999999997</v>
      </c>
      <c r="J990" s="8">
        <v>5598.49</v>
      </c>
      <c r="K990" s="8">
        <v>90.93</v>
      </c>
      <c r="L990" s="8">
        <v>97</v>
      </c>
      <c r="M990" s="8">
        <v>9060152425.4799995</v>
      </c>
      <c r="N990" s="8">
        <v>7.11</v>
      </c>
      <c r="O990" s="8" t="str">
        <f>vw_scenario_analysis_dataset[[#This Row],[reporter_name]] &amp; "-" &amp; vw_scenario_analysis_dataset[[#This Row],[reference_year]]</f>
        <v>North Macedonia-2016</v>
      </c>
    </row>
    <row r="991" spans="1:15" x14ac:dyDescent="0.3">
      <c r="A991" s="8" t="s">
        <v>236</v>
      </c>
      <c r="B991" s="8" t="s">
        <v>237</v>
      </c>
      <c r="C991" s="8">
        <v>2017</v>
      </c>
      <c r="D991" s="8">
        <v>11365606162.380007</v>
      </c>
      <c r="E991" s="8">
        <v>11307067070</v>
      </c>
      <c r="F991" s="8">
        <v>1898657</v>
      </c>
      <c r="G991" s="8">
        <v>1.081772738</v>
      </c>
      <c r="H991" s="8">
        <v>124.1372839</v>
      </c>
      <c r="I991" s="8">
        <v>5986.13</v>
      </c>
      <c r="J991" s="8">
        <v>5955.3</v>
      </c>
      <c r="K991" s="8">
        <v>100.52</v>
      </c>
      <c r="L991" s="8">
        <v>96</v>
      </c>
      <c r="M991" s="8">
        <v>9704302874.3399982</v>
      </c>
      <c r="N991" s="8">
        <v>17.12</v>
      </c>
      <c r="O991" s="8" t="str">
        <f>vw_scenario_analysis_dataset[[#This Row],[reporter_name]] &amp; "-" &amp; vw_scenario_analysis_dataset[[#This Row],[reference_year]]</f>
        <v>North Macedonia-2017</v>
      </c>
    </row>
    <row r="992" spans="1:15" x14ac:dyDescent="0.3">
      <c r="A992" s="8" t="s">
        <v>236</v>
      </c>
      <c r="B992" s="8" t="s">
        <v>237</v>
      </c>
      <c r="C992" s="8">
        <v>2018</v>
      </c>
      <c r="D992" s="8">
        <v>13812673710.260008</v>
      </c>
      <c r="E992" s="8">
        <v>12683068114</v>
      </c>
      <c r="F992" s="8">
        <v>1889051</v>
      </c>
      <c r="G992" s="8">
        <v>2.8805967099999998</v>
      </c>
      <c r="H992" s="8">
        <v>133.21520760000001</v>
      </c>
      <c r="I992" s="8">
        <v>7311.96</v>
      </c>
      <c r="J992" s="8">
        <v>6713.99</v>
      </c>
      <c r="K992" s="8">
        <v>108.91</v>
      </c>
      <c r="L992" s="8">
        <v>92</v>
      </c>
      <c r="M992" s="8">
        <v>11365606162.380007</v>
      </c>
      <c r="N992" s="8">
        <v>21.53</v>
      </c>
      <c r="O992" s="8" t="str">
        <f>vw_scenario_analysis_dataset[[#This Row],[reporter_name]] &amp; "-" &amp; vw_scenario_analysis_dataset[[#This Row],[reference_year]]</f>
        <v>North Macedonia-2018</v>
      </c>
    </row>
    <row r="993" spans="1:15" x14ac:dyDescent="0.3">
      <c r="A993" s="8" t="s">
        <v>236</v>
      </c>
      <c r="B993" s="8" t="s">
        <v>237</v>
      </c>
      <c r="C993" s="8">
        <v>2019</v>
      </c>
      <c r="D993" s="8">
        <v>14390281801.374002</v>
      </c>
      <c r="E993" s="8">
        <v>12606338449</v>
      </c>
      <c r="F993" s="8">
        <v>1876262</v>
      </c>
      <c r="G993" s="8">
        <v>3.9104195380000002</v>
      </c>
      <c r="H993" s="8">
        <v>138.57623179999999</v>
      </c>
      <c r="I993" s="8">
        <v>7669.65</v>
      </c>
      <c r="J993" s="8">
        <v>6718.86</v>
      </c>
      <c r="K993" s="8">
        <v>114.15</v>
      </c>
      <c r="L993" s="8">
        <v>88</v>
      </c>
      <c r="M993" s="8">
        <v>13812673710.260008</v>
      </c>
      <c r="N993" s="8">
        <v>4.18</v>
      </c>
      <c r="O993" s="8" t="str">
        <f>vw_scenario_analysis_dataset[[#This Row],[reporter_name]] &amp; "-" &amp; vw_scenario_analysis_dataset[[#This Row],[reference_year]]</f>
        <v>North Macedonia-2019</v>
      </c>
    </row>
    <row r="994" spans="1:15" x14ac:dyDescent="0.3">
      <c r="A994" s="8" t="s">
        <v>236</v>
      </c>
      <c r="B994" s="8" t="s">
        <v>237</v>
      </c>
      <c r="C994" s="8">
        <v>2020</v>
      </c>
      <c r="D994" s="8">
        <v>13266431408.154005</v>
      </c>
      <c r="E994" s="8">
        <v>12361036914</v>
      </c>
      <c r="F994" s="8">
        <v>1856124</v>
      </c>
      <c r="G994" s="8">
        <v>-4.6884500100000004</v>
      </c>
      <c r="H994" s="8">
        <v>128.24124430000001</v>
      </c>
      <c r="I994" s="8">
        <v>7147.38</v>
      </c>
      <c r="J994" s="8">
        <v>6659.6</v>
      </c>
      <c r="K994" s="8">
        <v>107.32</v>
      </c>
      <c r="L994" s="8">
        <v>87</v>
      </c>
      <c r="M994" s="8">
        <v>14390281801.374002</v>
      </c>
      <c r="N994" s="8">
        <v>-7.81</v>
      </c>
      <c r="O994" s="8" t="str">
        <f>vw_scenario_analysis_dataset[[#This Row],[reporter_name]] &amp; "-" &amp; vw_scenario_analysis_dataset[[#This Row],[reference_year]]</f>
        <v>North Macedonia-2020</v>
      </c>
    </row>
    <row r="995" spans="1:15" x14ac:dyDescent="0.3">
      <c r="A995" s="8" t="s">
        <v>236</v>
      </c>
      <c r="B995" s="8" t="s">
        <v>237</v>
      </c>
      <c r="C995" s="8">
        <v>2021</v>
      </c>
      <c r="D995" s="8">
        <v>16372629275.255999</v>
      </c>
      <c r="E995" s="8">
        <v>14000283827</v>
      </c>
      <c r="F995" s="8">
        <v>1837114</v>
      </c>
      <c r="G995" s="8">
        <v>4.5106794900000002</v>
      </c>
      <c r="H995" s="8">
        <v>146.72141149999999</v>
      </c>
      <c r="I995" s="8">
        <v>8912.15</v>
      </c>
      <c r="J995" s="8">
        <v>7620.8</v>
      </c>
      <c r="K995" s="8">
        <v>116.94</v>
      </c>
      <c r="L995" s="8">
        <v>90</v>
      </c>
      <c r="M995" s="8">
        <v>13266431408.154005</v>
      </c>
      <c r="N995" s="8">
        <v>23.41</v>
      </c>
      <c r="O995" s="8" t="str">
        <f>vw_scenario_analysis_dataset[[#This Row],[reporter_name]] &amp; "-" &amp; vw_scenario_analysis_dataset[[#This Row],[reference_year]]</f>
        <v>North Macedonia-2021</v>
      </c>
    </row>
    <row r="996" spans="1:15" x14ac:dyDescent="0.3">
      <c r="A996" s="8" t="s">
        <v>236</v>
      </c>
      <c r="B996" s="8" t="s">
        <v>237</v>
      </c>
      <c r="C996" s="8">
        <v>2022</v>
      </c>
      <c r="D996" s="8">
        <v>17458711438.360001</v>
      </c>
      <c r="E996" s="8">
        <v>13932436550</v>
      </c>
      <c r="F996" s="8">
        <v>1831712</v>
      </c>
      <c r="G996" s="8">
        <v>2.7588841529999999</v>
      </c>
      <c r="H996" s="8">
        <v>166.1473574</v>
      </c>
      <c r="I996" s="8">
        <v>9531.36</v>
      </c>
      <c r="J996" s="8">
        <v>7606.24</v>
      </c>
      <c r="K996" s="8">
        <v>125.31</v>
      </c>
      <c r="L996" s="8">
        <v>91</v>
      </c>
      <c r="M996" s="8">
        <v>16372629275.255999</v>
      </c>
      <c r="N996" s="8">
        <v>6.63</v>
      </c>
      <c r="O996" s="8" t="str">
        <f>vw_scenario_analysis_dataset[[#This Row],[reporter_name]] &amp; "-" &amp; vw_scenario_analysis_dataset[[#This Row],[reference_year]]</f>
        <v>North Macedonia-2022</v>
      </c>
    </row>
    <row r="997" spans="1:15" x14ac:dyDescent="0.3">
      <c r="A997" s="8" t="s">
        <v>236</v>
      </c>
      <c r="B997" s="8" t="s">
        <v>237</v>
      </c>
      <c r="C997" s="8">
        <v>2023</v>
      </c>
      <c r="D997" s="8">
        <v>17989715113.670998</v>
      </c>
      <c r="E997" s="8">
        <v>15855131189</v>
      </c>
      <c r="F997" s="8">
        <v>1827816</v>
      </c>
      <c r="G997" s="8">
        <v>2.5549652530000002</v>
      </c>
      <c r="H997" s="8">
        <v>147.7942535</v>
      </c>
      <c r="I997" s="8">
        <v>9842.19</v>
      </c>
      <c r="J997" s="8">
        <v>8674.36</v>
      </c>
      <c r="K997" s="8">
        <v>113.46</v>
      </c>
      <c r="L997" s="8">
        <v>88</v>
      </c>
      <c r="M997" s="8">
        <v>17458711438.360001</v>
      </c>
      <c r="N997" s="8">
        <v>3.04</v>
      </c>
      <c r="O997" s="8" t="str">
        <f>vw_scenario_analysis_dataset[[#This Row],[reporter_name]] &amp; "-" &amp; vw_scenario_analysis_dataset[[#This Row],[reference_year]]</f>
        <v>North Macedonia-2023</v>
      </c>
    </row>
    <row r="998" spans="1:15" x14ac:dyDescent="0.3">
      <c r="A998" s="8" t="s">
        <v>236</v>
      </c>
      <c r="B998" s="8" t="s">
        <v>237</v>
      </c>
      <c r="C998" s="8">
        <v>2024</v>
      </c>
      <c r="D998" s="8">
        <v>16846009821.700003</v>
      </c>
      <c r="E998" s="8">
        <v>16951682221</v>
      </c>
      <c r="F998" s="8">
        <v>1824359</v>
      </c>
      <c r="G998" s="8">
        <v>2.9937353660000001</v>
      </c>
      <c r="H998" s="8">
        <v>136.32487620000001</v>
      </c>
      <c r="I998" s="8">
        <v>9233.93</v>
      </c>
      <c r="J998" s="8">
        <v>9291.86</v>
      </c>
      <c r="K998" s="8">
        <v>99.38</v>
      </c>
      <c r="L998" s="8">
        <v>83</v>
      </c>
      <c r="M998" s="8">
        <v>17989715113.670998</v>
      </c>
      <c r="N998" s="8">
        <v>-6.36</v>
      </c>
      <c r="O998" s="8" t="str">
        <f>vw_scenario_analysis_dataset[[#This Row],[reporter_name]] &amp; "-" &amp; vw_scenario_analysis_dataset[[#This Row],[reference_year]]</f>
        <v>North Macedonia-2024</v>
      </c>
    </row>
    <row r="999" spans="1:15" x14ac:dyDescent="0.3">
      <c r="A999" s="8" t="s">
        <v>238</v>
      </c>
      <c r="B999" s="8" t="s">
        <v>239</v>
      </c>
      <c r="C999" s="8">
        <v>2016</v>
      </c>
      <c r="D999" s="8">
        <v>5695187128</v>
      </c>
      <c r="E999" s="8">
        <v>16743796800</v>
      </c>
      <c r="F999" s="8">
        <v>19191289</v>
      </c>
      <c r="G999" s="8">
        <v>6.0050630859999998</v>
      </c>
      <c r="H999" s="8">
        <v>53.612619359999997</v>
      </c>
      <c r="I999" s="8">
        <v>296.76</v>
      </c>
      <c r="J999" s="8">
        <v>872.47</v>
      </c>
      <c r="K999" s="8">
        <v>34.01</v>
      </c>
      <c r="L999" s="8">
        <v>110</v>
      </c>
      <c r="M999" s="8"/>
      <c r="N999" s="8"/>
      <c r="O999" s="8" t="str">
        <f>vw_scenario_analysis_dataset[[#This Row],[reporter_name]] &amp; "-" &amp; vw_scenario_analysis_dataset[[#This Row],[reference_year]]</f>
        <v>Mali-2016</v>
      </c>
    </row>
    <row r="1000" spans="1:15" x14ac:dyDescent="0.3">
      <c r="A1000" s="8" t="s">
        <v>238</v>
      </c>
      <c r="B1000" s="8" t="s">
        <v>239</v>
      </c>
      <c r="C1000" s="8">
        <v>2017</v>
      </c>
      <c r="D1000" s="8">
        <v>3805460146.8260007</v>
      </c>
      <c r="E1000" s="8">
        <v>18308362040</v>
      </c>
      <c r="F1000" s="8">
        <v>19813011</v>
      </c>
      <c r="G1000" s="8">
        <v>5.3755476959999999</v>
      </c>
      <c r="H1000" s="8">
        <v>49.49199849</v>
      </c>
      <c r="I1000" s="8">
        <v>192.07</v>
      </c>
      <c r="J1000" s="8">
        <v>924.06</v>
      </c>
      <c r="K1000" s="8">
        <v>20.79</v>
      </c>
      <c r="L1000" s="8">
        <v>125</v>
      </c>
      <c r="M1000" s="8">
        <v>5695187128</v>
      </c>
      <c r="N1000" s="8">
        <v>-33.18</v>
      </c>
      <c r="O1000" s="8" t="str">
        <f>vw_scenario_analysis_dataset[[#This Row],[reporter_name]] &amp; "-" &amp; vw_scenario_analysis_dataset[[#This Row],[reference_year]]</f>
        <v>Mali-2017</v>
      </c>
    </row>
    <row r="1001" spans="1:15" x14ac:dyDescent="0.3">
      <c r="A1001" s="8" t="s">
        <v>238</v>
      </c>
      <c r="B1001" s="8" t="s">
        <v>239</v>
      </c>
      <c r="C1001" s="8">
        <v>2018</v>
      </c>
      <c r="D1001" s="8">
        <v>7267613800.9749994</v>
      </c>
      <c r="E1001" s="8">
        <v>20368015381</v>
      </c>
      <c r="F1001" s="8">
        <v>20442030</v>
      </c>
      <c r="G1001" s="8">
        <v>4.8678499989999997</v>
      </c>
      <c r="H1001" s="8">
        <v>50.69984625</v>
      </c>
      <c r="I1001" s="8">
        <v>355.52</v>
      </c>
      <c r="J1001" s="8">
        <v>996.38</v>
      </c>
      <c r="K1001" s="8">
        <v>35.68</v>
      </c>
      <c r="L1001" s="8">
        <v>108</v>
      </c>
      <c r="M1001" s="8">
        <v>3805460146.8260007</v>
      </c>
      <c r="N1001" s="8">
        <v>90.98</v>
      </c>
      <c r="O1001" s="8" t="str">
        <f>vw_scenario_analysis_dataset[[#This Row],[reporter_name]] &amp; "-" &amp; vw_scenario_analysis_dataset[[#This Row],[reference_year]]</f>
        <v>Mali-2018</v>
      </c>
    </row>
    <row r="1002" spans="1:15" x14ac:dyDescent="0.3">
      <c r="A1002" s="8" t="s">
        <v>238</v>
      </c>
      <c r="B1002" s="8" t="s">
        <v>239</v>
      </c>
      <c r="C1002" s="8">
        <v>2019</v>
      </c>
      <c r="D1002" s="8">
        <v>7286473024.2510042</v>
      </c>
      <c r="E1002" s="8">
        <v>20477421885</v>
      </c>
      <c r="F1002" s="8">
        <v>21068405</v>
      </c>
      <c r="G1002" s="8">
        <v>4.9999991169999998</v>
      </c>
      <c r="H1002" s="8">
        <v>53.998713279999997</v>
      </c>
      <c r="I1002" s="8">
        <v>345.85</v>
      </c>
      <c r="J1002" s="8">
        <v>971.95</v>
      </c>
      <c r="K1002" s="8">
        <v>35.58</v>
      </c>
      <c r="L1002" s="8">
        <v>109</v>
      </c>
      <c r="M1002" s="8">
        <v>7267613800.9749994</v>
      </c>
      <c r="N1002" s="8">
        <v>0.26</v>
      </c>
      <c r="O1002" s="8" t="str">
        <f>vw_scenario_analysis_dataset[[#This Row],[reporter_name]] &amp; "-" &amp; vw_scenario_analysis_dataset[[#This Row],[reference_year]]</f>
        <v>Mali-2019</v>
      </c>
    </row>
    <row r="1003" spans="1:15" x14ac:dyDescent="0.3">
      <c r="A1003" s="8" t="s">
        <v>238</v>
      </c>
      <c r="B1003" s="8" t="s">
        <v>239</v>
      </c>
      <c r="C1003" s="8">
        <v>2020</v>
      </c>
      <c r="D1003" s="8">
        <v>7978712557.079999</v>
      </c>
      <c r="E1003" s="8">
        <v>20698560939</v>
      </c>
      <c r="F1003" s="8">
        <v>21713836</v>
      </c>
      <c r="G1003" s="8">
        <v>-1.169108349</v>
      </c>
      <c r="H1003" s="8">
        <v>56.041547440000002</v>
      </c>
      <c r="I1003" s="8">
        <v>367.45</v>
      </c>
      <c r="J1003" s="8">
        <v>953.24</v>
      </c>
      <c r="K1003" s="8">
        <v>38.549999999999997</v>
      </c>
      <c r="L1003" s="8">
        <v>104</v>
      </c>
      <c r="M1003" s="8">
        <v>7286473024.2510042</v>
      </c>
      <c r="N1003" s="8">
        <v>9.5</v>
      </c>
      <c r="O1003" s="8" t="str">
        <f>vw_scenario_analysis_dataset[[#This Row],[reporter_name]] &amp; "-" &amp; vw_scenario_analysis_dataset[[#This Row],[reference_year]]</f>
        <v>Mali-2020</v>
      </c>
    </row>
    <row r="1004" spans="1:15" x14ac:dyDescent="0.3">
      <c r="A1004" s="8" t="s">
        <v>238</v>
      </c>
      <c r="B1004" s="8" t="s">
        <v>239</v>
      </c>
      <c r="C1004" s="8">
        <v>2021</v>
      </c>
      <c r="D1004" s="8">
        <v>8347592049.3509979</v>
      </c>
      <c r="E1004" s="8">
        <v>22999245263</v>
      </c>
      <c r="F1004" s="8">
        <v>22388630</v>
      </c>
      <c r="G1004" s="8">
        <v>3.100941245</v>
      </c>
      <c r="H1004" s="8">
        <v>56.715052559999997</v>
      </c>
      <c r="I1004" s="8">
        <v>372.85</v>
      </c>
      <c r="J1004" s="8">
        <v>1027.27</v>
      </c>
      <c r="K1004" s="8">
        <v>36.299999999999997</v>
      </c>
      <c r="L1004" s="8">
        <v>108</v>
      </c>
      <c r="M1004" s="8">
        <v>7978712557.079999</v>
      </c>
      <c r="N1004" s="8">
        <v>4.62</v>
      </c>
      <c r="O1004" s="8" t="str">
        <f>vw_scenario_analysis_dataset[[#This Row],[reporter_name]] &amp; "-" &amp; vw_scenario_analysis_dataset[[#This Row],[reference_year]]</f>
        <v>Mali-2021</v>
      </c>
    </row>
    <row r="1005" spans="1:15" x14ac:dyDescent="0.3">
      <c r="A1005" s="8" t="s">
        <v>238</v>
      </c>
      <c r="B1005" s="8" t="s">
        <v>239</v>
      </c>
      <c r="C1005" s="8">
        <v>2022</v>
      </c>
      <c r="D1005" s="8">
        <v>7808677088.057003</v>
      </c>
      <c r="E1005" s="8">
        <v>22539987719</v>
      </c>
      <c r="F1005" s="8">
        <v>23072640</v>
      </c>
      <c r="G1005" s="8">
        <v>3.7031902759999999</v>
      </c>
      <c r="H1005" s="8">
        <v>61.561327489999996</v>
      </c>
      <c r="I1005" s="8">
        <v>338.44</v>
      </c>
      <c r="J1005" s="8">
        <v>976.91</v>
      </c>
      <c r="K1005" s="8">
        <v>34.64</v>
      </c>
      <c r="L1005" s="8">
        <v>110</v>
      </c>
      <c r="M1005" s="8">
        <v>8347592049.3509979</v>
      </c>
      <c r="N1005" s="8">
        <v>-6.46</v>
      </c>
      <c r="O1005" s="8" t="str">
        <f>vw_scenario_analysis_dataset[[#This Row],[reporter_name]] &amp; "-" &amp; vw_scenario_analysis_dataset[[#This Row],[reference_year]]</f>
        <v>Mali-2022</v>
      </c>
    </row>
    <row r="1006" spans="1:15" x14ac:dyDescent="0.3">
      <c r="A1006" s="8" t="s">
        <v>238</v>
      </c>
      <c r="B1006" s="8" t="s">
        <v>239</v>
      </c>
      <c r="C1006" s="8">
        <v>2023</v>
      </c>
      <c r="D1006" s="8">
        <v>8012547633.6939993</v>
      </c>
      <c r="E1006" s="8">
        <v>24777941861</v>
      </c>
      <c r="F1006" s="8">
        <v>23769127</v>
      </c>
      <c r="G1006" s="8">
        <v>4.763941</v>
      </c>
      <c r="H1006" s="8">
        <v>57.629157229999997</v>
      </c>
      <c r="I1006" s="8">
        <v>337.1</v>
      </c>
      <c r="J1006" s="8">
        <v>1042.44</v>
      </c>
      <c r="K1006" s="8">
        <v>32.340000000000003</v>
      </c>
      <c r="L1006" s="8">
        <v>113</v>
      </c>
      <c r="M1006" s="8">
        <v>7808677088.057003</v>
      </c>
      <c r="N1006" s="8">
        <v>2.61</v>
      </c>
      <c r="O1006" s="8" t="str">
        <f>vw_scenario_analysis_dataset[[#This Row],[reporter_name]] &amp; "-" &amp; vw_scenario_analysis_dataset[[#This Row],[reference_year]]</f>
        <v>Mali-2023</v>
      </c>
    </row>
    <row r="1007" spans="1:15" x14ac:dyDescent="0.3">
      <c r="A1007" s="8" t="s">
        <v>240</v>
      </c>
      <c r="B1007" s="8" t="s">
        <v>241</v>
      </c>
      <c r="C1007" s="8">
        <v>2015</v>
      </c>
      <c r="D1007" s="8">
        <v>7830895961</v>
      </c>
      <c r="E1007" s="8">
        <v>11340789706</v>
      </c>
      <c r="F1007" s="8">
        <v>444220</v>
      </c>
      <c r="G1007" s="8">
        <v>9.6207030279999994</v>
      </c>
      <c r="H1007" s="8">
        <v>207.1960206</v>
      </c>
      <c r="I1007" s="8">
        <v>17628.419999999998</v>
      </c>
      <c r="J1007" s="8">
        <v>25529.67</v>
      </c>
      <c r="K1007" s="8">
        <v>69.05</v>
      </c>
      <c r="L1007" s="8">
        <v>104</v>
      </c>
      <c r="M1007" s="8"/>
      <c r="N1007" s="8"/>
      <c r="O1007" s="8" t="str">
        <f>vw_scenario_analysis_dataset[[#This Row],[reporter_name]] &amp; "-" &amp; vw_scenario_analysis_dataset[[#This Row],[reference_year]]</f>
        <v>Malta-2015</v>
      </c>
    </row>
    <row r="1008" spans="1:15" x14ac:dyDescent="0.3">
      <c r="A1008" s="8" t="s">
        <v>240</v>
      </c>
      <c r="B1008" s="8" t="s">
        <v>241</v>
      </c>
      <c r="C1008" s="8">
        <v>2016</v>
      </c>
      <c r="D1008" s="8">
        <v>8077285953</v>
      </c>
      <c r="E1008" s="8">
        <v>12025777078</v>
      </c>
      <c r="F1008" s="8">
        <v>454505</v>
      </c>
      <c r="G1008" s="8">
        <v>4.0780042219999997</v>
      </c>
      <c r="H1008" s="8">
        <v>213.35947200000001</v>
      </c>
      <c r="I1008" s="8">
        <v>17771.61</v>
      </c>
      <c r="J1008" s="8">
        <v>26459.06</v>
      </c>
      <c r="K1008" s="8">
        <v>67.17</v>
      </c>
      <c r="L1008" s="8">
        <v>103</v>
      </c>
      <c r="M1008" s="8">
        <v>7830895961</v>
      </c>
      <c r="N1008" s="8">
        <v>3.15</v>
      </c>
      <c r="O1008" s="8" t="str">
        <f>vw_scenario_analysis_dataset[[#This Row],[reporter_name]] &amp; "-" &amp; vw_scenario_analysis_dataset[[#This Row],[reference_year]]</f>
        <v>Malta-2016</v>
      </c>
    </row>
    <row r="1009" spans="1:15" x14ac:dyDescent="0.3">
      <c r="A1009" s="8" t="s">
        <v>240</v>
      </c>
      <c r="B1009" s="8" t="s">
        <v>241</v>
      </c>
      <c r="C1009" s="8">
        <v>2017</v>
      </c>
      <c r="D1009" s="8">
        <v>8155463703.7189999</v>
      </c>
      <c r="E1009" s="8">
        <v>14161374599</v>
      </c>
      <c r="F1009" s="8">
        <v>467106</v>
      </c>
      <c r="G1009" s="8">
        <v>12.971342529999999</v>
      </c>
      <c r="H1009" s="8">
        <v>213.04759129999999</v>
      </c>
      <c r="I1009" s="8">
        <v>17459.560000000001</v>
      </c>
      <c r="J1009" s="8">
        <v>30317.26</v>
      </c>
      <c r="K1009" s="8">
        <v>57.59</v>
      </c>
      <c r="L1009" s="8">
        <v>106</v>
      </c>
      <c r="M1009" s="8">
        <v>8077285953</v>
      </c>
      <c r="N1009" s="8">
        <v>0.97</v>
      </c>
      <c r="O1009" s="8" t="str">
        <f>vw_scenario_analysis_dataset[[#This Row],[reporter_name]] &amp; "-" &amp; vw_scenario_analysis_dataset[[#This Row],[reference_year]]</f>
        <v>Malta-2017</v>
      </c>
    </row>
    <row r="1010" spans="1:15" x14ac:dyDescent="0.3">
      <c r="A1010" s="8" t="s">
        <v>240</v>
      </c>
      <c r="B1010" s="8" t="s">
        <v>241</v>
      </c>
      <c r="C1010" s="8">
        <v>2018</v>
      </c>
      <c r="D1010" s="8">
        <v>7737028158.605998</v>
      </c>
      <c r="E1010" s="8">
        <v>16153785817</v>
      </c>
      <c r="F1010" s="8">
        <v>483903</v>
      </c>
      <c r="G1010" s="8">
        <v>7.1892142550000004</v>
      </c>
      <c r="H1010" s="8">
        <v>228.09855110000001</v>
      </c>
      <c r="I1010" s="8">
        <v>15988.8</v>
      </c>
      <c r="J1010" s="8">
        <v>33382.28</v>
      </c>
      <c r="K1010" s="8">
        <v>47.9</v>
      </c>
      <c r="L1010" s="8">
        <v>104</v>
      </c>
      <c r="M1010" s="8">
        <v>8155463703.7189999</v>
      </c>
      <c r="N1010" s="8">
        <v>-5.13</v>
      </c>
      <c r="O1010" s="8" t="str">
        <f>vw_scenario_analysis_dataset[[#This Row],[reporter_name]] &amp; "-" &amp; vw_scenario_analysis_dataset[[#This Row],[reference_year]]</f>
        <v>Malta-2018</v>
      </c>
    </row>
    <row r="1011" spans="1:15" x14ac:dyDescent="0.3">
      <c r="A1011" s="8" t="s">
        <v>240</v>
      </c>
      <c r="B1011" s="8" t="s">
        <v>241</v>
      </c>
      <c r="C1011" s="8">
        <v>2019</v>
      </c>
      <c r="D1011" s="8">
        <v>8285844269.3789978</v>
      </c>
      <c r="E1011" s="8">
        <v>16337788881</v>
      </c>
      <c r="F1011" s="8">
        <v>503912</v>
      </c>
      <c r="G1011" s="8">
        <v>4.0850557309999997</v>
      </c>
      <c r="H1011" s="8">
        <v>233.07044089999999</v>
      </c>
      <c r="I1011" s="8">
        <v>16443.04</v>
      </c>
      <c r="J1011" s="8">
        <v>32421.91</v>
      </c>
      <c r="K1011" s="8">
        <v>50.72</v>
      </c>
      <c r="L1011" s="8">
        <v>105</v>
      </c>
      <c r="M1011" s="8">
        <v>7737028158.605998</v>
      </c>
      <c r="N1011" s="8">
        <v>7.09</v>
      </c>
      <c r="O1011" s="8" t="str">
        <f>vw_scenario_analysis_dataset[[#This Row],[reporter_name]] &amp; "-" &amp; vw_scenario_analysis_dataset[[#This Row],[reference_year]]</f>
        <v>Malta-2019</v>
      </c>
    </row>
    <row r="1012" spans="1:15" x14ac:dyDescent="0.3">
      <c r="A1012" s="8" t="s">
        <v>240</v>
      </c>
      <c r="B1012" s="8" t="s">
        <v>241</v>
      </c>
      <c r="C1012" s="8">
        <v>2020</v>
      </c>
      <c r="D1012" s="8">
        <v>5663816326.2669973</v>
      </c>
      <c r="E1012" s="8">
        <v>16404655808</v>
      </c>
      <c r="F1012" s="8">
        <v>515490</v>
      </c>
      <c r="G1012" s="8">
        <v>-3.457282325</v>
      </c>
      <c r="H1012" s="8">
        <v>242.3611904</v>
      </c>
      <c r="I1012" s="8">
        <v>10987.25</v>
      </c>
      <c r="J1012" s="8">
        <v>31823.42</v>
      </c>
      <c r="K1012" s="8">
        <v>34.53</v>
      </c>
      <c r="L1012" s="8">
        <v>112</v>
      </c>
      <c r="M1012" s="8">
        <v>8285844269.3789978</v>
      </c>
      <c r="N1012" s="8">
        <v>-31.64</v>
      </c>
      <c r="O1012" s="8" t="str">
        <f>vw_scenario_analysis_dataset[[#This Row],[reporter_name]] &amp; "-" &amp; vw_scenario_analysis_dataset[[#This Row],[reference_year]]</f>
        <v>Malta-2020</v>
      </c>
    </row>
    <row r="1013" spans="1:15" x14ac:dyDescent="0.3">
      <c r="A1013" s="8" t="s">
        <v>240</v>
      </c>
      <c r="B1013" s="8" t="s">
        <v>241</v>
      </c>
      <c r="C1013" s="8">
        <v>2021</v>
      </c>
      <c r="D1013" s="8">
        <v>6133663261.6540031</v>
      </c>
      <c r="E1013" s="8">
        <v>19730119031</v>
      </c>
      <c r="F1013" s="8">
        <v>518150</v>
      </c>
      <c r="G1013" s="8">
        <v>13.35098189</v>
      </c>
      <c r="H1013" s="8">
        <v>220.07229480000001</v>
      </c>
      <c r="I1013" s="8">
        <v>11837.62</v>
      </c>
      <c r="J1013" s="8">
        <v>38078.01</v>
      </c>
      <c r="K1013" s="8">
        <v>31.09</v>
      </c>
      <c r="L1013" s="8">
        <v>116</v>
      </c>
      <c r="M1013" s="8">
        <v>5663816326.2669973</v>
      </c>
      <c r="N1013" s="8">
        <v>8.3000000000000007</v>
      </c>
      <c r="O1013" s="8" t="str">
        <f>vw_scenario_analysis_dataset[[#This Row],[reporter_name]] &amp; "-" &amp; vw_scenario_analysis_dataset[[#This Row],[reference_year]]</f>
        <v>Malta-2021</v>
      </c>
    </row>
    <row r="1014" spans="1:15" x14ac:dyDescent="0.3">
      <c r="A1014" s="8" t="s">
        <v>240</v>
      </c>
      <c r="B1014" s="8" t="s">
        <v>241</v>
      </c>
      <c r="C1014" s="8">
        <v>2022</v>
      </c>
      <c r="D1014" s="8">
        <v>6514740091.1709976</v>
      </c>
      <c r="E1014" s="8">
        <v>18938869147</v>
      </c>
      <c r="F1014" s="8">
        <v>531113</v>
      </c>
      <c r="G1014" s="8">
        <v>2.5927677689999999</v>
      </c>
      <c r="H1014" s="8">
        <v>244.5815355</v>
      </c>
      <c r="I1014" s="8">
        <v>12266.2</v>
      </c>
      <c r="J1014" s="8">
        <v>35658.83</v>
      </c>
      <c r="K1014" s="8">
        <v>34.4</v>
      </c>
      <c r="L1014" s="8">
        <v>116</v>
      </c>
      <c r="M1014" s="8">
        <v>6133663261.6540031</v>
      </c>
      <c r="N1014" s="8">
        <v>6.21</v>
      </c>
      <c r="O1014" s="8" t="str">
        <f>vw_scenario_analysis_dataset[[#This Row],[reporter_name]] &amp; "-" &amp; vw_scenario_analysis_dataset[[#This Row],[reference_year]]</f>
        <v>Malta-2022</v>
      </c>
    </row>
    <row r="1015" spans="1:15" x14ac:dyDescent="0.3">
      <c r="A1015" s="8" t="s">
        <v>240</v>
      </c>
      <c r="B1015" s="8" t="s">
        <v>241</v>
      </c>
      <c r="C1015" s="8">
        <v>2023</v>
      </c>
      <c r="D1015" s="8">
        <v>6933152206.8789978</v>
      </c>
      <c r="E1015" s="8">
        <v>22625329776</v>
      </c>
      <c r="F1015" s="8">
        <v>552747</v>
      </c>
      <c r="G1015" s="8">
        <v>10.634055800000001</v>
      </c>
      <c r="H1015" s="8">
        <v>221.13329640000001</v>
      </c>
      <c r="I1015" s="8">
        <v>12543.08</v>
      </c>
      <c r="J1015" s="8">
        <v>40932.519999999997</v>
      </c>
      <c r="K1015" s="8">
        <v>30.64</v>
      </c>
      <c r="L1015" s="8">
        <v>114</v>
      </c>
      <c r="M1015" s="8">
        <v>6514740091.1709976</v>
      </c>
      <c r="N1015" s="8">
        <v>6.42</v>
      </c>
      <c r="O1015" s="8" t="str">
        <f>vw_scenario_analysis_dataset[[#This Row],[reporter_name]] &amp; "-" &amp; vw_scenario_analysis_dataset[[#This Row],[reference_year]]</f>
        <v>Malta-2023</v>
      </c>
    </row>
    <row r="1016" spans="1:15" x14ac:dyDescent="0.3">
      <c r="A1016" s="8" t="s">
        <v>240</v>
      </c>
      <c r="B1016" s="8" t="s">
        <v>241</v>
      </c>
      <c r="C1016" s="8">
        <v>2024</v>
      </c>
      <c r="D1016" s="8">
        <v>7564188404.201993</v>
      </c>
      <c r="E1016" s="8">
        <v>25042712191</v>
      </c>
      <c r="F1016" s="8">
        <v>568847</v>
      </c>
      <c r="G1016" s="8">
        <v>6.2127599699999996</v>
      </c>
      <c r="H1016" s="8">
        <v>217.7302727</v>
      </c>
      <c r="I1016" s="8">
        <v>13297.4</v>
      </c>
      <c r="J1016" s="8">
        <v>44023.63</v>
      </c>
      <c r="K1016" s="8">
        <v>30.21</v>
      </c>
      <c r="L1016" s="8">
        <v>101</v>
      </c>
      <c r="M1016" s="8">
        <v>6933152206.8789978</v>
      </c>
      <c r="N1016" s="8">
        <v>9.1</v>
      </c>
      <c r="O1016" s="8" t="str">
        <f>vw_scenario_analysis_dataset[[#This Row],[reporter_name]] &amp; "-" &amp; vw_scenario_analysis_dataset[[#This Row],[reference_year]]</f>
        <v>Malta-2024</v>
      </c>
    </row>
    <row r="1017" spans="1:15" x14ac:dyDescent="0.3">
      <c r="A1017" s="8" t="s">
        <v>242</v>
      </c>
      <c r="B1017" s="8" t="s">
        <v>243</v>
      </c>
      <c r="C1017" s="8">
        <v>2015</v>
      </c>
      <c r="D1017" s="8">
        <v>22863584327.292</v>
      </c>
      <c r="E1017" s="8">
        <v>59607290408</v>
      </c>
      <c r="F1017" s="8">
        <v>51089056</v>
      </c>
      <c r="G1017" s="8">
        <v>6.9928402900000002</v>
      </c>
      <c r="H1017" s="8"/>
      <c r="I1017" s="8">
        <v>447.52</v>
      </c>
      <c r="J1017" s="8">
        <v>1166.73</v>
      </c>
      <c r="K1017" s="8">
        <v>38.36</v>
      </c>
      <c r="L1017" s="8">
        <v>74</v>
      </c>
      <c r="M1017" s="8"/>
      <c r="N1017" s="8"/>
      <c r="O1017" s="8" t="str">
        <f>vw_scenario_analysis_dataset[[#This Row],[reporter_name]] &amp; "-" &amp; vw_scenario_analysis_dataset[[#This Row],[reference_year]]</f>
        <v>Myanmar-2015</v>
      </c>
    </row>
    <row r="1018" spans="1:15" x14ac:dyDescent="0.3">
      <c r="A1018" s="8" t="s">
        <v>242</v>
      </c>
      <c r="B1018" s="8" t="s">
        <v>243</v>
      </c>
      <c r="C1018" s="8">
        <v>2016</v>
      </c>
      <c r="D1018" s="8">
        <v>23345434920.179996</v>
      </c>
      <c r="E1018" s="8">
        <v>63298361996</v>
      </c>
      <c r="F1018" s="8">
        <v>51495696</v>
      </c>
      <c r="G1018" s="8">
        <v>5.8624729149999997</v>
      </c>
      <c r="H1018" s="8"/>
      <c r="I1018" s="8">
        <v>453.35</v>
      </c>
      <c r="J1018" s="8">
        <v>1229.2</v>
      </c>
      <c r="K1018" s="8">
        <v>36.880000000000003</v>
      </c>
      <c r="L1018" s="8">
        <v>72</v>
      </c>
      <c r="M1018" s="8">
        <v>22863584327.292</v>
      </c>
      <c r="N1018" s="8">
        <v>2.11</v>
      </c>
      <c r="O1018" s="8" t="str">
        <f>vw_scenario_analysis_dataset[[#This Row],[reporter_name]] &amp; "-" &amp; vw_scenario_analysis_dataset[[#This Row],[reference_year]]</f>
        <v>Myanmar-2016</v>
      </c>
    </row>
    <row r="1019" spans="1:15" x14ac:dyDescent="0.3">
      <c r="A1019" s="8" t="s">
        <v>242</v>
      </c>
      <c r="B1019" s="8" t="s">
        <v>243</v>
      </c>
      <c r="C1019" s="8">
        <v>2017</v>
      </c>
      <c r="D1019" s="8">
        <v>27755906577.515003</v>
      </c>
      <c r="E1019" s="8">
        <v>66053040483</v>
      </c>
      <c r="F1019" s="8">
        <v>51894938</v>
      </c>
      <c r="G1019" s="8">
        <v>6.1361082439999999</v>
      </c>
      <c r="H1019" s="8"/>
      <c r="I1019" s="8">
        <v>534.85</v>
      </c>
      <c r="J1019" s="8">
        <v>1272.82</v>
      </c>
      <c r="K1019" s="8">
        <v>42.02</v>
      </c>
      <c r="L1019" s="8">
        <v>71</v>
      </c>
      <c r="M1019" s="8">
        <v>23345434920.179996</v>
      </c>
      <c r="N1019" s="8">
        <v>18.89</v>
      </c>
      <c r="O1019" s="8" t="str">
        <f>vw_scenario_analysis_dataset[[#This Row],[reporter_name]] &amp; "-" &amp; vw_scenario_analysis_dataset[[#This Row],[reference_year]]</f>
        <v>Myanmar-2017</v>
      </c>
    </row>
    <row r="1020" spans="1:15" x14ac:dyDescent="0.3">
      <c r="A1020" s="8" t="s">
        <v>242</v>
      </c>
      <c r="B1020" s="8" t="s">
        <v>243</v>
      </c>
      <c r="C1020" s="8">
        <v>2018</v>
      </c>
      <c r="D1020" s="8">
        <v>33404317524.012005</v>
      </c>
      <c r="E1020" s="8">
        <v>67860515990</v>
      </c>
      <c r="F1020" s="8">
        <v>52272247</v>
      </c>
      <c r="G1020" s="8">
        <v>6.2688622150000004</v>
      </c>
      <c r="H1020" s="8"/>
      <c r="I1020" s="8">
        <v>639.04</v>
      </c>
      <c r="J1020" s="8">
        <v>1298.21</v>
      </c>
      <c r="K1020" s="8">
        <v>49.22</v>
      </c>
      <c r="L1020" s="8">
        <v>70</v>
      </c>
      <c r="M1020" s="8">
        <v>27755906577.515003</v>
      </c>
      <c r="N1020" s="8">
        <v>20.350000000000001</v>
      </c>
      <c r="O1020" s="8" t="str">
        <f>vw_scenario_analysis_dataset[[#This Row],[reporter_name]] &amp; "-" &amp; vw_scenario_analysis_dataset[[#This Row],[reference_year]]</f>
        <v>Myanmar-2018</v>
      </c>
    </row>
    <row r="1021" spans="1:15" x14ac:dyDescent="0.3">
      <c r="A1021" s="8" t="s">
        <v>242</v>
      </c>
      <c r="B1021" s="8" t="s">
        <v>243</v>
      </c>
      <c r="C1021" s="8">
        <v>2019</v>
      </c>
      <c r="D1021" s="8">
        <v>36235210610.992996</v>
      </c>
      <c r="E1021" s="8">
        <v>75065106228</v>
      </c>
      <c r="F1021" s="8">
        <v>52640713</v>
      </c>
      <c r="G1021" s="8">
        <v>6.5791100680000003</v>
      </c>
      <c r="H1021" s="8"/>
      <c r="I1021" s="8">
        <v>688.35</v>
      </c>
      <c r="J1021" s="8">
        <v>1425.99</v>
      </c>
      <c r="K1021" s="8">
        <v>48.27</v>
      </c>
      <c r="L1021" s="8">
        <v>65</v>
      </c>
      <c r="M1021" s="8">
        <v>33404317524.012005</v>
      </c>
      <c r="N1021" s="8">
        <v>8.4700000000000006</v>
      </c>
      <c r="O1021" s="8" t="str">
        <f>vw_scenario_analysis_dataset[[#This Row],[reporter_name]] &amp; "-" &amp; vw_scenario_analysis_dataset[[#This Row],[reference_year]]</f>
        <v>Myanmar-2019</v>
      </c>
    </row>
    <row r="1022" spans="1:15" x14ac:dyDescent="0.3">
      <c r="A1022" s="8" t="s">
        <v>242</v>
      </c>
      <c r="B1022" s="8" t="s">
        <v>243</v>
      </c>
      <c r="C1022" s="8">
        <v>2020</v>
      </c>
      <c r="D1022" s="8">
        <v>33899510582.310001</v>
      </c>
      <c r="E1022" s="8">
        <v>79006113643</v>
      </c>
      <c r="F1022" s="8">
        <v>53016522</v>
      </c>
      <c r="G1022" s="8">
        <v>-9.0483471800000004</v>
      </c>
      <c r="H1022" s="8"/>
      <c r="I1022" s="8">
        <v>639.41</v>
      </c>
      <c r="J1022" s="8">
        <v>1490.22</v>
      </c>
      <c r="K1022" s="8">
        <v>42.91</v>
      </c>
      <c r="L1022" s="8">
        <v>65</v>
      </c>
      <c r="M1022" s="8">
        <v>36235210610.992996</v>
      </c>
      <c r="N1022" s="8">
        <v>-6.45</v>
      </c>
      <c r="O1022" s="8" t="str">
        <f>vw_scenario_analysis_dataset[[#This Row],[reporter_name]] &amp; "-" &amp; vw_scenario_analysis_dataset[[#This Row],[reference_year]]</f>
        <v>Myanmar-2020</v>
      </c>
    </row>
    <row r="1023" spans="1:15" x14ac:dyDescent="0.3">
      <c r="A1023" s="8" t="s">
        <v>242</v>
      </c>
      <c r="B1023" s="8" t="s">
        <v>243</v>
      </c>
      <c r="C1023" s="8">
        <v>2021</v>
      </c>
      <c r="D1023" s="8">
        <v>30306815426.424011</v>
      </c>
      <c r="E1023" s="8">
        <v>66345291160</v>
      </c>
      <c r="F1023" s="8">
        <v>53387102</v>
      </c>
      <c r="G1023" s="8">
        <v>-12.016372479999999</v>
      </c>
      <c r="H1023" s="8"/>
      <c r="I1023" s="8">
        <v>567.67999999999995</v>
      </c>
      <c r="J1023" s="8">
        <v>1242.72</v>
      </c>
      <c r="K1023" s="8">
        <v>45.68</v>
      </c>
      <c r="L1023" s="8">
        <v>72</v>
      </c>
      <c r="M1023" s="8">
        <v>33899510582.310001</v>
      </c>
      <c r="N1023" s="8">
        <v>-10.6</v>
      </c>
      <c r="O1023" s="8" t="str">
        <f>vw_scenario_analysis_dataset[[#This Row],[reporter_name]] &amp; "-" &amp; vw_scenario_analysis_dataset[[#This Row],[reference_year]]</f>
        <v>Myanmar-2021</v>
      </c>
    </row>
    <row r="1024" spans="1:15" x14ac:dyDescent="0.3">
      <c r="A1024" s="8" t="s">
        <v>242</v>
      </c>
      <c r="B1024" s="8" t="s">
        <v>243</v>
      </c>
      <c r="C1024" s="8">
        <v>2022</v>
      </c>
      <c r="D1024" s="8">
        <v>34169025780.855999</v>
      </c>
      <c r="E1024" s="8">
        <v>62253049892</v>
      </c>
      <c r="F1024" s="8">
        <v>53756787</v>
      </c>
      <c r="G1024" s="8">
        <v>4.0374934360000001</v>
      </c>
      <c r="H1024" s="8"/>
      <c r="I1024" s="8">
        <v>635.62</v>
      </c>
      <c r="J1024" s="8">
        <v>1158.05</v>
      </c>
      <c r="K1024" s="8">
        <v>54.89</v>
      </c>
      <c r="L1024" s="8">
        <v>70</v>
      </c>
      <c r="M1024" s="8">
        <v>30306815426.424011</v>
      </c>
      <c r="N1024" s="8">
        <v>12.74</v>
      </c>
      <c r="O1024" s="8" t="str">
        <f>vw_scenario_analysis_dataset[[#This Row],[reporter_name]] &amp; "-" &amp; vw_scenario_analysis_dataset[[#This Row],[reference_year]]</f>
        <v>Myanmar-2022</v>
      </c>
    </row>
    <row r="1025" spans="1:15" x14ac:dyDescent="0.3">
      <c r="A1025" s="8" t="s">
        <v>242</v>
      </c>
      <c r="B1025" s="8" t="s">
        <v>243</v>
      </c>
      <c r="C1025" s="8">
        <v>2023</v>
      </c>
      <c r="D1025" s="8">
        <v>29505986113.870007</v>
      </c>
      <c r="E1025" s="8">
        <v>66757619000</v>
      </c>
      <c r="F1025" s="8">
        <v>54133798</v>
      </c>
      <c r="G1025" s="8">
        <v>0.958446625</v>
      </c>
      <c r="H1025" s="8"/>
      <c r="I1025" s="8">
        <v>545.05999999999995</v>
      </c>
      <c r="J1025" s="8">
        <v>1233.2</v>
      </c>
      <c r="K1025" s="8">
        <v>44.2</v>
      </c>
      <c r="L1025" s="8">
        <v>72</v>
      </c>
      <c r="M1025" s="8">
        <v>34169025780.855999</v>
      </c>
      <c r="N1025" s="8">
        <v>-13.65</v>
      </c>
      <c r="O1025" s="8" t="str">
        <f>vw_scenario_analysis_dataset[[#This Row],[reporter_name]] &amp; "-" &amp; vw_scenario_analysis_dataset[[#This Row],[reference_year]]</f>
        <v>Myanmar-2023</v>
      </c>
    </row>
    <row r="1026" spans="1:15" x14ac:dyDescent="0.3">
      <c r="A1026" s="8" t="s">
        <v>242</v>
      </c>
      <c r="B1026" s="8" t="s">
        <v>243</v>
      </c>
      <c r="C1026" s="8">
        <v>2024</v>
      </c>
      <c r="D1026" s="8">
        <v>29847612215.348003</v>
      </c>
      <c r="E1026" s="8">
        <v>74068349524</v>
      </c>
      <c r="F1026" s="8">
        <v>54500091</v>
      </c>
      <c r="G1026" s="8">
        <v>-0.97204641400000003</v>
      </c>
      <c r="H1026" s="8"/>
      <c r="I1026" s="8">
        <v>547.66</v>
      </c>
      <c r="J1026" s="8">
        <v>1359.05</v>
      </c>
      <c r="K1026" s="8">
        <v>40.299999999999997</v>
      </c>
      <c r="L1026" s="8">
        <v>69</v>
      </c>
      <c r="M1026" s="8">
        <v>29505986113.870007</v>
      </c>
      <c r="N1026" s="8">
        <v>1.1599999999999999</v>
      </c>
      <c r="O1026" s="8" t="str">
        <f>vw_scenario_analysis_dataset[[#This Row],[reporter_name]] &amp; "-" &amp; vw_scenario_analysis_dataset[[#This Row],[reference_year]]</f>
        <v>Myanmar-2024</v>
      </c>
    </row>
    <row r="1027" spans="1:15" x14ac:dyDescent="0.3">
      <c r="A1027" s="8" t="s">
        <v>244</v>
      </c>
      <c r="B1027" s="8" t="s">
        <v>245</v>
      </c>
      <c r="C1027" s="8">
        <v>2015</v>
      </c>
      <c r="D1027" s="8">
        <v>706159023</v>
      </c>
      <c r="E1027" s="8">
        <v>4010884107</v>
      </c>
      <c r="F1027" s="8">
        <v>624651</v>
      </c>
      <c r="G1027" s="8">
        <v>2.5230633400000002</v>
      </c>
      <c r="H1027" s="8">
        <v>104.1251089</v>
      </c>
      <c r="I1027" s="8">
        <v>1130.49</v>
      </c>
      <c r="J1027" s="8">
        <v>6421</v>
      </c>
      <c r="K1027" s="8">
        <v>17.61</v>
      </c>
      <c r="L1027" s="8">
        <v>146</v>
      </c>
      <c r="M1027" s="8"/>
      <c r="N1027" s="8"/>
      <c r="O1027" s="8" t="str">
        <f>vw_scenario_analysis_dataset[[#This Row],[reporter_name]] &amp; "-" &amp; vw_scenario_analysis_dataset[[#This Row],[reference_year]]</f>
        <v>Montenegro-2015</v>
      </c>
    </row>
    <row r="1028" spans="1:15" x14ac:dyDescent="0.3">
      <c r="A1028" s="8" t="s">
        <v>244</v>
      </c>
      <c r="B1028" s="8" t="s">
        <v>245</v>
      </c>
      <c r="C1028" s="8">
        <v>2016</v>
      </c>
      <c r="D1028" s="8">
        <v>710120747.86800039</v>
      </c>
      <c r="E1028" s="8">
        <v>4357467226</v>
      </c>
      <c r="F1028" s="8">
        <v>625353</v>
      </c>
      <c r="G1028" s="8">
        <v>3.4393056209999999</v>
      </c>
      <c r="H1028" s="8">
        <v>104.13595460000001</v>
      </c>
      <c r="I1028" s="8">
        <v>1135.55</v>
      </c>
      <c r="J1028" s="8">
        <v>6968.01</v>
      </c>
      <c r="K1028" s="8">
        <v>16.3</v>
      </c>
      <c r="L1028" s="8">
        <v>149</v>
      </c>
      <c r="M1028" s="8">
        <v>706159023</v>
      </c>
      <c r="N1028" s="8">
        <v>0.56000000000000005</v>
      </c>
      <c r="O1028" s="8" t="str">
        <f>vw_scenario_analysis_dataset[[#This Row],[reporter_name]] &amp; "-" &amp; vw_scenario_analysis_dataset[[#This Row],[reference_year]]</f>
        <v>Montenegro-2016</v>
      </c>
    </row>
    <row r="1029" spans="1:15" x14ac:dyDescent="0.3">
      <c r="A1029" s="8" t="s">
        <v>244</v>
      </c>
      <c r="B1029" s="8" t="s">
        <v>245</v>
      </c>
      <c r="C1029" s="8">
        <v>2017</v>
      </c>
      <c r="D1029" s="8">
        <v>841741775.89800024</v>
      </c>
      <c r="E1029" s="8">
        <v>4803964684</v>
      </c>
      <c r="F1029" s="8">
        <v>625982</v>
      </c>
      <c r="G1029" s="8">
        <v>3.2166850469999999</v>
      </c>
      <c r="H1029" s="8">
        <v>106.7113667</v>
      </c>
      <c r="I1029" s="8">
        <v>1344.67</v>
      </c>
      <c r="J1029" s="8">
        <v>7674.29</v>
      </c>
      <c r="K1029" s="8">
        <v>17.52</v>
      </c>
      <c r="L1029" s="8">
        <v>146</v>
      </c>
      <c r="M1029" s="8">
        <v>710120747.86800039</v>
      </c>
      <c r="N1029" s="8">
        <v>18.54</v>
      </c>
      <c r="O1029" s="8" t="str">
        <f>vw_scenario_analysis_dataset[[#This Row],[reporter_name]] &amp; "-" &amp; vw_scenario_analysis_dataset[[#This Row],[reference_year]]</f>
        <v>Montenegro-2017</v>
      </c>
    </row>
    <row r="1030" spans="1:15" x14ac:dyDescent="0.3">
      <c r="A1030" s="8" t="s">
        <v>244</v>
      </c>
      <c r="B1030" s="8" t="s">
        <v>245</v>
      </c>
      <c r="C1030" s="8">
        <v>2018</v>
      </c>
      <c r="D1030" s="8">
        <v>931994715.08600044</v>
      </c>
      <c r="E1030" s="8">
        <v>5433469311</v>
      </c>
      <c r="F1030" s="8">
        <v>626438</v>
      </c>
      <c r="G1030" s="8">
        <v>4.7329211339999997</v>
      </c>
      <c r="H1030" s="8">
        <v>111.0989355</v>
      </c>
      <c r="I1030" s="8">
        <v>1487.77</v>
      </c>
      <c r="J1030" s="8">
        <v>8673.59</v>
      </c>
      <c r="K1030" s="8">
        <v>17.149999999999999</v>
      </c>
      <c r="L1030" s="8">
        <v>143</v>
      </c>
      <c r="M1030" s="8">
        <v>841741775.89800024</v>
      </c>
      <c r="N1030" s="8">
        <v>10.72</v>
      </c>
      <c r="O1030" s="8" t="str">
        <f>vw_scenario_analysis_dataset[[#This Row],[reporter_name]] &amp; "-" &amp; vw_scenario_analysis_dataset[[#This Row],[reference_year]]</f>
        <v>Montenegro-2018</v>
      </c>
    </row>
    <row r="1031" spans="1:15" x14ac:dyDescent="0.3">
      <c r="A1031" s="8" t="s">
        <v>244</v>
      </c>
      <c r="B1031" s="8" t="s">
        <v>245</v>
      </c>
      <c r="C1031" s="8">
        <v>2019</v>
      </c>
      <c r="D1031" s="8">
        <v>926404558.01799989</v>
      </c>
      <c r="E1031" s="8">
        <v>5483622632</v>
      </c>
      <c r="F1031" s="8">
        <v>626753</v>
      </c>
      <c r="G1031" s="8">
        <v>4.3939156580000001</v>
      </c>
      <c r="H1031" s="8">
        <v>110.0161239</v>
      </c>
      <c r="I1031" s="8">
        <v>1478.1</v>
      </c>
      <c r="J1031" s="8">
        <v>8749.26</v>
      </c>
      <c r="K1031" s="8">
        <v>16.89</v>
      </c>
      <c r="L1031" s="8">
        <v>141</v>
      </c>
      <c r="M1031" s="8">
        <v>931994715.08600044</v>
      </c>
      <c r="N1031" s="8">
        <v>-0.6</v>
      </c>
      <c r="O1031" s="8" t="str">
        <f>vw_scenario_analysis_dataset[[#This Row],[reporter_name]] &amp; "-" &amp; vw_scenario_analysis_dataset[[#This Row],[reference_year]]</f>
        <v>Montenegro-2019</v>
      </c>
    </row>
    <row r="1032" spans="1:15" x14ac:dyDescent="0.3">
      <c r="A1032" s="8" t="s">
        <v>244</v>
      </c>
      <c r="B1032" s="8" t="s">
        <v>245</v>
      </c>
      <c r="C1032" s="8">
        <v>2020</v>
      </c>
      <c r="D1032" s="8">
        <v>819691171.03299987</v>
      </c>
      <c r="E1032" s="8">
        <v>4734192593</v>
      </c>
      <c r="F1032" s="8">
        <v>626590</v>
      </c>
      <c r="G1032" s="8">
        <v>-14.9926187</v>
      </c>
      <c r="H1032" s="8">
        <v>87.861202710000001</v>
      </c>
      <c r="I1032" s="8">
        <v>1308.18</v>
      </c>
      <c r="J1032" s="8">
        <v>7555.49</v>
      </c>
      <c r="K1032" s="8">
        <v>17.309999999999999</v>
      </c>
      <c r="L1032" s="8">
        <v>138</v>
      </c>
      <c r="M1032" s="8">
        <v>926404558.01799989</v>
      </c>
      <c r="N1032" s="8">
        <v>-11.52</v>
      </c>
      <c r="O1032" s="8" t="str">
        <f>vw_scenario_analysis_dataset[[#This Row],[reporter_name]] &amp; "-" &amp; vw_scenario_analysis_dataset[[#This Row],[reference_year]]</f>
        <v>Montenegro-2020</v>
      </c>
    </row>
    <row r="1033" spans="1:15" x14ac:dyDescent="0.3">
      <c r="A1033" s="8" t="s">
        <v>244</v>
      </c>
      <c r="B1033" s="8" t="s">
        <v>245</v>
      </c>
      <c r="C1033" s="8">
        <v>2021</v>
      </c>
      <c r="D1033" s="8">
        <v>1031832607.624001</v>
      </c>
      <c r="E1033" s="8">
        <v>5822908964</v>
      </c>
      <c r="F1033" s="8">
        <v>625053</v>
      </c>
      <c r="G1033" s="8">
        <v>13.046260739999999</v>
      </c>
      <c r="H1033" s="8">
        <v>105.71924919999999</v>
      </c>
      <c r="I1033" s="8">
        <v>1650.79</v>
      </c>
      <c r="J1033" s="8">
        <v>9315.86</v>
      </c>
      <c r="K1033" s="8">
        <v>17.72</v>
      </c>
      <c r="L1033" s="8">
        <v>140</v>
      </c>
      <c r="M1033" s="8">
        <v>819691171.03299987</v>
      </c>
      <c r="N1033" s="8">
        <v>25.88</v>
      </c>
      <c r="O1033" s="8" t="str">
        <f>vw_scenario_analysis_dataset[[#This Row],[reporter_name]] &amp; "-" &amp; vw_scenario_analysis_dataset[[#This Row],[reference_year]]</f>
        <v>Montenegro-2021</v>
      </c>
    </row>
    <row r="1034" spans="1:15" x14ac:dyDescent="0.3">
      <c r="A1034" s="8" t="s">
        <v>244</v>
      </c>
      <c r="B1034" s="8" t="s">
        <v>245</v>
      </c>
      <c r="C1034" s="8">
        <v>2022</v>
      </c>
      <c r="D1034" s="8">
        <v>1472728254.3319995</v>
      </c>
      <c r="E1034" s="8">
        <v>6259721790</v>
      </c>
      <c r="F1034" s="8">
        <v>623591</v>
      </c>
      <c r="G1034" s="8">
        <v>7.7395468950000001</v>
      </c>
      <c r="H1034" s="8">
        <v>125.4559378</v>
      </c>
      <c r="I1034" s="8">
        <v>2361.69</v>
      </c>
      <c r="J1034" s="8">
        <v>10038.18</v>
      </c>
      <c r="K1034" s="8">
        <v>23.53</v>
      </c>
      <c r="L1034" s="8">
        <v>134</v>
      </c>
      <c r="M1034" s="8">
        <v>1031832607.624001</v>
      </c>
      <c r="N1034" s="8">
        <v>42.73</v>
      </c>
      <c r="O1034" s="8" t="str">
        <f>vw_scenario_analysis_dataset[[#This Row],[reporter_name]] &amp; "-" &amp; vw_scenario_analysis_dataset[[#This Row],[reference_year]]</f>
        <v>Montenegro-2022</v>
      </c>
    </row>
    <row r="1035" spans="1:15" x14ac:dyDescent="0.3">
      <c r="A1035" s="8" t="s">
        <v>244</v>
      </c>
      <c r="B1035" s="8" t="s">
        <v>245</v>
      </c>
      <c r="C1035" s="8">
        <v>2023</v>
      </c>
      <c r="D1035" s="8">
        <v>1445040465.6290002</v>
      </c>
      <c r="E1035" s="8">
        <v>7643318276</v>
      </c>
      <c r="F1035" s="8">
        <v>623529</v>
      </c>
      <c r="G1035" s="8">
        <v>6.4783628350000004</v>
      </c>
      <c r="H1035" s="8">
        <v>116.8066695</v>
      </c>
      <c r="I1035" s="8">
        <v>2317.52</v>
      </c>
      <c r="J1035" s="8">
        <v>12258.16</v>
      </c>
      <c r="K1035" s="8">
        <v>18.91</v>
      </c>
      <c r="L1035" s="8">
        <v>131</v>
      </c>
      <c r="M1035" s="8">
        <v>1472728254.3319995</v>
      </c>
      <c r="N1035" s="8">
        <v>-1.88</v>
      </c>
      <c r="O1035" s="8" t="str">
        <f>vw_scenario_analysis_dataset[[#This Row],[reporter_name]] &amp; "-" &amp; vw_scenario_analysis_dataset[[#This Row],[reference_year]]</f>
        <v>Montenegro-2023</v>
      </c>
    </row>
    <row r="1036" spans="1:15" x14ac:dyDescent="0.3">
      <c r="A1036" s="8" t="s">
        <v>244</v>
      </c>
      <c r="B1036" s="8" t="s">
        <v>245</v>
      </c>
      <c r="C1036" s="8">
        <v>2024</v>
      </c>
      <c r="D1036" s="8">
        <v>1321384970.1730001</v>
      </c>
      <c r="E1036" s="8">
        <v>8274290506</v>
      </c>
      <c r="F1036" s="8">
        <v>623525</v>
      </c>
      <c r="G1036" s="8">
        <v>3.164098863</v>
      </c>
      <c r="H1036" s="8">
        <v>109.94410449999999</v>
      </c>
      <c r="I1036" s="8">
        <v>2119.2199999999998</v>
      </c>
      <c r="J1036" s="8">
        <v>13270.18</v>
      </c>
      <c r="K1036" s="8">
        <v>15.97</v>
      </c>
      <c r="L1036" s="8">
        <v>117</v>
      </c>
      <c r="M1036" s="8">
        <v>1445040465.6290002</v>
      </c>
      <c r="N1036" s="8">
        <v>-8.56</v>
      </c>
      <c r="O1036" s="8" t="str">
        <f>vw_scenario_analysis_dataset[[#This Row],[reporter_name]] &amp; "-" &amp; vw_scenario_analysis_dataset[[#This Row],[reference_year]]</f>
        <v>Montenegro-2024</v>
      </c>
    </row>
    <row r="1037" spans="1:15" x14ac:dyDescent="0.3">
      <c r="A1037" s="8" t="s">
        <v>246</v>
      </c>
      <c r="B1037" s="8" t="s">
        <v>247</v>
      </c>
      <c r="C1037" s="8">
        <v>2015</v>
      </c>
      <c r="D1037" s="8">
        <v>9338560911</v>
      </c>
      <c r="E1037" s="8">
        <v>11619892591</v>
      </c>
      <c r="F1037" s="8">
        <v>3026864</v>
      </c>
      <c r="G1037" s="8">
        <v>2.3798358070000001</v>
      </c>
      <c r="H1037" s="8">
        <v>89.653663480000006</v>
      </c>
      <c r="I1037" s="8">
        <v>3085.23</v>
      </c>
      <c r="J1037" s="8">
        <v>3838.92</v>
      </c>
      <c r="K1037" s="8">
        <v>80.37</v>
      </c>
      <c r="L1037" s="8">
        <v>98</v>
      </c>
      <c r="M1037" s="8"/>
      <c r="N1037" s="8"/>
      <c r="O1037" s="8" t="str">
        <f>vw_scenario_analysis_dataset[[#This Row],[reporter_name]] &amp; "-" &amp; vw_scenario_analysis_dataset[[#This Row],[reference_year]]</f>
        <v>Mongolia-2015</v>
      </c>
    </row>
    <row r="1038" spans="1:15" x14ac:dyDescent="0.3">
      <c r="A1038" s="8" t="s">
        <v>246</v>
      </c>
      <c r="B1038" s="8" t="s">
        <v>247</v>
      </c>
      <c r="C1038" s="8">
        <v>2016</v>
      </c>
      <c r="D1038" s="8">
        <v>9832652922</v>
      </c>
      <c r="E1038" s="8">
        <v>11181350649</v>
      </c>
      <c r="F1038" s="8">
        <v>3088856</v>
      </c>
      <c r="G1038" s="8">
        <v>1.4897844870000001</v>
      </c>
      <c r="H1038" s="8">
        <v>101.05523719999999</v>
      </c>
      <c r="I1038" s="8">
        <v>3183.27</v>
      </c>
      <c r="J1038" s="8">
        <v>3619.9</v>
      </c>
      <c r="K1038" s="8">
        <v>87.94</v>
      </c>
      <c r="L1038" s="8">
        <v>95</v>
      </c>
      <c r="M1038" s="8">
        <v>9338560911</v>
      </c>
      <c r="N1038" s="8">
        <v>5.29</v>
      </c>
      <c r="O1038" s="8" t="str">
        <f>vw_scenario_analysis_dataset[[#This Row],[reporter_name]] &amp; "-" &amp; vw_scenario_analysis_dataset[[#This Row],[reference_year]]</f>
        <v>Mongolia-2016</v>
      </c>
    </row>
    <row r="1039" spans="1:15" x14ac:dyDescent="0.3">
      <c r="A1039" s="8" t="s">
        <v>246</v>
      </c>
      <c r="B1039" s="8" t="s">
        <v>247</v>
      </c>
      <c r="C1039" s="8">
        <v>2017</v>
      </c>
      <c r="D1039" s="8">
        <v>12401185903.680006</v>
      </c>
      <c r="E1039" s="8">
        <v>11480847741</v>
      </c>
      <c r="F1039" s="8">
        <v>3148917</v>
      </c>
      <c r="G1039" s="8">
        <v>5.636876387</v>
      </c>
      <c r="H1039" s="8">
        <v>115.9329019</v>
      </c>
      <c r="I1039" s="8">
        <v>3938.24</v>
      </c>
      <c r="J1039" s="8">
        <v>3645.97</v>
      </c>
      <c r="K1039" s="8">
        <v>108.02</v>
      </c>
      <c r="L1039" s="8">
        <v>91</v>
      </c>
      <c r="M1039" s="8">
        <v>9832652922</v>
      </c>
      <c r="N1039" s="8">
        <v>26.12</v>
      </c>
      <c r="O1039" s="8" t="str">
        <f>vw_scenario_analysis_dataset[[#This Row],[reporter_name]] &amp; "-" &amp; vw_scenario_analysis_dataset[[#This Row],[reference_year]]</f>
        <v>Mongolia-2017</v>
      </c>
    </row>
    <row r="1040" spans="1:15" x14ac:dyDescent="0.3">
      <c r="A1040" s="8" t="s">
        <v>246</v>
      </c>
      <c r="B1040" s="8" t="s">
        <v>247</v>
      </c>
      <c r="C1040" s="8">
        <v>2018</v>
      </c>
      <c r="D1040" s="8">
        <v>14023515369.629997</v>
      </c>
      <c r="E1040" s="8">
        <v>13178094720</v>
      </c>
      <c r="F1040" s="8">
        <v>3208189</v>
      </c>
      <c r="G1040" s="8">
        <v>7.74488062</v>
      </c>
      <c r="H1040" s="8">
        <v>126.3558732</v>
      </c>
      <c r="I1040" s="8">
        <v>4371.16</v>
      </c>
      <c r="J1040" s="8">
        <v>4107.6400000000003</v>
      </c>
      <c r="K1040" s="8">
        <v>106.42</v>
      </c>
      <c r="L1040" s="8">
        <v>91</v>
      </c>
      <c r="M1040" s="8">
        <v>12401185903.680006</v>
      </c>
      <c r="N1040" s="8">
        <v>13.08</v>
      </c>
      <c r="O1040" s="8" t="str">
        <f>vw_scenario_analysis_dataset[[#This Row],[reporter_name]] &amp; "-" &amp; vw_scenario_analysis_dataset[[#This Row],[reference_year]]</f>
        <v>Mongolia-2018</v>
      </c>
    </row>
    <row r="1041" spans="1:15" x14ac:dyDescent="0.3">
      <c r="A1041" s="8" t="s">
        <v>246</v>
      </c>
      <c r="B1041" s="8" t="s">
        <v>247</v>
      </c>
      <c r="C1041" s="8">
        <v>2019</v>
      </c>
      <c r="D1041" s="8">
        <v>15239507799.921995</v>
      </c>
      <c r="E1041" s="8">
        <v>14206359018</v>
      </c>
      <c r="F1041" s="8">
        <v>3267673</v>
      </c>
      <c r="G1041" s="8">
        <v>5.6022442210000003</v>
      </c>
      <c r="H1041" s="8">
        <v>124.3965146</v>
      </c>
      <c r="I1041" s="8">
        <v>4663.72</v>
      </c>
      <c r="J1041" s="8">
        <v>4347.55</v>
      </c>
      <c r="K1041" s="8">
        <v>107.27</v>
      </c>
      <c r="L1041" s="8">
        <v>87</v>
      </c>
      <c r="M1041" s="8">
        <v>14023515369.629997</v>
      </c>
      <c r="N1041" s="8">
        <v>8.67</v>
      </c>
      <c r="O1041" s="8" t="str">
        <f>vw_scenario_analysis_dataset[[#This Row],[reporter_name]] &amp; "-" &amp; vw_scenario_analysis_dataset[[#This Row],[reference_year]]</f>
        <v>Mongolia-2019</v>
      </c>
    </row>
    <row r="1042" spans="1:15" x14ac:dyDescent="0.3">
      <c r="A1042" s="8" t="s">
        <v>246</v>
      </c>
      <c r="B1042" s="8" t="s">
        <v>247</v>
      </c>
      <c r="C1042" s="8">
        <v>2020</v>
      </c>
      <c r="D1042" s="8">
        <v>15152621669.58</v>
      </c>
      <c r="E1042" s="8">
        <v>13312981429</v>
      </c>
      <c r="F1042" s="8">
        <v>3327204</v>
      </c>
      <c r="G1042" s="8">
        <v>-4.5577519759999996</v>
      </c>
      <c r="H1042" s="8">
        <v>112.8386476</v>
      </c>
      <c r="I1042" s="8">
        <v>4554.16</v>
      </c>
      <c r="J1042" s="8">
        <v>4001.25</v>
      </c>
      <c r="K1042" s="8">
        <v>113.82</v>
      </c>
      <c r="L1042" s="8">
        <v>83</v>
      </c>
      <c r="M1042" s="8">
        <v>15239507799.921995</v>
      </c>
      <c r="N1042" s="8">
        <v>-0.56999999999999995</v>
      </c>
      <c r="O1042" s="8" t="str">
        <f>vw_scenario_analysis_dataset[[#This Row],[reporter_name]] &amp; "-" &amp; vw_scenario_analysis_dataset[[#This Row],[reference_year]]</f>
        <v>Mongolia-2020</v>
      </c>
    </row>
    <row r="1043" spans="1:15" x14ac:dyDescent="0.3">
      <c r="A1043" s="8" t="s">
        <v>246</v>
      </c>
      <c r="B1043" s="8" t="s">
        <v>247</v>
      </c>
      <c r="C1043" s="8">
        <v>2021</v>
      </c>
      <c r="D1043" s="8">
        <v>18482246299.880005</v>
      </c>
      <c r="E1043" s="8">
        <v>15286441738</v>
      </c>
      <c r="F1043" s="8">
        <v>3383741</v>
      </c>
      <c r="G1043" s="8">
        <v>1.6367695769999999</v>
      </c>
      <c r="H1043" s="8">
        <v>119.09807840000001</v>
      </c>
      <c r="I1043" s="8">
        <v>5462.07</v>
      </c>
      <c r="J1043" s="8">
        <v>4517.62</v>
      </c>
      <c r="K1043" s="8">
        <v>120.91</v>
      </c>
      <c r="L1043" s="8">
        <v>86</v>
      </c>
      <c r="M1043" s="8">
        <v>15152621669.58</v>
      </c>
      <c r="N1043" s="8">
        <v>21.97</v>
      </c>
      <c r="O1043" s="8" t="str">
        <f>vw_scenario_analysis_dataset[[#This Row],[reporter_name]] &amp; "-" &amp; vw_scenario_analysis_dataset[[#This Row],[reference_year]]</f>
        <v>Mongolia-2021</v>
      </c>
    </row>
    <row r="1044" spans="1:15" x14ac:dyDescent="0.3">
      <c r="A1044" s="8" t="s">
        <v>246</v>
      </c>
      <c r="B1044" s="8" t="s">
        <v>247</v>
      </c>
      <c r="C1044" s="8">
        <v>2022</v>
      </c>
      <c r="D1044" s="8">
        <v>25115413412.546009</v>
      </c>
      <c r="E1044" s="8">
        <v>17146471714</v>
      </c>
      <c r="F1044" s="8">
        <v>3433748</v>
      </c>
      <c r="G1044" s="8">
        <v>5.032709637</v>
      </c>
      <c r="H1044" s="8">
        <v>136.32792989999999</v>
      </c>
      <c r="I1044" s="8">
        <v>7314.29</v>
      </c>
      <c r="J1044" s="8">
        <v>4993.51</v>
      </c>
      <c r="K1044" s="8">
        <v>146.47999999999999</v>
      </c>
      <c r="L1044" s="8">
        <v>80</v>
      </c>
      <c r="M1044" s="8">
        <v>18482246299.880005</v>
      </c>
      <c r="N1044" s="8">
        <v>35.89</v>
      </c>
      <c r="O1044" s="8" t="str">
        <f>vw_scenario_analysis_dataset[[#This Row],[reporter_name]] &amp; "-" &amp; vw_scenario_analysis_dataset[[#This Row],[reference_year]]</f>
        <v>Mongolia-2022</v>
      </c>
    </row>
    <row r="1045" spans="1:15" x14ac:dyDescent="0.3">
      <c r="A1045" s="8" t="s">
        <v>246</v>
      </c>
      <c r="B1045" s="8" t="s">
        <v>247</v>
      </c>
      <c r="C1045" s="8">
        <v>2023</v>
      </c>
      <c r="D1045" s="8">
        <v>30368925422.167995</v>
      </c>
      <c r="E1045" s="8">
        <v>20325121394</v>
      </c>
      <c r="F1045" s="8">
        <v>3481145</v>
      </c>
      <c r="G1045" s="8">
        <v>7.4221127620000003</v>
      </c>
      <c r="H1045" s="8">
        <v>142.8642466</v>
      </c>
      <c r="I1045" s="8">
        <v>8723.83</v>
      </c>
      <c r="J1045" s="8">
        <v>5838.63</v>
      </c>
      <c r="K1045" s="8">
        <v>149.41999999999999</v>
      </c>
      <c r="L1045" s="8">
        <v>71</v>
      </c>
      <c r="M1045" s="8">
        <v>25115413412.546009</v>
      </c>
      <c r="N1045" s="8">
        <v>20.92</v>
      </c>
      <c r="O1045" s="8" t="str">
        <f>vw_scenario_analysis_dataset[[#This Row],[reporter_name]] &amp; "-" &amp; vw_scenario_analysis_dataset[[#This Row],[reference_year]]</f>
        <v>Mongolia-2023</v>
      </c>
    </row>
    <row r="1046" spans="1:15" x14ac:dyDescent="0.3">
      <c r="A1046" s="8" t="s">
        <v>248</v>
      </c>
      <c r="B1046" s="8" t="s">
        <v>249</v>
      </c>
      <c r="C1046" s="8">
        <v>2015</v>
      </c>
      <c r="D1046" s="8">
        <v>6461487343.0199995</v>
      </c>
      <c r="E1046" s="8">
        <v>16208985770</v>
      </c>
      <c r="F1046" s="8">
        <v>26547572</v>
      </c>
      <c r="G1046" s="8">
        <v>7.3930936989999996</v>
      </c>
      <c r="H1046" s="8">
        <v>98.761203649999999</v>
      </c>
      <c r="I1046" s="8">
        <v>243.39</v>
      </c>
      <c r="J1046" s="8">
        <v>610.55999999999995</v>
      </c>
      <c r="K1046" s="8">
        <v>39.86</v>
      </c>
      <c r="L1046" s="8">
        <v>107</v>
      </c>
      <c r="M1046" s="8"/>
      <c r="N1046" s="8"/>
      <c r="O1046" s="8" t="str">
        <f>vw_scenario_analysis_dataset[[#This Row],[reporter_name]] &amp; "-" &amp; vw_scenario_analysis_dataset[[#This Row],[reference_year]]</f>
        <v>Mozambique-2015</v>
      </c>
    </row>
    <row r="1047" spans="1:15" x14ac:dyDescent="0.3">
      <c r="A1047" s="8" t="s">
        <v>248</v>
      </c>
      <c r="B1047" s="8" t="s">
        <v>249</v>
      </c>
      <c r="C1047" s="8">
        <v>2016</v>
      </c>
      <c r="D1047" s="8">
        <v>6704218489.7000008</v>
      </c>
      <c r="E1047" s="8">
        <v>12069051237</v>
      </c>
      <c r="F1047" s="8">
        <v>27337105</v>
      </c>
      <c r="G1047" s="8">
        <v>4.696990242</v>
      </c>
      <c r="H1047" s="8">
        <v>110.3943582</v>
      </c>
      <c r="I1047" s="8">
        <v>245.24</v>
      </c>
      <c r="J1047" s="8">
        <v>441.49</v>
      </c>
      <c r="K1047" s="8">
        <v>55.55</v>
      </c>
      <c r="L1047" s="8">
        <v>105</v>
      </c>
      <c r="M1047" s="8">
        <v>6461487343.0199995</v>
      </c>
      <c r="N1047" s="8">
        <v>3.76</v>
      </c>
      <c r="O1047" s="8" t="str">
        <f>vw_scenario_analysis_dataset[[#This Row],[reporter_name]] &amp; "-" &amp; vw_scenario_analysis_dataset[[#This Row],[reference_year]]</f>
        <v>Mozambique-2016</v>
      </c>
    </row>
    <row r="1048" spans="1:15" x14ac:dyDescent="0.3">
      <c r="A1048" s="8" t="s">
        <v>248</v>
      </c>
      <c r="B1048" s="8" t="s">
        <v>249</v>
      </c>
      <c r="C1048" s="8">
        <v>2017</v>
      </c>
      <c r="D1048" s="8">
        <v>9509671841.2250023</v>
      </c>
      <c r="E1048" s="8">
        <v>13264640646</v>
      </c>
      <c r="F1048" s="8">
        <v>28166393</v>
      </c>
      <c r="G1048" s="8">
        <v>2.6382073730000002</v>
      </c>
      <c r="H1048" s="8">
        <v>105.7456407</v>
      </c>
      <c r="I1048" s="8">
        <v>337.62</v>
      </c>
      <c r="J1048" s="8">
        <v>470.94</v>
      </c>
      <c r="K1048" s="8">
        <v>71.69</v>
      </c>
      <c r="L1048" s="8">
        <v>103</v>
      </c>
      <c r="M1048" s="8">
        <v>6704218489.7000008</v>
      </c>
      <c r="N1048" s="8">
        <v>41.85</v>
      </c>
      <c r="O1048" s="8" t="str">
        <f>vw_scenario_analysis_dataset[[#This Row],[reporter_name]] &amp; "-" &amp; vw_scenario_analysis_dataset[[#This Row],[reference_year]]</f>
        <v>Mozambique-2017</v>
      </c>
    </row>
    <row r="1049" spans="1:15" x14ac:dyDescent="0.3">
      <c r="A1049" s="8" t="s">
        <v>248</v>
      </c>
      <c r="B1049" s="8" t="s">
        <v>249</v>
      </c>
      <c r="C1049" s="8">
        <v>2018</v>
      </c>
      <c r="D1049" s="8">
        <v>12073139382.215006</v>
      </c>
      <c r="E1049" s="8">
        <v>15017358953</v>
      </c>
      <c r="F1049" s="8">
        <v>29018644</v>
      </c>
      <c r="G1049" s="8">
        <v>3.4849320239999999</v>
      </c>
      <c r="H1049" s="8">
        <v>124.6074575</v>
      </c>
      <c r="I1049" s="8">
        <v>416.05</v>
      </c>
      <c r="J1049" s="8">
        <v>517.51</v>
      </c>
      <c r="K1049" s="8">
        <v>80.39</v>
      </c>
      <c r="L1049" s="8">
        <v>96</v>
      </c>
      <c r="M1049" s="8">
        <v>9509671841.2250023</v>
      </c>
      <c r="N1049" s="8">
        <v>26.96</v>
      </c>
      <c r="O1049" s="8" t="str">
        <f>vw_scenario_analysis_dataset[[#This Row],[reporter_name]] &amp; "-" &amp; vw_scenario_analysis_dataset[[#This Row],[reference_year]]</f>
        <v>Mozambique-2018</v>
      </c>
    </row>
    <row r="1050" spans="1:15" x14ac:dyDescent="0.3">
      <c r="A1050" s="8" t="s">
        <v>248</v>
      </c>
      <c r="B1050" s="8" t="s">
        <v>249</v>
      </c>
      <c r="C1050" s="8">
        <v>2019</v>
      </c>
      <c r="D1050" s="8">
        <v>9573492499.1349964</v>
      </c>
      <c r="E1050" s="8">
        <v>15512759047</v>
      </c>
      <c r="F1050" s="8">
        <v>29884380</v>
      </c>
      <c r="G1050" s="8">
        <v>2.317813948</v>
      </c>
      <c r="H1050" s="8">
        <v>105.59117139999999</v>
      </c>
      <c r="I1050" s="8">
        <v>320.35000000000002</v>
      </c>
      <c r="J1050" s="8">
        <v>519.09</v>
      </c>
      <c r="K1050" s="8">
        <v>61.71</v>
      </c>
      <c r="L1050" s="8">
        <v>101</v>
      </c>
      <c r="M1050" s="8">
        <v>12073139382.215006</v>
      </c>
      <c r="N1050" s="8">
        <v>-20.7</v>
      </c>
      <c r="O1050" s="8" t="str">
        <f>vw_scenario_analysis_dataset[[#This Row],[reporter_name]] &amp; "-" &amp; vw_scenario_analysis_dataset[[#This Row],[reference_year]]</f>
        <v>Mozambique-2019</v>
      </c>
    </row>
    <row r="1051" spans="1:15" x14ac:dyDescent="0.3">
      <c r="A1051" s="8" t="s">
        <v>248</v>
      </c>
      <c r="B1051" s="8" t="s">
        <v>249</v>
      </c>
      <c r="C1051" s="8">
        <v>2020</v>
      </c>
      <c r="D1051" s="8">
        <v>7439861800.9039984</v>
      </c>
      <c r="E1051" s="8">
        <v>14235420174</v>
      </c>
      <c r="F1051" s="8">
        <v>30783688</v>
      </c>
      <c r="G1051" s="8">
        <v>-1.2195225000000001</v>
      </c>
      <c r="H1051" s="8">
        <v>99.906146050000004</v>
      </c>
      <c r="I1051" s="8">
        <v>241.68</v>
      </c>
      <c r="J1051" s="8">
        <v>462.43</v>
      </c>
      <c r="K1051" s="8">
        <v>52.26</v>
      </c>
      <c r="L1051" s="8">
        <v>108</v>
      </c>
      <c r="M1051" s="8">
        <v>9573492499.1349964</v>
      </c>
      <c r="N1051" s="8">
        <v>-22.29</v>
      </c>
      <c r="O1051" s="8" t="str">
        <f>vw_scenario_analysis_dataset[[#This Row],[reporter_name]] &amp; "-" &amp; vw_scenario_analysis_dataset[[#This Row],[reference_year]]</f>
        <v>Mozambique-2020</v>
      </c>
    </row>
    <row r="1052" spans="1:15" x14ac:dyDescent="0.3">
      <c r="A1052" s="8" t="s">
        <v>248</v>
      </c>
      <c r="B1052" s="8" t="s">
        <v>249</v>
      </c>
      <c r="C1052" s="8">
        <v>2021</v>
      </c>
      <c r="D1052" s="8">
        <v>11408966623.387003</v>
      </c>
      <c r="E1052" s="8">
        <v>16168055475</v>
      </c>
      <c r="F1052" s="8">
        <v>31707800</v>
      </c>
      <c r="G1052" s="8">
        <v>2.377435728</v>
      </c>
      <c r="H1052" s="8">
        <v>112.0789645</v>
      </c>
      <c r="I1052" s="8">
        <v>359.82</v>
      </c>
      <c r="J1052" s="8">
        <v>509.91</v>
      </c>
      <c r="K1052" s="8">
        <v>70.56</v>
      </c>
      <c r="L1052" s="8">
        <v>100</v>
      </c>
      <c r="M1052" s="8">
        <v>7439861800.9039984</v>
      </c>
      <c r="N1052" s="8">
        <v>53.35</v>
      </c>
      <c r="O1052" s="8" t="str">
        <f>vw_scenario_analysis_dataset[[#This Row],[reporter_name]] &amp; "-" &amp; vw_scenario_analysis_dataset[[#This Row],[reference_year]]</f>
        <v>Mozambique-2021</v>
      </c>
    </row>
    <row r="1053" spans="1:15" x14ac:dyDescent="0.3">
      <c r="A1053" s="8" t="s">
        <v>248</v>
      </c>
      <c r="B1053" s="8" t="s">
        <v>249</v>
      </c>
      <c r="C1053" s="8">
        <v>2022</v>
      </c>
      <c r="D1053" s="8">
        <v>16597747353.857998</v>
      </c>
      <c r="E1053" s="8">
        <v>18884232599</v>
      </c>
      <c r="F1053" s="8">
        <v>32656246</v>
      </c>
      <c r="G1053" s="8">
        <v>4.369308019</v>
      </c>
      <c r="H1053" s="8">
        <v>135.27453510000001</v>
      </c>
      <c r="I1053" s="8">
        <v>508.26</v>
      </c>
      <c r="J1053" s="8">
        <v>578.27</v>
      </c>
      <c r="K1053" s="8">
        <v>87.89</v>
      </c>
      <c r="L1053" s="8">
        <v>93</v>
      </c>
      <c r="M1053" s="8">
        <v>11408966623.387003</v>
      </c>
      <c r="N1053" s="8">
        <v>45.48</v>
      </c>
      <c r="O1053" s="8" t="str">
        <f>vw_scenario_analysis_dataset[[#This Row],[reporter_name]] &amp; "-" &amp; vw_scenario_analysis_dataset[[#This Row],[reference_year]]</f>
        <v>Mozambique-2022</v>
      </c>
    </row>
    <row r="1054" spans="1:15" x14ac:dyDescent="0.3">
      <c r="A1054" s="8" t="s">
        <v>248</v>
      </c>
      <c r="B1054" s="8" t="s">
        <v>249</v>
      </c>
      <c r="C1054" s="8">
        <v>2023</v>
      </c>
      <c r="D1054" s="8">
        <v>16551946000</v>
      </c>
      <c r="E1054" s="8">
        <v>20927498317</v>
      </c>
      <c r="F1054" s="8">
        <v>33635160</v>
      </c>
      <c r="G1054" s="8">
        <v>5.5038445669999998</v>
      </c>
      <c r="H1054" s="8">
        <v>106.02608360000001</v>
      </c>
      <c r="I1054" s="8">
        <v>492.1</v>
      </c>
      <c r="J1054" s="8">
        <v>622.19000000000005</v>
      </c>
      <c r="K1054" s="8">
        <v>79.09</v>
      </c>
      <c r="L1054" s="8">
        <v>90</v>
      </c>
      <c r="M1054" s="8">
        <v>16597747353.857998</v>
      </c>
      <c r="N1054" s="8">
        <v>-0.28000000000000003</v>
      </c>
      <c r="O1054" s="8" t="str">
        <f>vw_scenario_analysis_dataset[[#This Row],[reporter_name]] &amp; "-" &amp; vw_scenario_analysis_dataset[[#This Row],[reference_year]]</f>
        <v>Mozambique-2023</v>
      </c>
    </row>
    <row r="1055" spans="1:15" x14ac:dyDescent="0.3">
      <c r="A1055" s="8" t="s">
        <v>248</v>
      </c>
      <c r="B1055" s="8" t="s">
        <v>249</v>
      </c>
      <c r="C1055" s="8">
        <v>2024</v>
      </c>
      <c r="D1055" s="8">
        <v>16422577005.199993</v>
      </c>
      <c r="E1055" s="8">
        <v>22752244245</v>
      </c>
      <c r="F1055" s="8">
        <v>34631766</v>
      </c>
      <c r="G1055" s="8">
        <v>2.1489249909999999</v>
      </c>
      <c r="H1055" s="8">
        <v>95.63039766</v>
      </c>
      <c r="I1055" s="8">
        <v>474.21</v>
      </c>
      <c r="J1055" s="8">
        <v>656.98</v>
      </c>
      <c r="K1055" s="8">
        <v>72.180000000000007</v>
      </c>
      <c r="L1055" s="8">
        <v>85</v>
      </c>
      <c r="M1055" s="8">
        <v>16551946000</v>
      </c>
      <c r="N1055" s="8">
        <v>-0.78</v>
      </c>
      <c r="O1055" s="8" t="str">
        <f>vw_scenario_analysis_dataset[[#This Row],[reporter_name]] &amp; "-" &amp; vw_scenario_analysis_dataset[[#This Row],[reference_year]]</f>
        <v>Mozambique-2024</v>
      </c>
    </row>
    <row r="1056" spans="1:15" x14ac:dyDescent="0.3">
      <c r="A1056" s="8" t="s">
        <v>250</v>
      </c>
      <c r="B1056" s="8" t="s">
        <v>251</v>
      </c>
      <c r="C1056" s="8">
        <v>2015</v>
      </c>
      <c r="D1056" s="8">
        <v>3663454278.3999982</v>
      </c>
      <c r="E1056" s="8">
        <v>6182303677</v>
      </c>
      <c r="F1056" s="8">
        <v>3965959</v>
      </c>
      <c r="G1056" s="8">
        <v>5.3763392369999998</v>
      </c>
      <c r="H1056" s="8">
        <v>77.34678649</v>
      </c>
      <c r="I1056" s="8">
        <v>923.72</v>
      </c>
      <c r="J1056" s="8">
        <v>1558.84</v>
      </c>
      <c r="K1056" s="8">
        <v>59.26</v>
      </c>
      <c r="L1056" s="8">
        <v>119</v>
      </c>
      <c r="M1056" s="8"/>
      <c r="N1056" s="8"/>
      <c r="O1056" s="8" t="str">
        <f>vw_scenario_analysis_dataset[[#This Row],[reporter_name]] &amp; "-" &amp; vw_scenario_analysis_dataset[[#This Row],[reference_year]]</f>
        <v>Mauritania-2015</v>
      </c>
    </row>
    <row r="1057" spans="1:15" x14ac:dyDescent="0.3">
      <c r="A1057" s="8" t="s">
        <v>250</v>
      </c>
      <c r="B1057" s="8" t="s">
        <v>251</v>
      </c>
      <c r="C1057" s="8">
        <v>2016</v>
      </c>
      <c r="D1057" s="8">
        <v>3245523196</v>
      </c>
      <c r="E1057" s="8">
        <v>6407900701</v>
      </c>
      <c r="F1057" s="8">
        <v>4086657</v>
      </c>
      <c r="G1057" s="8">
        <v>1.2609092239999999</v>
      </c>
      <c r="H1057" s="8">
        <v>73.153261670000006</v>
      </c>
      <c r="I1057" s="8">
        <v>794.18</v>
      </c>
      <c r="J1057" s="8">
        <v>1568.01</v>
      </c>
      <c r="K1057" s="8">
        <v>50.65</v>
      </c>
      <c r="L1057" s="8">
        <v>125</v>
      </c>
      <c r="M1057" s="8">
        <v>3663454278.3999982</v>
      </c>
      <c r="N1057" s="8">
        <v>-11.41</v>
      </c>
      <c r="O1057" s="8" t="str">
        <f>vw_scenario_analysis_dataset[[#This Row],[reporter_name]] &amp; "-" &amp; vw_scenario_analysis_dataset[[#This Row],[reference_year]]</f>
        <v>Mauritania-2016</v>
      </c>
    </row>
    <row r="1058" spans="1:15" x14ac:dyDescent="0.3">
      <c r="A1058" s="8" t="s">
        <v>250</v>
      </c>
      <c r="B1058" s="8" t="s">
        <v>251</v>
      </c>
      <c r="C1058" s="8">
        <v>2017</v>
      </c>
      <c r="D1058" s="8">
        <v>3978861542.2999988</v>
      </c>
      <c r="E1058" s="8">
        <v>6812472965</v>
      </c>
      <c r="F1058" s="8">
        <v>4210600</v>
      </c>
      <c r="G1058" s="8">
        <v>6.2705456939999999</v>
      </c>
      <c r="H1058" s="8">
        <v>78.814980180000006</v>
      </c>
      <c r="I1058" s="8">
        <v>944.96</v>
      </c>
      <c r="J1058" s="8">
        <v>1617.93</v>
      </c>
      <c r="K1058" s="8">
        <v>58.41</v>
      </c>
      <c r="L1058" s="8">
        <v>124</v>
      </c>
      <c r="M1058" s="8">
        <v>3245523196</v>
      </c>
      <c r="N1058" s="8">
        <v>22.6</v>
      </c>
      <c r="O1058" s="8" t="str">
        <f>vw_scenario_analysis_dataset[[#This Row],[reporter_name]] &amp; "-" &amp; vw_scenario_analysis_dataset[[#This Row],[reference_year]]</f>
        <v>Mauritania-2017</v>
      </c>
    </row>
    <row r="1059" spans="1:15" x14ac:dyDescent="0.3">
      <c r="A1059" s="8" t="s">
        <v>250</v>
      </c>
      <c r="B1059" s="8" t="s">
        <v>251</v>
      </c>
      <c r="C1059" s="8">
        <v>2018</v>
      </c>
      <c r="D1059" s="8">
        <v>4103709085.9399996</v>
      </c>
      <c r="E1059" s="8">
        <v>7475471310</v>
      </c>
      <c r="F1059" s="8">
        <v>4337685</v>
      </c>
      <c r="G1059" s="8">
        <v>4.772173639</v>
      </c>
      <c r="H1059" s="8">
        <v>89.146729489999998</v>
      </c>
      <c r="I1059" s="8">
        <v>946.06</v>
      </c>
      <c r="J1059" s="8">
        <v>1723.38</v>
      </c>
      <c r="K1059" s="8">
        <v>54.9</v>
      </c>
      <c r="L1059" s="8">
        <v>120</v>
      </c>
      <c r="M1059" s="8">
        <v>3978861542.2999988</v>
      </c>
      <c r="N1059" s="8">
        <v>3.14</v>
      </c>
      <c r="O1059" s="8" t="str">
        <f>vw_scenario_analysis_dataset[[#This Row],[reporter_name]] &amp; "-" &amp; vw_scenario_analysis_dataset[[#This Row],[reference_year]]</f>
        <v>Mauritania-2018</v>
      </c>
    </row>
    <row r="1060" spans="1:15" x14ac:dyDescent="0.3">
      <c r="A1060" s="8" t="s">
        <v>250</v>
      </c>
      <c r="B1060" s="8" t="s">
        <v>251</v>
      </c>
      <c r="C1060" s="8">
        <v>2019</v>
      </c>
      <c r="D1060" s="8">
        <v>4532939434.3600006</v>
      </c>
      <c r="E1060" s="8">
        <v>7894764886</v>
      </c>
      <c r="F1060" s="8">
        <v>4467708</v>
      </c>
      <c r="G1060" s="8">
        <v>3.1410048929999999</v>
      </c>
      <c r="H1060" s="8">
        <v>93.486694139999997</v>
      </c>
      <c r="I1060" s="8">
        <v>1014.6</v>
      </c>
      <c r="J1060" s="8">
        <v>1767.07</v>
      </c>
      <c r="K1060" s="8">
        <v>57.42</v>
      </c>
      <c r="L1060" s="8">
        <v>119</v>
      </c>
      <c r="M1060" s="8">
        <v>4103709085.9399996</v>
      </c>
      <c r="N1060" s="8">
        <v>10.46</v>
      </c>
      <c r="O1060" s="8" t="str">
        <f>vw_scenario_analysis_dataset[[#This Row],[reporter_name]] &amp; "-" &amp; vw_scenario_analysis_dataset[[#This Row],[reference_year]]</f>
        <v>Mauritania-2019</v>
      </c>
    </row>
    <row r="1061" spans="1:15" x14ac:dyDescent="0.3">
      <c r="A1061" s="8" t="s">
        <v>250</v>
      </c>
      <c r="B1061" s="8" t="s">
        <v>251</v>
      </c>
      <c r="C1061" s="8">
        <v>2020</v>
      </c>
      <c r="D1061" s="8">
        <v>5657609614.2270012</v>
      </c>
      <c r="E1061" s="8">
        <v>8260567357</v>
      </c>
      <c r="F1061" s="8">
        <v>4600131</v>
      </c>
      <c r="G1061" s="8">
        <v>-0.360657387</v>
      </c>
      <c r="H1061" s="8">
        <v>86.776168130000002</v>
      </c>
      <c r="I1061" s="8">
        <v>1229.8800000000001</v>
      </c>
      <c r="J1061" s="8">
        <v>1795.72</v>
      </c>
      <c r="K1061" s="8">
        <v>68.489999999999995</v>
      </c>
      <c r="L1061" s="8">
        <v>113</v>
      </c>
      <c r="M1061" s="8">
        <v>4532939434.3600006</v>
      </c>
      <c r="N1061" s="8">
        <v>24.81</v>
      </c>
      <c r="O1061" s="8" t="str">
        <f>vw_scenario_analysis_dataset[[#This Row],[reporter_name]] &amp; "-" &amp; vw_scenario_analysis_dataset[[#This Row],[reference_year]]</f>
        <v>Mauritania-2020</v>
      </c>
    </row>
    <row r="1062" spans="1:15" x14ac:dyDescent="0.3">
      <c r="A1062" s="8" t="s">
        <v>250</v>
      </c>
      <c r="B1062" s="8" t="s">
        <v>251</v>
      </c>
      <c r="C1062" s="8">
        <v>2021</v>
      </c>
      <c r="D1062" s="8">
        <v>6533977615.5399981</v>
      </c>
      <c r="E1062" s="8">
        <v>9221044667</v>
      </c>
      <c r="F1062" s="8">
        <v>4734874</v>
      </c>
      <c r="G1062" s="8">
        <v>0.74271549800000003</v>
      </c>
      <c r="H1062" s="8">
        <v>88.306873760000002</v>
      </c>
      <c r="I1062" s="8">
        <v>1379.97</v>
      </c>
      <c r="J1062" s="8">
        <v>1947.47</v>
      </c>
      <c r="K1062" s="8">
        <v>70.86</v>
      </c>
      <c r="L1062" s="8">
        <v>114</v>
      </c>
      <c r="M1062" s="8">
        <v>5657609614.2270012</v>
      </c>
      <c r="N1062" s="8">
        <v>15.49</v>
      </c>
      <c r="O1062" s="8" t="str">
        <f>vw_scenario_analysis_dataset[[#This Row],[reporter_name]] &amp; "-" &amp; vw_scenario_analysis_dataset[[#This Row],[reference_year]]</f>
        <v>Mauritania-2021</v>
      </c>
    </row>
    <row r="1063" spans="1:15" x14ac:dyDescent="0.3">
      <c r="A1063" s="8" t="s">
        <v>250</v>
      </c>
      <c r="B1063" s="8" t="s">
        <v>251</v>
      </c>
      <c r="C1063" s="8">
        <v>2022</v>
      </c>
      <c r="D1063" s="8">
        <v>7556037117.7680025</v>
      </c>
      <c r="E1063" s="8">
        <v>9562497461</v>
      </c>
      <c r="F1063" s="8">
        <v>4875637</v>
      </c>
      <c r="G1063" s="8">
        <v>6.796004999</v>
      </c>
      <c r="H1063" s="8">
        <v>102.0258991</v>
      </c>
      <c r="I1063" s="8">
        <v>1549.75</v>
      </c>
      <c r="J1063" s="8">
        <v>1961.28</v>
      </c>
      <c r="K1063" s="8">
        <v>79.02</v>
      </c>
      <c r="L1063" s="8">
        <v>112</v>
      </c>
      <c r="M1063" s="8">
        <v>6533977615.5399981</v>
      </c>
      <c r="N1063" s="8">
        <v>15.64</v>
      </c>
      <c r="O1063" s="8" t="str">
        <f>vw_scenario_analysis_dataset[[#This Row],[reporter_name]] &amp; "-" &amp; vw_scenario_analysis_dataset[[#This Row],[reference_year]]</f>
        <v>Mauritania-2022</v>
      </c>
    </row>
    <row r="1064" spans="1:15" x14ac:dyDescent="0.3">
      <c r="A1064" s="8" t="s">
        <v>250</v>
      </c>
      <c r="B1064" s="8" t="s">
        <v>251</v>
      </c>
      <c r="C1064" s="8">
        <v>2023</v>
      </c>
      <c r="D1064" s="8">
        <v>8130379108.8180017</v>
      </c>
      <c r="E1064" s="8">
        <v>10687541640</v>
      </c>
      <c r="F1064" s="8">
        <v>5022441</v>
      </c>
      <c r="G1064" s="8">
        <v>6.8094900249999997</v>
      </c>
      <c r="H1064" s="8">
        <v>92.16544451</v>
      </c>
      <c r="I1064" s="8">
        <v>1618.81</v>
      </c>
      <c r="J1064" s="8">
        <v>2127.96</v>
      </c>
      <c r="K1064" s="8">
        <v>76.069999999999993</v>
      </c>
      <c r="L1064" s="8">
        <v>111</v>
      </c>
      <c r="M1064" s="8">
        <v>7556037117.7680025</v>
      </c>
      <c r="N1064" s="8">
        <v>7.6</v>
      </c>
      <c r="O1064" s="8" t="str">
        <f>vw_scenario_analysis_dataset[[#This Row],[reporter_name]] &amp; "-" &amp; vw_scenario_analysis_dataset[[#This Row],[reference_year]]</f>
        <v>Mauritania-2023</v>
      </c>
    </row>
    <row r="1065" spans="1:15" x14ac:dyDescent="0.3">
      <c r="A1065" s="8" t="s">
        <v>250</v>
      </c>
      <c r="B1065" s="8" t="s">
        <v>251</v>
      </c>
      <c r="C1065" s="8">
        <v>2024</v>
      </c>
      <c r="D1065" s="8">
        <v>8299106474.0309973</v>
      </c>
      <c r="E1065" s="8">
        <v>10879212033</v>
      </c>
      <c r="F1065" s="8">
        <v>5169395</v>
      </c>
      <c r="G1065" s="8">
        <v>6.3076021190000002</v>
      </c>
      <c r="H1065" s="8">
        <v>93.598835589999993</v>
      </c>
      <c r="I1065" s="8">
        <v>1605.43</v>
      </c>
      <c r="J1065" s="8">
        <v>2104.54</v>
      </c>
      <c r="K1065" s="8">
        <v>76.28</v>
      </c>
      <c r="L1065" s="8">
        <v>99</v>
      </c>
      <c r="M1065" s="8">
        <v>8130379108.8180017</v>
      </c>
      <c r="N1065" s="8">
        <v>2.08</v>
      </c>
      <c r="O1065" s="8" t="str">
        <f>vw_scenario_analysis_dataset[[#This Row],[reporter_name]] &amp; "-" &amp; vw_scenario_analysis_dataset[[#This Row],[reference_year]]</f>
        <v>Mauritania-2024</v>
      </c>
    </row>
    <row r="1066" spans="1:15" x14ac:dyDescent="0.3">
      <c r="A1066" s="8" t="s">
        <v>252</v>
      </c>
      <c r="B1066" s="8" t="s">
        <v>253</v>
      </c>
      <c r="C1066" s="8">
        <v>2015</v>
      </c>
      <c r="D1066" s="8">
        <v>6671681.7119999984</v>
      </c>
      <c r="E1066" s="8"/>
      <c r="F1066" s="8"/>
      <c r="G1066" s="8"/>
      <c r="H1066" s="8"/>
      <c r="I1066" s="8"/>
      <c r="J1066" s="8"/>
      <c r="K1066" s="8"/>
      <c r="L1066" s="8">
        <v>169</v>
      </c>
      <c r="M1066" s="8"/>
      <c r="N1066" s="8"/>
      <c r="O1066" s="8" t="str">
        <f>vw_scenario_analysis_dataset[[#This Row],[reporter_name]] &amp; "-" &amp; vw_scenario_analysis_dataset[[#This Row],[reference_year]]</f>
        <v>Montserrat-2015</v>
      </c>
    </row>
    <row r="1067" spans="1:15" x14ac:dyDescent="0.3">
      <c r="A1067" s="8" t="s">
        <v>252</v>
      </c>
      <c r="B1067" s="8" t="s">
        <v>253</v>
      </c>
      <c r="C1067" s="8">
        <v>2016</v>
      </c>
      <c r="D1067" s="8">
        <v>8027528.3660000013</v>
      </c>
      <c r="E1067" s="8"/>
      <c r="F1067" s="8"/>
      <c r="G1067" s="8"/>
      <c r="H1067" s="8"/>
      <c r="I1067" s="8"/>
      <c r="J1067" s="8"/>
      <c r="K1067" s="8"/>
      <c r="L1067" s="8">
        <v>172</v>
      </c>
      <c r="M1067" s="8">
        <v>6671681.7119999984</v>
      </c>
      <c r="N1067" s="8">
        <v>20.32</v>
      </c>
      <c r="O1067" s="8" t="str">
        <f>vw_scenario_analysis_dataset[[#This Row],[reporter_name]] &amp; "-" &amp; vw_scenario_analysis_dataset[[#This Row],[reference_year]]</f>
        <v>Montserrat-2016</v>
      </c>
    </row>
    <row r="1068" spans="1:15" x14ac:dyDescent="0.3">
      <c r="A1068" s="8" t="s">
        <v>252</v>
      </c>
      <c r="B1068" s="8" t="s">
        <v>253</v>
      </c>
      <c r="C1068" s="8">
        <v>2017</v>
      </c>
      <c r="D1068" s="8">
        <v>11970199.257999998</v>
      </c>
      <c r="E1068" s="8"/>
      <c r="F1068" s="8"/>
      <c r="G1068" s="8"/>
      <c r="H1068" s="8"/>
      <c r="I1068" s="8"/>
      <c r="J1068" s="8"/>
      <c r="K1068" s="8"/>
      <c r="L1068" s="8">
        <v>175</v>
      </c>
      <c r="M1068" s="8">
        <v>8027528.3660000013</v>
      </c>
      <c r="N1068" s="8">
        <v>49.11</v>
      </c>
      <c r="O1068" s="8" t="str">
        <f>vw_scenario_analysis_dataset[[#This Row],[reporter_name]] &amp; "-" &amp; vw_scenario_analysis_dataset[[#This Row],[reference_year]]</f>
        <v>Montserrat-2017</v>
      </c>
    </row>
    <row r="1069" spans="1:15" x14ac:dyDescent="0.3">
      <c r="A1069" s="8" t="s">
        <v>252</v>
      </c>
      <c r="B1069" s="8" t="s">
        <v>253</v>
      </c>
      <c r="C1069" s="8">
        <v>2018</v>
      </c>
      <c r="D1069" s="8">
        <v>11513020.550000001</v>
      </c>
      <c r="E1069" s="8"/>
      <c r="F1069" s="8"/>
      <c r="G1069" s="8"/>
      <c r="H1069" s="8"/>
      <c r="I1069" s="8"/>
      <c r="J1069" s="8"/>
      <c r="K1069" s="8"/>
      <c r="L1069" s="8">
        <v>172</v>
      </c>
      <c r="M1069" s="8">
        <v>11970199.257999998</v>
      </c>
      <c r="N1069" s="8">
        <v>-3.82</v>
      </c>
      <c r="O1069" s="8" t="str">
        <f>vw_scenario_analysis_dataset[[#This Row],[reporter_name]] &amp; "-" &amp; vw_scenario_analysis_dataset[[#This Row],[reference_year]]</f>
        <v>Montserrat-2018</v>
      </c>
    </row>
    <row r="1070" spans="1:15" x14ac:dyDescent="0.3">
      <c r="A1070" s="8" t="s">
        <v>252</v>
      </c>
      <c r="B1070" s="8" t="s">
        <v>253</v>
      </c>
      <c r="C1070" s="8">
        <v>2019</v>
      </c>
      <c r="D1070" s="8">
        <v>11176745.340000004</v>
      </c>
      <c r="E1070" s="8"/>
      <c r="F1070" s="8"/>
      <c r="G1070" s="8"/>
      <c r="H1070" s="8"/>
      <c r="I1070" s="8"/>
      <c r="J1070" s="8"/>
      <c r="K1070" s="8"/>
      <c r="L1070" s="8">
        <v>166</v>
      </c>
      <c r="M1070" s="8">
        <v>11513020.550000001</v>
      </c>
      <c r="N1070" s="8">
        <v>-2.92</v>
      </c>
      <c r="O1070" s="8" t="str">
        <f>vw_scenario_analysis_dataset[[#This Row],[reporter_name]] &amp; "-" &amp; vw_scenario_analysis_dataset[[#This Row],[reference_year]]</f>
        <v>Montserrat-2019</v>
      </c>
    </row>
    <row r="1071" spans="1:15" x14ac:dyDescent="0.3">
      <c r="A1071" s="8" t="s">
        <v>252</v>
      </c>
      <c r="B1071" s="8" t="s">
        <v>253</v>
      </c>
      <c r="C1071" s="8">
        <v>2020</v>
      </c>
      <c r="D1071" s="8">
        <v>11427563.262</v>
      </c>
      <c r="E1071" s="8"/>
      <c r="F1071" s="8"/>
      <c r="G1071" s="8"/>
      <c r="H1071" s="8"/>
      <c r="I1071" s="8"/>
      <c r="J1071" s="8"/>
      <c r="K1071" s="8"/>
      <c r="L1071" s="8">
        <v>163</v>
      </c>
      <c r="M1071" s="8">
        <v>11176745.340000004</v>
      </c>
      <c r="N1071" s="8">
        <v>2.2400000000000002</v>
      </c>
      <c r="O1071" s="8" t="str">
        <f>vw_scenario_analysis_dataset[[#This Row],[reporter_name]] &amp; "-" &amp; vw_scenario_analysis_dataset[[#This Row],[reference_year]]</f>
        <v>Montserrat-2020</v>
      </c>
    </row>
    <row r="1072" spans="1:15" x14ac:dyDescent="0.3">
      <c r="A1072" s="8" t="s">
        <v>252</v>
      </c>
      <c r="B1072" s="8" t="s">
        <v>253</v>
      </c>
      <c r="C1072" s="8">
        <v>2021</v>
      </c>
      <c r="D1072" s="8">
        <v>16865059.241999999</v>
      </c>
      <c r="E1072" s="8"/>
      <c r="F1072" s="8"/>
      <c r="G1072" s="8"/>
      <c r="H1072" s="8"/>
      <c r="I1072" s="8"/>
      <c r="J1072" s="8"/>
      <c r="K1072" s="8"/>
      <c r="L1072" s="8">
        <v>163</v>
      </c>
      <c r="M1072" s="8">
        <v>11427563.262</v>
      </c>
      <c r="N1072" s="8">
        <v>47.58</v>
      </c>
      <c r="O1072" s="8" t="str">
        <f>vw_scenario_analysis_dataset[[#This Row],[reporter_name]] &amp; "-" &amp; vw_scenario_analysis_dataset[[#This Row],[reference_year]]</f>
        <v>Montserrat-2021</v>
      </c>
    </row>
    <row r="1073" spans="1:15" x14ac:dyDescent="0.3">
      <c r="A1073" s="8" t="s">
        <v>252</v>
      </c>
      <c r="B1073" s="8" t="s">
        <v>253</v>
      </c>
      <c r="C1073" s="8">
        <v>2022</v>
      </c>
      <c r="D1073" s="8">
        <v>13290718.733999999</v>
      </c>
      <c r="E1073" s="8"/>
      <c r="F1073" s="8"/>
      <c r="G1073" s="8"/>
      <c r="H1073" s="8"/>
      <c r="I1073" s="8"/>
      <c r="J1073" s="8"/>
      <c r="K1073" s="8"/>
      <c r="L1073" s="8">
        <v>160</v>
      </c>
      <c r="M1073" s="8">
        <v>16865059.241999999</v>
      </c>
      <c r="N1073" s="8">
        <v>-21.19</v>
      </c>
      <c r="O1073" s="8" t="str">
        <f>vw_scenario_analysis_dataset[[#This Row],[reporter_name]] &amp; "-" &amp; vw_scenario_analysis_dataset[[#This Row],[reference_year]]</f>
        <v>Montserrat-2022</v>
      </c>
    </row>
    <row r="1074" spans="1:15" x14ac:dyDescent="0.3">
      <c r="A1074" s="8" t="s">
        <v>252</v>
      </c>
      <c r="B1074" s="8" t="s">
        <v>253</v>
      </c>
      <c r="C1074" s="8">
        <v>2023</v>
      </c>
      <c r="D1074" s="8">
        <v>11531368.736</v>
      </c>
      <c r="E1074" s="8"/>
      <c r="F1074" s="8"/>
      <c r="G1074" s="8"/>
      <c r="H1074" s="8"/>
      <c r="I1074" s="8"/>
      <c r="J1074" s="8"/>
      <c r="K1074" s="8"/>
      <c r="L1074" s="8">
        <v>158</v>
      </c>
      <c r="M1074" s="8">
        <v>13290718.733999999</v>
      </c>
      <c r="N1074" s="8">
        <v>-13.24</v>
      </c>
      <c r="O1074" s="8" t="str">
        <f>vw_scenario_analysis_dataset[[#This Row],[reporter_name]] &amp; "-" &amp; vw_scenario_analysis_dataset[[#This Row],[reference_year]]</f>
        <v>Montserrat-2023</v>
      </c>
    </row>
    <row r="1075" spans="1:15" x14ac:dyDescent="0.3">
      <c r="A1075" s="8" t="s">
        <v>252</v>
      </c>
      <c r="B1075" s="8" t="s">
        <v>253</v>
      </c>
      <c r="C1075" s="8">
        <v>2024</v>
      </c>
      <c r="D1075" s="8">
        <v>12320726.772</v>
      </c>
      <c r="E1075" s="8"/>
      <c r="F1075" s="8"/>
      <c r="G1075" s="8"/>
      <c r="H1075" s="8"/>
      <c r="I1075" s="8"/>
      <c r="J1075" s="8"/>
      <c r="K1075" s="8"/>
      <c r="L1075" s="8">
        <v>131</v>
      </c>
      <c r="M1075" s="8">
        <v>11531368.736</v>
      </c>
      <c r="N1075" s="8">
        <v>6.85</v>
      </c>
      <c r="O1075" s="8" t="str">
        <f>vw_scenario_analysis_dataset[[#This Row],[reporter_name]] &amp; "-" &amp; vw_scenario_analysis_dataset[[#This Row],[reference_year]]</f>
        <v>Montserrat-2024</v>
      </c>
    </row>
    <row r="1076" spans="1:15" x14ac:dyDescent="0.3">
      <c r="A1076" s="8" t="s">
        <v>254</v>
      </c>
      <c r="B1076" s="8" t="s">
        <v>255</v>
      </c>
      <c r="C1076" s="8">
        <v>2015</v>
      </c>
      <c r="D1076" s="8">
        <v>4962185438</v>
      </c>
      <c r="E1076" s="8">
        <v>12162211503</v>
      </c>
      <c r="F1076" s="8">
        <v>1262879</v>
      </c>
      <c r="G1076" s="8">
        <v>3.7176636209999998</v>
      </c>
      <c r="H1076" s="8">
        <v>133.13506910000001</v>
      </c>
      <c r="I1076" s="8">
        <v>3929.26</v>
      </c>
      <c r="J1076" s="8">
        <v>9630.5400000000009</v>
      </c>
      <c r="K1076" s="8">
        <v>40.799999999999997</v>
      </c>
      <c r="L1076" s="8">
        <v>111</v>
      </c>
      <c r="M1076" s="8"/>
      <c r="N1076" s="8"/>
      <c r="O1076" s="8" t="str">
        <f>vw_scenario_analysis_dataset[[#This Row],[reporter_name]] &amp; "-" &amp; vw_scenario_analysis_dataset[[#This Row],[reference_year]]</f>
        <v>Mauritius-2015</v>
      </c>
    </row>
    <row r="1077" spans="1:15" x14ac:dyDescent="0.3">
      <c r="A1077" s="8" t="s">
        <v>254</v>
      </c>
      <c r="B1077" s="8" t="s">
        <v>255</v>
      </c>
      <c r="C1077" s="8">
        <v>2016</v>
      </c>
      <c r="D1077" s="8">
        <v>4394552804.0389996</v>
      </c>
      <c r="E1077" s="8">
        <v>12757680847</v>
      </c>
      <c r="F1077" s="8">
        <v>1263747</v>
      </c>
      <c r="G1077" s="8">
        <v>3.8857612110000002</v>
      </c>
      <c r="H1077" s="8">
        <v>126.31000899999999</v>
      </c>
      <c r="I1077" s="8">
        <v>3477.4</v>
      </c>
      <c r="J1077" s="8">
        <v>10095.120000000001</v>
      </c>
      <c r="K1077" s="8">
        <v>34.450000000000003</v>
      </c>
      <c r="L1077" s="8">
        <v>116</v>
      </c>
      <c r="M1077" s="8">
        <v>4962185438</v>
      </c>
      <c r="N1077" s="8">
        <v>-11.44</v>
      </c>
      <c r="O1077" s="8" t="str">
        <f>vw_scenario_analysis_dataset[[#This Row],[reporter_name]] &amp; "-" &amp; vw_scenario_analysis_dataset[[#This Row],[reference_year]]</f>
        <v>Mauritius-2016</v>
      </c>
    </row>
    <row r="1078" spans="1:15" x14ac:dyDescent="0.3">
      <c r="A1078" s="8" t="s">
        <v>254</v>
      </c>
      <c r="B1078" s="8" t="s">
        <v>255</v>
      </c>
      <c r="C1078" s="8">
        <v>2017</v>
      </c>
      <c r="D1078" s="8">
        <v>4205243628.8300004</v>
      </c>
      <c r="E1078" s="8">
        <v>13896938315</v>
      </c>
      <c r="F1078" s="8">
        <v>1264887</v>
      </c>
      <c r="G1078" s="8">
        <v>3.9544173100000002</v>
      </c>
      <c r="H1078" s="8">
        <v>126.9640599</v>
      </c>
      <c r="I1078" s="8">
        <v>3324.6</v>
      </c>
      <c r="J1078" s="8">
        <v>10986.7</v>
      </c>
      <c r="K1078" s="8">
        <v>30.26</v>
      </c>
      <c r="L1078" s="8">
        <v>122</v>
      </c>
      <c r="M1078" s="8">
        <v>4394552804.0389996</v>
      </c>
      <c r="N1078" s="8">
        <v>-4.3099999999999996</v>
      </c>
      <c r="O1078" s="8" t="str">
        <f>vw_scenario_analysis_dataset[[#This Row],[reporter_name]] &amp; "-" &amp; vw_scenario_analysis_dataset[[#This Row],[reference_year]]</f>
        <v>Mauritius-2017</v>
      </c>
    </row>
    <row r="1079" spans="1:15" x14ac:dyDescent="0.3">
      <c r="A1079" s="8" t="s">
        <v>254</v>
      </c>
      <c r="B1079" s="8" t="s">
        <v>255</v>
      </c>
      <c r="C1079" s="8">
        <v>2018</v>
      </c>
      <c r="D1079" s="8">
        <v>3975345725.7060008</v>
      </c>
      <c r="E1079" s="8">
        <v>14957535716</v>
      </c>
      <c r="F1079" s="8">
        <v>1265577</v>
      </c>
      <c r="G1079" s="8">
        <v>4.1166936950000004</v>
      </c>
      <c r="H1079" s="8">
        <v>123.5389844</v>
      </c>
      <c r="I1079" s="8">
        <v>3141.13</v>
      </c>
      <c r="J1079" s="8">
        <v>11818.75</v>
      </c>
      <c r="K1079" s="8">
        <v>26.58</v>
      </c>
      <c r="L1079" s="8">
        <v>121</v>
      </c>
      <c r="M1079" s="8">
        <v>4205243628.8300004</v>
      </c>
      <c r="N1079" s="8">
        <v>-5.47</v>
      </c>
      <c r="O1079" s="8" t="str">
        <f>vw_scenario_analysis_dataset[[#This Row],[reporter_name]] &amp; "-" &amp; vw_scenario_analysis_dataset[[#This Row],[reference_year]]</f>
        <v>Mauritius-2018</v>
      </c>
    </row>
    <row r="1080" spans="1:15" x14ac:dyDescent="0.3">
      <c r="A1080" s="8" t="s">
        <v>254</v>
      </c>
      <c r="B1080" s="8" t="s">
        <v>255</v>
      </c>
      <c r="C1080" s="8">
        <v>2019</v>
      </c>
      <c r="D1080" s="8">
        <v>3752736854.1109986</v>
      </c>
      <c r="E1080" s="8">
        <v>14645235205</v>
      </c>
      <c r="F1080" s="8">
        <v>1265985</v>
      </c>
      <c r="G1080" s="8">
        <v>2.8639493869999999</v>
      </c>
      <c r="H1080" s="8">
        <v>127.9408991</v>
      </c>
      <c r="I1080" s="8">
        <v>2964.28</v>
      </c>
      <c r="J1080" s="8">
        <v>11568.25</v>
      </c>
      <c r="K1080" s="8">
        <v>25.62</v>
      </c>
      <c r="L1080" s="8">
        <v>124</v>
      </c>
      <c r="M1080" s="8">
        <v>3975345725.7060008</v>
      </c>
      <c r="N1080" s="8">
        <v>-5.6</v>
      </c>
      <c r="O1080" s="8" t="str">
        <f>vw_scenario_analysis_dataset[[#This Row],[reporter_name]] &amp; "-" &amp; vw_scenario_analysis_dataset[[#This Row],[reference_year]]</f>
        <v>Mauritius-2019</v>
      </c>
    </row>
    <row r="1081" spans="1:15" x14ac:dyDescent="0.3">
      <c r="A1081" s="8" t="s">
        <v>254</v>
      </c>
      <c r="B1081" s="8" t="s">
        <v>255</v>
      </c>
      <c r="C1081" s="8">
        <v>2020</v>
      </c>
      <c r="D1081" s="8">
        <v>3087220074.9119997</v>
      </c>
      <c r="E1081" s="8">
        <v>11566111138</v>
      </c>
      <c r="F1081" s="8">
        <v>1266014</v>
      </c>
      <c r="G1081" s="8">
        <v>-14.19743581</v>
      </c>
      <c r="H1081" s="8">
        <v>121.1252255</v>
      </c>
      <c r="I1081" s="8">
        <v>2438.54</v>
      </c>
      <c r="J1081" s="8">
        <v>9135.85</v>
      </c>
      <c r="K1081" s="8">
        <v>26.69</v>
      </c>
      <c r="L1081" s="8">
        <v>123</v>
      </c>
      <c r="M1081" s="8">
        <v>3752736854.1109986</v>
      </c>
      <c r="N1081" s="8">
        <v>-17.73</v>
      </c>
      <c r="O1081" s="8" t="str">
        <f>vw_scenario_analysis_dataset[[#This Row],[reporter_name]] &amp; "-" &amp; vw_scenario_analysis_dataset[[#This Row],[reference_year]]</f>
        <v>Mauritius-2020</v>
      </c>
    </row>
    <row r="1082" spans="1:15" x14ac:dyDescent="0.3">
      <c r="A1082" s="8" t="s">
        <v>254</v>
      </c>
      <c r="B1082" s="8" t="s">
        <v>255</v>
      </c>
      <c r="C1082" s="8">
        <v>2021</v>
      </c>
      <c r="D1082" s="8">
        <v>3343520576.5309982</v>
      </c>
      <c r="E1082" s="8">
        <v>11622048697</v>
      </c>
      <c r="F1082" s="8">
        <v>1266334</v>
      </c>
      <c r="G1082" s="8">
        <v>3.3380908410000001</v>
      </c>
      <c r="H1082" s="8">
        <v>135.19300459999999</v>
      </c>
      <c r="I1082" s="8">
        <v>2640.31</v>
      </c>
      <c r="J1082" s="8">
        <v>9177.7099999999991</v>
      </c>
      <c r="K1082" s="8">
        <v>28.77</v>
      </c>
      <c r="L1082" s="8">
        <v>125</v>
      </c>
      <c r="M1082" s="8">
        <v>3087220074.9119997</v>
      </c>
      <c r="N1082" s="8">
        <v>8.3000000000000007</v>
      </c>
      <c r="O1082" s="8" t="str">
        <f>vw_scenario_analysis_dataset[[#This Row],[reporter_name]] &amp; "-" &amp; vw_scenario_analysis_dataset[[#This Row],[reference_year]]</f>
        <v>Mauritius-2021</v>
      </c>
    </row>
    <row r="1083" spans="1:15" x14ac:dyDescent="0.3">
      <c r="A1083" s="8" t="s">
        <v>254</v>
      </c>
      <c r="B1083" s="8" t="s">
        <v>255</v>
      </c>
      <c r="C1083" s="8">
        <v>2022</v>
      </c>
      <c r="D1083" s="8">
        <v>3761192907.9399996</v>
      </c>
      <c r="E1083" s="8">
        <v>12936444123</v>
      </c>
      <c r="F1083" s="8">
        <v>1262523</v>
      </c>
      <c r="G1083" s="8">
        <v>8.3424438030000001</v>
      </c>
      <c r="H1083" s="8">
        <v>147.66379499999999</v>
      </c>
      <c r="I1083" s="8">
        <v>2979.11</v>
      </c>
      <c r="J1083" s="8">
        <v>10246.5</v>
      </c>
      <c r="K1083" s="8">
        <v>29.07</v>
      </c>
      <c r="L1083" s="8">
        <v>124</v>
      </c>
      <c r="M1083" s="8">
        <v>3343520576.5309982</v>
      </c>
      <c r="N1083" s="8">
        <v>12.49</v>
      </c>
      <c r="O1083" s="8" t="str">
        <f>vw_scenario_analysis_dataset[[#This Row],[reporter_name]] &amp; "-" &amp; vw_scenario_analysis_dataset[[#This Row],[reference_year]]</f>
        <v>Mauritius-2022</v>
      </c>
    </row>
    <row r="1084" spans="1:15" x14ac:dyDescent="0.3">
      <c r="A1084" s="8" t="s">
        <v>254</v>
      </c>
      <c r="B1084" s="8" t="s">
        <v>255</v>
      </c>
      <c r="C1084" s="8">
        <v>2023</v>
      </c>
      <c r="D1084" s="8">
        <v>3708478363.6800003</v>
      </c>
      <c r="E1084" s="8">
        <v>14072212290</v>
      </c>
      <c r="F1084" s="8">
        <v>1248647</v>
      </c>
      <c r="G1084" s="8">
        <v>4.6991818969999999</v>
      </c>
      <c r="H1084" s="8">
        <v>147.3213921</v>
      </c>
      <c r="I1084" s="8">
        <v>2970</v>
      </c>
      <c r="J1084" s="8">
        <v>11269.97</v>
      </c>
      <c r="K1084" s="8">
        <v>26.35</v>
      </c>
      <c r="L1084" s="8">
        <v>122</v>
      </c>
      <c r="M1084" s="8">
        <v>3761192907.9399996</v>
      </c>
      <c r="N1084" s="8">
        <v>-1.4</v>
      </c>
      <c r="O1084" s="8" t="str">
        <f>vw_scenario_analysis_dataset[[#This Row],[reporter_name]] &amp; "-" &amp; vw_scenario_analysis_dataset[[#This Row],[reference_year]]</f>
        <v>Mauritius-2023</v>
      </c>
    </row>
    <row r="1085" spans="1:15" x14ac:dyDescent="0.3">
      <c r="A1085" s="8" t="s">
        <v>254</v>
      </c>
      <c r="B1085" s="8" t="s">
        <v>255</v>
      </c>
      <c r="C1085" s="8">
        <v>2024</v>
      </c>
      <c r="D1085" s="8">
        <v>3439658328.8889976</v>
      </c>
      <c r="E1085" s="8">
        <v>14938055690</v>
      </c>
      <c r="F1085" s="8">
        <v>1245779</v>
      </c>
      <c r="G1085" s="8">
        <v>4.9484423529999999</v>
      </c>
      <c r="H1085" s="8">
        <v>145.4198126</v>
      </c>
      <c r="I1085" s="8">
        <v>2761.05</v>
      </c>
      <c r="J1085" s="8">
        <v>11990.94</v>
      </c>
      <c r="K1085" s="8">
        <v>23.03</v>
      </c>
      <c r="L1085" s="8">
        <v>106</v>
      </c>
      <c r="M1085" s="8">
        <v>3708478363.6800003</v>
      </c>
      <c r="N1085" s="8">
        <v>-7.25</v>
      </c>
      <c r="O1085" s="8" t="str">
        <f>vw_scenario_analysis_dataset[[#This Row],[reporter_name]] &amp; "-" &amp; vw_scenario_analysis_dataset[[#This Row],[reference_year]]</f>
        <v>Mauritius-2024</v>
      </c>
    </row>
    <row r="1086" spans="1:15" x14ac:dyDescent="0.3">
      <c r="A1086" s="8" t="s">
        <v>256</v>
      </c>
      <c r="B1086" s="8" t="s">
        <v>257</v>
      </c>
      <c r="C1086" s="8">
        <v>2015</v>
      </c>
      <c r="D1086" s="8">
        <v>2143455810.5660002</v>
      </c>
      <c r="E1086" s="8">
        <v>9219474379</v>
      </c>
      <c r="F1086" s="8">
        <v>17085587</v>
      </c>
      <c r="G1086" s="8">
        <v>2.8</v>
      </c>
      <c r="H1086" s="8"/>
      <c r="I1086" s="8">
        <v>125.45</v>
      </c>
      <c r="J1086" s="8">
        <v>539.61</v>
      </c>
      <c r="K1086" s="8">
        <v>23.25</v>
      </c>
      <c r="L1086" s="8">
        <v>129</v>
      </c>
      <c r="M1086" s="8"/>
      <c r="N1086" s="8"/>
      <c r="O1086" s="8" t="str">
        <f>vw_scenario_analysis_dataset[[#This Row],[reporter_name]] &amp; "-" &amp; vw_scenario_analysis_dataset[[#This Row],[reference_year]]</f>
        <v>Malawi-2015</v>
      </c>
    </row>
    <row r="1087" spans="1:15" x14ac:dyDescent="0.3">
      <c r="A1087" s="8" t="s">
        <v>256</v>
      </c>
      <c r="B1087" s="8" t="s">
        <v>257</v>
      </c>
      <c r="C1087" s="8">
        <v>2016</v>
      </c>
      <c r="D1087" s="8">
        <v>2044731762.7560012</v>
      </c>
      <c r="E1087" s="8">
        <v>7909868618</v>
      </c>
      <c r="F1087" s="8">
        <v>17557739</v>
      </c>
      <c r="G1087" s="8">
        <v>2.4999999989999999</v>
      </c>
      <c r="H1087" s="8"/>
      <c r="I1087" s="8">
        <v>116.46</v>
      </c>
      <c r="J1087" s="8">
        <v>450.51</v>
      </c>
      <c r="K1087" s="8">
        <v>25.85</v>
      </c>
      <c r="L1087" s="8">
        <v>131</v>
      </c>
      <c r="M1087" s="8">
        <v>2143455810.5660002</v>
      </c>
      <c r="N1087" s="8">
        <v>-4.6100000000000003</v>
      </c>
      <c r="O1087" s="8" t="str">
        <f>vw_scenario_analysis_dataset[[#This Row],[reporter_name]] &amp; "-" &amp; vw_scenario_analysis_dataset[[#This Row],[reference_year]]</f>
        <v>Malawi-2016</v>
      </c>
    </row>
    <row r="1088" spans="1:15" x14ac:dyDescent="0.3">
      <c r="A1088" s="8" t="s">
        <v>256</v>
      </c>
      <c r="B1088" s="8" t="s">
        <v>257</v>
      </c>
      <c r="C1088" s="8">
        <v>2017</v>
      </c>
      <c r="D1088" s="8">
        <v>1677636821.4220004</v>
      </c>
      <c r="E1088" s="8">
        <v>8943543794</v>
      </c>
      <c r="F1088" s="8">
        <v>18039715</v>
      </c>
      <c r="G1088" s="8">
        <v>4.0000000010000001</v>
      </c>
      <c r="H1088" s="8">
        <v>45.300313719999998</v>
      </c>
      <c r="I1088" s="8">
        <v>93</v>
      </c>
      <c r="J1088" s="8">
        <v>495.77</v>
      </c>
      <c r="K1088" s="8">
        <v>18.760000000000002</v>
      </c>
      <c r="L1088" s="8">
        <v>137</v>
      </c>
      <c r="M1088" s="8">
        <v>2044731762.7560012</v>
      </c>
      <c r="N1088" s="8">
        <v>-17.95</v>
      </c>
      <c r="O1088" s="8" t="str">
        <f>vw_scenario_analysis_dataset[[#This Row],[reporter_name]] &amp; "-" &amp; vw_scenario_analysis_dataset[[#This Row],[reference_year]]</f>
        <v>Malawi-2017</v>
      </c>
    </row>
    <row r="1089" spans="1:15" x14ac:dyDescent="0.3">
      <c r="A1089" s="8" t="s">
        <v>256</v>
      </c>
      <c r="B1089" s="8" t="s">
        <v>257</v>
      </c>
      <c r="C1089" s="8">
        <v>2018</v>
      </c>
      <c r="D1089" s="8">
        <v>1675075385.7170012</v>
      </c>
      <c r="E1089" s="8">
        <v>9879220354</v>
      </c>
      <c r="F1089" s="8">
        <v>18528081</v>
      </c>
      <c r="G1089" s="8">
        <v>4.3535647160000002</v>
      </c>
      <c r="H1089" s="8">
        <v>43.578773490000003</v>
      </c>
      <c r="I1089" s="8">
        <v>90.41</v>
      </c>
      <c r="J1089" s="8">
        <v>533.20000000000005</v>
      </c>
      <c r="K1089" s="8">
        <v>16.96</v>
      </c>
      <c r="L1089" s="8">
        <v>138</v>
      </c>
      <c r="M1089" s="8">
        <v>1677636821.4220004</v>
      </c>
      <c r="N1089" s="8">
        <v>-0.15</v>
      </c>
      <c r="O1089" s="8" t="str">
        <f>vw_scenario_analysis_dataset[[#This Row],[reporter_name]] &amp; "-" &amp; vw_scenario_analysis_dataset[[#This Row],[reference_year]]</f>
        <v>Malawi-2018</v>
      </c>
    </row>
    <row r="1090" spans="1:15" x14ac:dyDescent="0.3">
      <c r="A1090" s="8" t="s">
        <v>256</v>
      </c>
      <c r="B1090" s="8" t="s">
        <v>257</v>
      </c>
      <c r="C1090" s="8">
        <v>2019</v>
      </c>
      <c r="D1090" s="8">
        <v>1798241967.618</v>
      </c>
      <c r="E1090" s="8">
        <v>11051852713</v>
      </c>
      <c r="F1090" s="8">
        <v>19025752</v>
      </c>
      <c r="G1090" s="8">
        <v>5.7168251919999999</v>
      </c>
      <c r="H1090" s="8">
        <v>44.195452459999998</v>
      </c>
      <c r="I1090" s="8">
        <v>94.52</v>
      </c>
      <c r="J1090" s="8">
        <v>580.89</v>
      </c>
      <c r="K1090" s="8">
        <v>16.27</v>
      </c>
      <c r="L1090" s="8">
        <v>133</v>
      </c>
      <c r="M1090" s="8">
        <v>1675075385.7170012</v>
      </c>
      <c r="N1090" s="8">
        <v>7.35</v>
      </c>
      <c r="O1090" s="8" t="str">
        <f>vw_scenario_analysis_dataset[[#This Row],[reporter_name]] &amp; "-" &amp; vw_scenario_analysis_dataset[[#This Row],[reference_year]]</f>
        <v>Malawi-2019</v>
      </c>
    </row>
    <row r="1091" spans="1:15" x14ac:dyDescent="0.3">
      <c r="A1091" s="8" t="s">
        <v>256</v>
      </c>
      <c r="B1091" s="8" t="s">
        <v>257</v>
      </c>
      <c r="C1091" s="8">
        <v>2020</v>
      </c>
      <c r="D1091" s="8">
        <v>1542957644.8920004</v>
      </c>
      <c r="E1091" s="8">
        <v>11769313598</v>
      </c>
      <c r="F1091" s="8">
        <v>19533888</v>
      </c>
      <c r="G1091" s="8">
        <v>0.79359643000000002</v>
      </c>
      <c r="H1091" s="8">
        <v>41.032342939999999</v>
      </c>
      <c r="I1091" s="8">
        <v>78.989999999999995</v>
      </c>
      <c r="J1091" s="8">
        <v>602.51</v>
      </c>
      <c r="K1091" s="8">
        <v>13.11</v>
      </c>
      <c r="L1091" s="8">
        <v>134</v>
      </c>
      <c r="M1091" s="8">
        <v>1798241967.618</v>
      </c>
      <c r="N1091" s="8">
        <v>-14.2</v>
      </c>
      <c r="O1091" s="8" t="str">
        <f>vw_scenario_analysis_dataset[[#This Row],[reporter_name]] &amp; "-" &amp; vw_scenario_analysis_dataset[[#This Row],[reference_year]]</f>
        <v>Malawi-2020</v>
      </c>
    </row>
    <row r="1092" spans="1:15" x14ac:dyDescent="0.3">
      <c r="A1092" s="8" t="s">
        <v>256</v>
      </c>
      <c r="B1092" s="8" t="s">
        <v>257</v>
      </c>
      <c r="C1092" s="8">
        <v>2021</v>
      </c>
      <c r="D1092" s="8">
        <v>2018921557.0649996</v>
      </c>
      <c r="E1092" s="8">
        <v>12378119199</v>
      </c>
      <c r="F1092" s="8">
        <v>20047258</v>
      </c>
      <c r="G1092" s="8">
        <v>4.5582921199999999</v>
      </c>
      <c r="H1092" s="8">
        <v>44.59576182</v>
      </c>
      <c r="I1092" s="8">
        <v>100.71</v>
      </c>
      <c r="J1092" s="8">
        <v>617.45000000000005</v>
      </c>
      <c r="K1092" s="8">
        <v>16.309999999999999</v>
      </c>
      <c r="L1092" s="8">
        <v>134</v>
      </c>
      <c r="M1092" s="8">
        <v>1542957644.8920004</v>
      </c>
      <c r="N1092" s="8">
        <v>30.85</v>
      </c>
      <c r="O1092" s="8" t="str">
        <f>vw_scenario_analysis_dataset[[#This Row],[reporter_name]] &amp; "-" &amp; vw_scenario_analysis_dataset[[#This Row],[reference_year]]</f>
        <v>Malawi-2021</v>
      </c>
    </row>
    <row r="1093" spans="1:15" x14ac:dyDescent="0.3">
      <c r="A1093" s="8" t="s">
        <v>256</v>
      </c>
      <c r="B1093" s="8" t="s">
        <v>257</v>
      </c>
      <c r="C1093" s="8">
        <v>2022</v>
      </c>
      <c r="D1093" s="8">
        <v>1799469779.9750006</v>
      </c>
      <c r="E1093" s="8">
        <v>12429059928</v>
      </c>
      <c r="F1093" s="8">
        <v>20568728</v>
      </c>
      <c r="G1093" s="8">
        <v>0.92111506899999995</v>
      </c>
      <c r="H1093" s="8">
        <v>43.616624860000002</v>
      </c>
      <c r="I1093" s="8">
        <v>87.49</v>
      </c>
      <c r="J1093" s="8">
        <v>604.27</v>
      </c>
      <c r="K1093" s="8">
        <v>14.48</v>
      </c>
      <c r="L1093" s="8">
        <v>131</v>
      </c>
      <c r="M1093" s="8">
        <v>2018921557.0649996</v>
      </c>
      <c r="N1093" s="8">
        <v>-10.87</v>
      </c>
      <c r="O1093" s="8" t="str">
        <f>vw_scenario_analysis_dataset[[#This Row],[reporter_name]] &amp; "-" &amp; vw_scenario_analysis_dataset[[#This Row],[reference_year]]</f>
        <v>Malawi-2022</v>
      </c>
    </row>
    <row r="1094" spans="1:15" x14ac:dyDescent="0.3">
      <c r="A1094" s="8" t="s">
        <v>256</v>
      </c>
      <c r="B1094" s="8" t="s">
        <v>257</v>
      </c>
      <c r="C1094" s="8">
        <v>2023</v>
      </c>
      <c r="D1094" s="8">
        <v>1931018704.382</v>
      </c>
      <c r="E1094" s="8">
        <v>13363669673</v>
      </c>
      <c r="F1094" s="8">
        <v>21104482</v>
      </c>
      <c r="G1094" s="8">
        <v>1.945752817</v>
      </c>
      <c r="H1094" s="8">
        <v>42.4376684</v>
      </c>
      <c r="I1094" s="8">
        <v>91.5</v>
      </c>
      <c r="J1094" s="8">
        <v>633.21</v>
      </c>
      <c r="K1094" s="8">
        <v>14.45</v>
      </c>
      <c r="L1094" s="8">
        <v>129</v>
      </c>
      <c r="M1094" s="8">
        <v>1799469779.9750006</v>
      </c>
      <c r="N1094" s="8">
        <v>7.31</v>
      </c>
      <c r="O1094" s="8" t="str">
        <f>vw_scenario_analysis_dataset[[#This Row],[reporter_name]] &amp; "-" &amp; vw_scenario_analysis_dataset[[#This Row],[reference_year]]</f>
        <v>Malawi-2023</v>
      </c>
    </row>
    <row r="1095" spans="1:15" x14ac:dyDescent="0.3">
      <c r="A1095" s="8" t="s">
        <v>256</v>
      </c>
      <c r="B1095" s="8" t="s">
        <v>257</v>
      </c>
      <c r="C1095" s="8">
        <v>2024</v>
      </c>
      <c r="D1095" s="8">
        <v>1916993854.8449988</v>
      </c>
      <c r="E1095" s="8">
        <v>11311971400</v>
      </c>
      <c r="F1095" s="8">
        <v>21655286</v>
      </c>
      <c r="G1095" s="8">
        <v>1.673434085</v>
      </c>
      <c r="H1095" s="8">
        <v>41.903819650000003</v>
      </c>
      <c r="I1095" s="8">
        <v>88.52</v>
      </c>
      <c r="J1095" s="8">
        <v>522.37</v>
      </c>
      <c r="K1095" s="8">
        <v>16.95</v>
      </c>
      <c r="L1095" s="8">
        <v>115</v>
      </c>
      <c r="M1095" s="8">
        <v>1931018704.382</v>
      </c>
      <c r="N1095" s="8">
        <v>-0.73</v>
      </c>
      <c r="O1095" s="8" t="str">
        <f>vw_scenario_analysis_dataset[[#This Row],[reporter_name]] &amp; "-" &amp; vw_scenario_analysis_dataset[[#This Row],[reference_year]]</f>
        <v>Malawi-2024</v>
      </c>
    </row>
    <row r="1096" spans="1:15" x14ac:dyDescent="0.3">
      <c r="A1096" s="8" t="s">
        <v>258</v>
      </c>
      <c r="B1096" s="8" t="s">
        <v>259</v>
      </c>
      <c r="C1096" s="8">
        <v>2015</v>
      </c>
      <c r="D1096" s="8">
        <v>400421743896</v>
      </c>
      <c r="E1096" s="8">
        <v>301000000000</v>
      </c>
      <c r="F1096" s="8">
        <v>31232798</v>
      </c>
      <c r="G1096" s="8">
        <v>5.0915324220000002</v>
      </c>
      <c r="H1096" s="8">
        <v>131.3700724</v>
      </c>
      <c r="I1096" s="8">
        <v>12820.55</v>
      </c>
      <c r="J1096" s="8">
        <v>9637.2999999999993</v>
      </c>
      <c r="K1096" s="8">
        <v>133.03</v>
      </c>
      <c r="L1096" s="8">
        <v>20</v>
      </c>
      <c r="M1096" s="8"/>
      <c r="N1096" s="8"/>
      <c r="O1096" s="8" t="str">
        <f>vw_scenario_analysis_dataset[[#This Row],[reporter_name]] &amp; "-" &amp; vw_scenario_analysis_dataset[[#This Row],[reference_year]]</f>
        <v>Malaysia-2015</v>
      </c>
    </row>
    <row r="1097" spans="1:15" x14ac:dyDescent="0.3">
      <c r="A1097" s="8" t="s">
        <v>258</v>
      </c>
      <c r="B1097" s="8" t="s">
        <v>259</v>
      </c>
      <c r="C1097" s="8">
        <v>2016</v>
      </c>
      <c r="D1097" s="8">
        <v>378828146311</v>
      </c>
      <c r="E1097" s="8">
        <v>301000000000</v>
      </c>
      <c r="F1097" s="8">
        <v>31789685</v>
      </c>
      <c r="G1097" s="8">
        <v>4.4497813979999998</v>
      </c>
      <c r="H1097" s="8">
        <v>126.89901</v>
      </c>
      <c r="I1097" s="8">
        <v>11916.7</v>
      </c>
      <c r="J1097" s="8">
        <v>9468.48</v>
      </c>
      <c r="K1097" s="8">
        <v>125.86</v>
      </c>
      <c r="L1097" s="8">
        <v>21</v>
      </c>
      <c r="M1097" s="8">
        <v>400421743896</v>
      </c>
      <c r="N1097" s="8">
        <v>-5.39</v>
      </c>
      <c r="O1097" s="8" t="str">
        <f>vw_scenario_analysis_dataset[[#This Row],[reporter_name]] &amp; "-" &amp; vw_scenario_analysis_dataset[[#This Row],[reference_year]]</f>
        <v>Malaysia-2016</v>
      </c>
    </row>
    <row r="1098" spans="1:15" x14ac:dyDescent="0.3">
      <c r="A1098" s="8" t="s">
        <v>258</v>
      </c>
      <c r="B1098" s="8" t="s">
        <v>259</v>
      </c>
      <c r="C1098" s="8">
        <v>2017</v>
      </c>
      <c r="D1098" s="8">
        <v>435445014964.2254</v>
      </c>
      <c r="E1098" s="8">
        <v>319000000000</v>
      </c>
      <c r="F1098" s="8">
        <v>32355644</v>
      </c>
      <c r="G1098" s="8">
        <v>5.8127224100000001</v>
      </c>
      <c r="H1098" s="8">
        <v>133.1551734</v>
      </c>
      <c r="I1098" s="8">
        <v>13458.09</v>
      </c>
      <c r="J1098" s="8">
        <v>9859.18</v>
      </c>
      <c r="K1098" s="8">
        <v>136.5</v>
      </c>
      <c r="L1098" s="8">
        <v>22</v>
      </c>
      <c r="M1098" s="8">
        <v>378828146311</v>
      </c>
      <c r="N1098" s="8">
        <v>14.95</v>
      </c>
      <c r="O1098" s="8" t="str">
        <f>vw_scenario_analysis_dataset[[#This Row],[reporter_name]] &amp; "-" &amp; vw_scenario_analysis_dataset[[#This Row],[reference_year]]</f>
        <v>Malaysia-2017</v>
      </c>
    </row>
    <row r="1099" spans="1:15" x14ac:dyDescent="0.3">
      <c r="A1099" s="8" t="s">
        <v>258</v>
      </c>
      <c r="B1099" s="8" t="s">
        <v>259</v>
      </c>
      <c r="C1099" s="8">
        <v>2018</v>
      </c>
      <c r="D1099" s="8">
        <v>497423380022.33795</v>
      </c>
      <c r="E1099" s="8">
        <v>359000000000</v>
      </c>
      <c r="F1099" s="8">
        <v>32910967</v>
      </c>
      <c r="G1099" s="8">
        <v>4.8430869760000004</v>
      </c>
      <c r="H1099" s="8">
        <v>130.4026255</v>
      </c>
      <c r="I1099" s="8">
        <v>15114.21</v>
      </c>
      <c r="J1099" s="8">
        <v>10908.22</v>
      </c>
      <c r="K1099" s="8">
        <v>138.56</v>
      </c>
      <c r="L1099" s="8">
        <v>22</v>
      </c>
      <c r="M1099" s="8">
        <v>435445014964.2254</v>
      </c>
      <c r="N1099" s="8">
        <v>14.23</v>
      </c>
      <c r="O1099" s="8" t="str">
        <f>vw_scenario_analysis_dataset[[#This Row],[reporter_name]] &amp; "-" &amp; vw_scenario_analysis_dataset[[#This Row],[reference_year]]</f>
        <v>Malaysia-2018</v>
      </c>
    </row>
    <row r="1100" spans="1:15" x14ac:dyDescent="0.3">
      <c r="A1100" s="8" t="s">
        <v>258</v>
      </c>
      <c r="B1100" s="8" t="s">
        <v>259</v>
      </c>
      <c r="C1100" s="8">
        <v>2019</v>
      </c>
      <c r="D1100" s="8">
        <v>480423811304.65796</v>
      </c>
      <c r="E1100" s="8">
        <v>365000000000</v>
      </c>
      <c r="F1100" s="8">
        <v>33440596</v>
      </c>
      <c r="G1100" s="8">
        <v>4.4131874209999999</v>
      </c>
      <c r="H1100" s="8">
        <v>123.02856199999999</v>
      </c>
      <c r="I1100" s="8">
        <v>14366.48</v>
      </c>
      <c r="J1100" s="8">
        <v>10914.88</v>
      </c>
      <c r="K1100" s="8">
        <v>131.62</v>
      </c>
      <c r="L1100" s="8">
        <v>23</v>
      </c>
      <c r="M1100" s="8">
        <v>497423380022.33795</v>
      </c>
      <c r="N1100" s="8">
        <v>-3.42</v>
      </c>
      <c r="O1100" s="8" t="str">
        <f>vw_scenario_analysis_dataset[[#This Row],[reporter_name]] &amp; "-" &amp; vw_scenario_analysis_dataset[[#This Row],[reference_year]]</f>
        <v>Malaysia-2019</v>
      </c>
    </row>
    <row r="1101" spans="1:15" x14ac:dyDescent="0.3">
      <c r="A1101" s="8" t="s">
        <v>258</v>
      </c>
      <c r="B1101" s="8" t="s">
        <v>259</v>
      </c>
      <c r="C1101" s="8">
        <v>2020</v>
      </c>
      <c r="D1101" s="8">
        <v>468100534906.73114</v>
      </c>
      <c r="E1101" s="8">
        <v>337000000000</v>
      </c>
      <c r="F1101" s="8">
        <v>33889558</v>
      </c>
      <c r="G1101" s="8">
        <v>-5.456846584</v>
      </c>
      <c r="H1101" s="8">
        <v>116.7881824</v>
      </c>
      <c r="I1101" s="8">
        <v>13812.53</v>
      </c>
      <c r="J1101" s="8">
        <v>9944.07</v>
      </c>
      <c r="K1101" s="8">
        <v>138.9</v>
      </c>
      <c r="L1101" s="8">
        <v>21</v>
      </c>
      <c r="M1101" s="8">
        <v>480423811304.65796</v>
      </c>
      <c r="N1101" s="8">
        <v>-2.57</v>
      </c>
      <c r="O1101" s="8" t="str">
        <f>vw_scenario_analysis_dataset[[#This Row],[reporter_name]] &amp; "-" &amp; vw_scenario_analysis_dataset[[#This Row],[reference_year]]</f>
        <v>Malaysia-2020</v>
      </c>
    </row>
    <row r="1102" spans="1:15" x14ac:dyDescent="0.3">
      <c r="A1102" s="8" t="s">
        <v>258</v>
      </c>
      <c r="B1102" s="8" t="s">
        <v>259</v>
      </c>
      <c r="C1102" s="8">
        <v>2021</v>
      </c>
      <c r="D1102" s="8">
        <v>598460868788.46631</v>
      </c>
      <c r="E1102" s="8">
        <v>374000000000</v>
      </c>
      <c r="F1102" s="8">
        <v>34282399</v>
      </c>
      <c r="G1102" s="8">
        <v>3.315349544</v>
      </c>
      <c r="H1102" s="8">
        <v>134.0359947</v>
      </c>
      <c r="I1102" s="8">
        <v>17456.8</v>
      </c>
      <c r="J1102" s="8">
        <v>10909.39</v>
      </c>
      <c r="K1102" s="8">
        <v>160.02000000000001</v>
      </c>
      <c r="L1102" s="8">
        <v>21</v>
      </c>
      <c r="M1102" s="8">
        <v>468100534906.73114</v>
      </c>
      <c r="N1102" s="8">
        <v>27.85</v>
      </c>
      <c r="O1102" s="8" t="str">
        <f>vw_scenario_analysis_dataset[[#This Row],[reporter_name]] &amp; "-" &amp; vw_scenario_analysis_dataset[[#This Row],[reference_year]]</f>
        <v>Malaysia-2021</v>
      </c>
    </row>
    <row r="1103" spans="1:15" x14ac:dyDescent="0.3">
      <c r="A1103" s="8" t="s">
        <v>258</v>
      </c>
      <c r="B1103" s="8" t="s">
        <v>259</v>
      </c>
      <c r="C1103" s="8">
        <v>2022</v>
      </c>
      <c r="D1103" s="8">
        <v>704376332681.10425</v>
      </c>
      <c r="E1103" s="8">
        <v>408000000000</v>
      </c>
      <c r="F1103" s="8">
        <v>34695493</v>
      </c>
      <c r="G1103" s="8">
        <v>9.0317372299999992</v>
      </c>
      <c r="H1103" s="8">
        <v>146.4246048</v>
      </c>
      <c r="I1103" s="8">
        <v>20301.669999999998</v>
      </c>
      <c r="J1103" s="8">
        <v>11759.45</v>
      </c>
      <c r="K1103" s="8">
        <v>172.64</v>
      </c>
      <c r="L1103" s="8">
        <v>21</v>
      </c>
      <c r="M1103" s="8">
        <v>598460868788.46631</v>
      </c>
      <c r="N1103" s="8">
        <v>17.7</v>
      </c>
      <c r="O1103" s="8" t="str">
        <f>vw_scenario_analysis_dataset[[#This Row],[reporter_name]] &amp; "-" &amp; vw_scenario_analysis_dataset[[#This Row],[reference_year]]</f>
        <v>Malaysia-2022</v>
      </c>
    </row>
    <row r="1104" spans="1:15" x14ac:dyDescent="0.3">
      <c r="A1104" s="8" t="s">
        <v>258</v>
      </c>
      <c r="B1104" s="8" t="s">
        <v>259</v>
      </c>
      <c r="C1104" s="8">
        <v>2023</v>
      </c>
      <c r="D1104" s="8">
        <v>625210771163.29419</v>
      </c>
      <c r="E1104" s="8">
        <v>400000000000</v>
      </c>
      <c r="F1104" s="8">
        <v>35126298</v>
      </c>
      <c r="G1104" s="8">
        <v>3.5370638040000002</v>
      </c>
      <c r="H1104" s="8">
        <v>132.59346160000001</v>
      </c>
      <c r="I1104" s="8">
        <v>17798.939999999999</v>
      </c>
      <c r="J1104" s="8">
        <v>11387.48</v>
      </c>
      <c r="K1104" s="8">
        <v>156.30000000000001</v>
      </c>
      <c r="L1104" s="8">
        <v>22</v>
      </c>
      <c r="M1104" s="8">
        <v>704376332681.10425</v>
      </c>
      <c r="N1104" s="8">
        <v>-11.24</v>
      </c>
      <c r="O1104" s="8" t="str">
        <f>vw_scenario_analysis_dataset[[#This Row],[reporter_name]] &amp; "-" &amp; vw_scenario_analysis_dataset[[#This Row],[reference_year]]</f>
        <v>Malaysia-2023</v>
      </c>
    </row>
    <row r="1105" spans="1:15" x14ac:dyDescent="0.3">
      <c r="A1105" s="8" t="s">
        <v>258</v>
      </c>
      <c r="B1105" s="8" t="s">
        <v>259</v>
      </c>
      <c r="C1105" s="8">
        <v>2024</v>
      </c>
      <c r="D1105" s="8">
        <v>658908054184.78552</v>
      </c>
      <c r="E1105" s="8">
        <v>422000000000</v>
      </c>
      <c r="F1105" s="8">
        <v>35557673</v>
      </c>
      <c r="G1105" s="8">
        <v>5.1054592100000002</v>
      </c>
      <c r="H1105" s="8">
        <v>137.36257119999999</v>
      </c>
      <c r="I1105" s="8">
        <v>18530.689999999999</v>
      </c>
      <c r="J1105" s="8">
        <v>11868.04</v>
      </c>
      <c r="K1105" s="8">
        <v>156.13999999999999</v>
      </c>
      <c r="L1105" s="8">
        <v>19</v>
      </c>
      <c r="M1105" s="8">
        <v>625210771163.29419</v>
      </c>
      <c r="N1105" s="8">
        <v>5.39</v>
      </c>
      <c r="O1105" s="8" t="str">
        <f>vw_scenario_analysis_dataset[[#This Row],[reporter_name]] &amp; "-" &amp; vw_scenario_analysis_dataset[[#This Row],[reference_year]]</f>
        <v>Malaysia-2024</v>
      </c>
    </row>
    <row r="1106" spans="1:15" x14ac:dyDescent="0.3">
      <c r="A1106" s="8" t="s">
        <v>260</v>
      </c>
      <c r="B1106" s="8" t="s">
        <v>261</v>
      </c>
      <c r="C1106" s="8">
        <v>2015</v>
      </c>
      <c r="D1106" s="8">
        <v>9256583499</v>
      </c>
      <c r="E1106" s="8">
        <v>11335161084</v>
      </c>
      <c r="F1106" s="8">
        <v>2374300</v>
      </c>
      <c r="G1106" s="8">
        <v>4.2641745379999998</v>
      </c>
      <c r="H1106" s="8">
        <v>97.239031789999999</v>
      </c>
      <c r="I1106" s="8">
        <v>3898.66</v>
      </c>
      <c r="J1106" s="8">
        <v>4774.1099999999997</v>
      </c>
      <c r="K1106" s="8">
        <v>81.66</v>
      </c>
      <c r="L1106" s="8">
        <v>100</v>
      </c>
      <c r="M1106" s="8"/>
      <c r="N1106" s="8"/>
      <c r="O1106" s="8" t="str">
        <f>vw_scenario_analysis_dataset[[#This Row],[reporter_name]] &amp; "-" &amp; vw_scenario_analysis_dataset[[#This Row],[reference_year]]</f>
        <v>Namibia-2015</v>
      </c>
    </row>
    <row r="1107" spans="1:15" x14ac:dyDescent="0.3">
      <c r="A1107" s="8" t="s">
        <v>260</v>
      </c>
      <c r="B1107" s="8" t="s">
        <v>261</v>
      </c>
      <c r="C1107" s="8">
        <v>2016</v>
      </c>
      <c r="D1107" s="8">
        <v>9631692820</v>
      </c>
      <c r="E1107" s="8">
        <v>10722018732</v>
      </c>
      <c r="F1107" s="8">
        <v>2439213</v>
      </c>
      <c r="G1107" s="8">
        <v>3.3794449999999997E-2</v>
      </c>
      <c r="H1107" s="8">
        <v>93.966187959999999</v>
      </c>
      <c r="I1107" s="8">
        <v>3948.69</v>
      </c>
      <c r="J1107" s="8">
        <v>4395.6899999999996</v>
      </c>
      <c r="K1107" s="8">
        <v>89.83</v>
      </c>
      <c r="L1107" s="8">
        <v>98</v>
      </c>
      <c r="M1107" s="8">
        <v>9256583499</v>
      </c>
      <c r="N1107" s="8">
        <v>4.05</v>
      </c>
      <c r="O1107" s="8" t="str">
        <f>vw_scenario_analysis_dataset[[#This Row],[reporter_name]] &amp; "-" &amp; vw_scenario_analysis_dataset[[#This Row],[reference_year]]</f>
        <v>Namibia-2016</v>
      </c>
    </row>
    <row r="1108" spans="1:15" x14ac:dyDescent="0.3">
      <c r="A1108" s="8" t="s">
        <v>260</v>
      </c>
      <c r="B1108" s="8" t="s">
        <v>261</v>
      </c>
      <c r="C1108" s="8">
        <v>2017</v>
      </c>
      <c r="D1108" s="8">
        <v>10458721850.886</v>
      </c>
      <c r="E1108" s="8">
        <v>12895153371</v>
      </c>
      <c r="F1108" s="8">
        <v>2506853</v>
      </c>
      <c r="G1108" s="8">
        <v>-1.027248089</v>
      </c>
      <c r="H1108" s="8">
        <v>81.219666099999998</v>
      </c>
      <c r="I1108" s="8">
        <v>4172.05</v>
      </c>
      <c r="J1108" s="8">
        <v>5143.96</v>
      </c>
      <c r="K1108" s="8">
        <v>81.11</v>
      </c>
      <c r="L1108" s="8">
        <v>98</v>
      </c>
      <c r="M1108" s="8">
        <v>9631692820</v>
      </c>
      <c r="N1108" s="8">
        <v>8.59</v>
      </c>
      <c r="O1108" s="8" t="str">
        <f>vw_scenario_analysis_dataset[[#This Row],[reporter_name]] &amp; "-" &amp; vw_scenario_analysis_dataset[[#This Row],[reference_year]]</f>
        <v>Namibia-2017</v>
      </c>
    </row>
    <row r="1109" spans="1:15" x14ac:dyDescent="0.3">
      <c r="A1109" s="8" t="s">
        <v>260</v>
      </c>
      <c r="B1109" s="8" t="s">
        <v>261</v>
      </c>
      <c r="C1109" s="8">
        <v>2018</v>
      </c>
      <c r="D1109" s="8">
        <v>14976592000.514994</v>
      </c>
      <c r="E1109" s="8">
        <v>13682019076</v>
      </c>
      <c r="F1109" s="8">
        <v>2577327</v>
      </c>
      <c r="G1109" s="8">
        <v>1.059939499</v>
      </c>
      <c r="H1109" s="8">
        <v>81.713865299999995</v>
      </c>
      <c r="I1109" s="8">
        <v>5810.9</v>
      </c>
      <c r="J1109" s="8">
        <v>5308.61</v>
      </c>
      <c r="K1109" s="8">
        <v>109.46</v>
      </c>
      <c r="L1109" s="8">
        <v>89</v>
      </c>
      <c r="M1109" s="8">
        <v>10458721850.886</v>
      </c>
      <c r="N1109" s="8">
        <v>43.2</v>
      </c>
      <c r="O1109" s="8" t="str">
        <f>vw_scenario_analysis_dataset[[#This Row],[reporter_name]] &amp; "-" &amp; vw_scenario_analysis_dataset[[#This Row],[reference_year]]</f>
        <v>Namibia-2018</v>
      </c>
    </row>
    <row r="1110" spans="1:15" x14ac:dyDescent="0.3">
      <c r="A1110" s="8" t="s">
        <v>260</v>
      </c>
      <c r="B1110" s="8" t="s">
        <v>261</v>
      </c>
      <c r="C1110" s="8">
        <v>2019</v>
      </c>
      <c r="D1110" s="8">
        <v>9485013603.9179993</v>
      </c>
      <c r="E1110" s="8">
        <v>12541928303</v>
      </c>
      <c r="F1110" s="8">
        <v>2650494</v>
      </c>
      <c r="G1110" s="8">
        <v>-0.83915216299999995</v>
      </c>
      <c r="H1110" s="8">
        <v>82.901150740000006</v>
      </c>
      <c r="I1110" s="8">
        <v>3578.58</v>
      </c>
      <c r="J1110" s="8">
        <v>4731.92</v>
      </c>
      <c r="K1110" s="8">
        <v>75.63</v>
      </c>
      <c r="L1110" s="8">
        <v>102</v>
      </c>
      <c r="M1110" s="8">
        <v>14976592000.514994</v>
      </c>
      <c r="N1110" s="8">
        <v>-36.67</v>
      </c>
      <c r="O1110" s="8" t="str">
        <f>vw_scenario_analysis_dataset[[#This Row],[reporter_name]] &amp; "-" &amp; vw_scenario_analysis_dataset[[#This Row],[reference_year]]</f>
        <v>Namibia-2019</v>
      </c>
    </row>
    <row r="1111" spans="1:15" x14ac:dyDescent="0.3">
      <c r="A1111" s="8" t="s">
        <v>260</v>
      </c>
      <c r="B1111" s="8" t="s">
        <v>261</v>
      </c>
      <c r="C1111" s="8">
        <v>2020</v>
      </c>
      <c r="D1111" s="8">
        <v>7735637037.3180027</v>
      </c>
      <c r="E1111" s="8">
        <v>10583748542</v>
      </c>
      <c r="F1111" s="8">
        <v>2728762</v>
      </c>
      <c r="G1111" s="8">
        <v>-8.1014020139999996</v>
      </c>
      <c r="H1111" s="8">
        <v>76.925242400000002</v>
      </c>
      <c r="I1111" s="8">
        <v>2834.85</v>
      </c>
      <c r="J1111" s="8">
        <v>3878.59</v>
      </c>
      <c r="K1111" s="8">
        <v>73.09</v>
      </c>
      <c r="L1111" s="8">
        <v>106</v>
      </c>
      <c r="M1111" s="8">
        <v>9485013603.9179993</v>
      </c>
      <c r="N1111" s="8">
        <v>-18.440000000000001</v>
      </c>
      <c r="O1111" s="8" t="str">
        <f>vw_scenario_analysis_dataset[[#This Row],[reporter_name]] &amp; "-" &amp; vw_scenario_analysis_dataset[[#This Row],[reference_year]]</f>
        <v>Namibia-2020</v>
      </c>
    </row>
    <row r="1112" spans="1:15" x14ac:dyDescent="0.3">
      <c r="A1112" s="8" t="s">
        <v>260</v>
      </c>
      <c r="B1112" s="8" t="s">
        <v>261</v>
      </c>
      <c r="C1112" s="8">
        <v>2021</v>
      </c>
      <c r="D1112" s="8">
        <v>8834125459.6830006</v>
      </c>
      <c r="E1112" s="8">
        <v>12402486184</v>
      </c>
      <c r="F1112" s="8">
        <v>2810548</v>
      </c>
      <c r="G1112" s="8">
        <v>3.6038291920000001</v>
      </c>
      <c r="H1112" s="8">
        <v>83.54430309</v>
      </c>
      <c r="I1112" s="8">
        <v>3143.2</v>
      </c>
      <c r="J1112" s="8">
        <v>4412.84</v>
      </c>
      <c r="K1112" s="8">
        <v>71.23</v>
      </c>
      <c r="L1112" s="8">
        <v>104</v>
      </c>
      <c r="M1112" s="8">
        <v>7735637037.3180027</v>
      </c>
      <c r="N1112" s="8">
        <v>14.2</v>
      </c>
      <c r="O1112" s="8" t="str">
        <f>vw_scenario_analysis_dataset[[#This Row],[reporter_name]] &amp; "-" &amp; vw_scenario_analysis_dataset[[#This Row],[reference_year]]</f>
        <v>Namibia-2021</v>
      </c>
    </row>
    <row r="1113" spans="1:15" x14ac:dyDescent="0.3">
      <c r="A1113" s="8" t="s">
        <v>260</v>
      </c>
      <c r="B1113" s="8" t="s">
        <v>261</v>
      </c>
      <c r="C1113" s="8">
        <v>2022</v>
      </c>
      <c r="D1113" s="8">
        <v>11656436484.000999</v>
      </c>
      <c r="E1113" s="8">
        <v>12569449123</v>
      </c>
      <c r="F1113" s="8">
        <v>2889662</v>
      </c>
      <c r="G1113" s="8">
        <v>5.3987247800000002</v>
      </c>
      <c r="H1113" s="8">
        <v>99.262554780000002</v>
      </c>
      <c r="I1113" s="8">
        <v>4033.84</v>
      </c>
      <c r="J1113" s="8">
        <v>4349.8</v>
      </c>
      <c r="K1113" s="8">
        <v>92.74</v>
      </c>
      <c r="L1113" s="8">
        <v>100</v>
      </c>
      <c r="M1113" s="8">
        <v>8834125459.6830006</v>
      </c>
      <c r="N1113" s="8">
        <v>31.95</v>
      </c>
      <c r="O1113" s="8" t="str">
        <f>vw_scenario_analysis_dataset[[#This Row],[reporter_name]] &amp; "-" &amp; vw_scenario_analysis_dataset[[#This Row],[reference_year]]</f>
        <v>Namibia-2022</v>
      </c>
    </row>
    <row r="1114" spans="1:15" x14ac:dyDescent="0.3">
      <c r="A1114" s="8" t="s">
        <v>260</v>
      </c>
      <c r="B1114" s="8" t="s">
        <v>261</v>
      </c>
      <c r="C1114" s="8">
        <v>2023</v>
      </c>
      <c r="D1114" s="8">
        <v>11052051015.15</v>
      </c>
      <c r="E1114" s="8">
        <v>12522012874</v>
      </c>
      <c r="F1114" s="8">
        <v>2963095</v>
      </c>
      <c r="G1114" s="8">
        <v>4.3249804889999997</v>
      </c>
      <c r="H1114" s="8">
        <v>109.8175997</v>
      </c>
      <c r="I1114" s="8">
        <v>3729.9</v>
      </c>
      <c r="J1114" s="8">
        <v>4225.99</v>
      </c>
      <c r="K1114" s="8">
        <v>88.26</v>
      </c>
      <c r="L1114" s="8">
        <v>102</v>
      </c>
      <c r="M1114" s="8">
        <v>11656436484.000999</v>
      </c>
      <c r="N1114" s="8">
        <v>-5.18</v>
      </c>
      <c r="O1114" s="8" t="str">
        <f>vw_scenario_analysis_dataset[[#This Row],[reporter_name]] &amp; "-" &amp; vw_scenario_analysis_dataset[[#This Row],[reference_year]]</f>
        <v>Namibia-2023</v>
      </c>
    </row>
    <row r="1115" spans="1:15" x14ac:dyDescent="0.3">
      <c r="A1115" s="8" t="s">
        <v>260</v>
      </c>
      <c r="B1115" s="8" t="s">
        <v>261</v>
      </c>
      <c r="C1115" s="8">
        <v>2024</v>
      </c>
      <c r="D1115" s="8">
        <v>13087570286.567997</v>
      </c>
      <c r="E1115" s="8">
        <v>13641190683</v>
      </c>
      <c r="F1115" s="8">
        <v>3030131</v>
      </c>
      <c r="G1115" s="8">
        <v>3.7785172330000001</v>
      </c>
      <c r="H1115" s="8">
        <v>108.0011915</v>
      </c>
      <c r="I1115" s="8">
        <v>4319.1400000000003</v>
      </c>
      <c r="J1115" s="8">
        <v>4501.8500000000004</v>
      </c>
      <c r="K1115" s="8">
        <v>95.94</v>
      </c>
      <c r="L1115" s="8">
        <v>93</v>
      </c>
      <c r="M1115" s="8">
        <v>11052051015.15</v>
      </c>
      <c r="N1115" s="8">
        <v>18.420000000000002</v>
      </c>
      <c r="O1115" s="8" t="str">
        <f>vw_scenario_analysis_dataset[[#This Row],[reporter_name]] &amp; "-" &amp; vw_scenario_analysis_dataset[[#This Row],[reference_year]]</f>
        <v>Namibia-2024</v>
      </c>
    </row>
    <row r="1116" spans="1:15" x14ac:dyDescent="0.3">
      <c r="A1116" s="8" t="s">
        <v>262</v>
      </c>
      <c r="B1116" s="8" t="s">
        <v>263</v>
      </c>
      <c r="C1116" s="8">
        <v>2015</v>
      </c>
      <c r="D1116" s="8">
        <v>2477891233</v>
      </c>
      <c r="E1116" s="8">
        <v>8738203074</v>
      </c>
      <c r="F1116" s="8">
        <v>283168</v>
      </c>
      <c r="G1116" s="8"/>
      <c r="H1116" s="8">
        <v>60.046796100000002</v>
      </c>
      <c r="I1116" s="8">
        <v>8750.6</v>
      </c>
      <c r="J1116" s="8">
        <v>30858.720000000001</v>
      </c>
      <c r="K1116" s="8">
        <v>28.36</v>
      </c>
      <c r="L1116" s="8">
        <v>127</v>
      </c>
      <c r="M1116" s="8"/>
      <c r="N1116" s="8"/>
      <c r="O1116" s="8" t="str">
        <f>vw_scenario_analysis_dataset[[#This Row],[reporter_name]] &amp; "-" &amp; vw_scenario_analysis_dataset[[#This Row],[reference_year]]</f>
        <v>New Caledonia-2015</v>
      </c>
    </row>
    <row r="1117" spans="1:15" x14ac:dyDescent="0.3">
      <c r="A1117" s="8" t="s">
        <v>264</v>
      </c>
      <c r="B1117" s="8" t="s">
        <v>265</v>
      </c>
      <c r="C1117" s="8">
        <v>2015</v>
      </c>
      <c r="D1117" s="8">
        <v>1579540622</v>
      </c>
      <c r="E1117" s="8">
        <v>9683867926</v>
      </c>
      <c r="F1117" s="8">
        <v>19939498</v>
      </c>
      <c r="G1117" s="8">
        <v>4.3926488319999999</v>
      </c>
      <c r="H1117" s="8">
        <v>44.72743037</v>
      </c>
      <c r="I1117" s="8">
        <v>79.22</v>
      </c>
      <c r="J1117" s="8">
        <v>485.66</v>
      </c>
      <c r="K1117" s="8">
        <v>16.309999999999999</v>
      </c>
      <c r="L1117" s="8">
        <v>134</v>
      </c>
      <c r="M1117" s="8"/>
      <c r="N1117" s="8"/>
      <c r="O1117" s="8" t="str">
        <f>vw_scenario_analysis_dataset[[#This Row],[reporter_name]] &amp; "-" &amp; vw_scenario_analysis_dataset[[#This Row],[reference_year]]</f>
        <v>Niger-2015</v>
      </c>
    </row>
    <row r="1118" spans="1:15" x14ac:dyDescent="0.3">
      <c r="A1118" s="8" t="s">
        <v>264</v>
      </c>
      <c r="B1118" s="8" t="s">
        <v>265</v>
      </c>
      <c r="C1118" s="8">
        <v>2016</v>
      </c>
      <c r="D1118" s="8">
        <v>1328857523.1979995</v>
      </c>
      <c r="E1118" s="8">
        <v>10341025540</v>
      </c>
      <c r="F1118" s="8">
        <v>20685753</v>
      </c>
      <c r="G1118" s="8">
        <v>4.2813755850000002</v>
      </c>
      <c r="H1118" s="8">
        <v>36.67483781</v>
      </c>
      <c r="I1118" s="8">
        <v>64.239999999999995</v>
      </c>
      <c r="J1118" s="8">
        <v>499.91</v>
      </c>
      <c r="K1118" s="8">
        <v>12.85</v>
      </c>
      <c r="L1118" s="8">
        <v>137</v>
      </c>
      <c r="M1118" s="8">
        <v>1579540622</v>
      </c>
      <c r="N1118" s="8">
        <v>-15.87</v>
      </c>
      <c r="O1118" s="8" t="str">
        <f>vw_scenario_analysis_dataset[[#This Row],[reporter_name]] &amp; "-" &amp; vw_scenario_analysis_dataset[[#This Row],[reference_year]]</f>
        <v>Niger-2016</v>
      </c>
    </row>
    <row r="1119" spans="1:15" x14ac:dyDescent="0.3">
      <c r="A1119" s="8" t="s">
        <v>264</v>
      </c>
      <c r="B1119" s="8" t="s">
        <v>265</v>
      </c>
      <c r="C1119" s="8">
        <v>2017</v>
      </c>
      <c r="D1119" s="8">
        <v>1741746394.6209998</v>
      </c>
      <c r="E1119" s="8">
        <v>11359273443</v>
      </c>
      <c r="F1119" s="8">
        <v>21435446</v>
      </c>
      <c r="G1119" s="8">
        <v>5.5319853129999998</v>
      </c>
      <c r="H1119" s="8">
        <v>39.029895639999999</v>
      </c>
      <c r="I1119" s="8">
        <v>81.260000000000005</v>
      </c>
      <c r="J1119" s="8">
        <v>529.92999999999995</v>
      </c>
      <c r="K1119" s="8">
        <v>15.33</v>
      </c>
      <c r="L1119" s="8">
        <v>135</v>
      </c>
      <c r="M1119" s="8">
        <v>1328857523.1979995</v>
      </c>
      <c r="N1119" s="8">
        <v>31.07</v>
      </c>
      <c r="O1119" s="8" t="str">
        <f>vw_scenario_analysis_dataset[[#This Row],[reporter_name]] &amp; "-" &amp; vw_scenario_analysis_dataset[[#This Row],[reference_year]]</f>
        <v>Niger-2017</v>
      </c>
    </row>
    <row r="1120" spans="1:15" x14ac:dyDescent="0.3">
      <c r="A1120" s="8" t="s">
        <v>264</v>
      </c>
      <c r="B1120" s="8" t="s">
        <v>265</v>
      </c>
      <c r="C1120" s="8">
        <v>2018</v>
      </c>
      <c r="D1120" s="8">
        <v>1777598875.27</v>
      </c>
      <c r="E1120" s="8">
        <v>12800907986</v>
      </c>
      <c r="F1120" s="8">
        <v>22188069</v>
      </c>
      <c r="G1120" s="8">
        <v>6.8945842089999996</v>
      </c>
      <c r="H1120" s="8">
        <v>38.292969599999999</v>
      </c>
      <c r="I1120" s="8">
        <v>80.12</v>
      </c>
      <c r="J1120" s="8">
        <v>576.92999999999995</v>
      </c>
      <c r="K1120" s="8">
        <v>13.89</v>
      </c>
      <c r="L1120" s="8">
        <v>134</v>
      </c>
      <c r="M1120" s="8">
        <v>1741746394.6209998</v>
      </c>
      <c r="N1120" s="8">
        <v>2.06</v>
      </c>
      <c r="O1120" s="8" t="str">
        <f>vw_scenario_analysis_dataset[[#This Row],[reporter_name]] &amp; "-" &amp; vw_scenario_analysis_dataset[[#This Row],[reference_year]]</f>
        <v>Niger-2018</v>
      </c>
    </row>
    <row r="1121" spans="1:15" x14ac:dyDescent="0.3">
      <c r="A1121" s="8" t="s">
        <v>264</v>
      </c>
      <c r="B1121" s="8" t="s">
        <v>265</v>
      </c>
      <c r="C1121" s="8">
        <v>2019</v>
      </c>
      <c r="D1121" s="8">
        <v>1391846284.3870003</v>
      </c>
      <c r="E1121" s="8">
        <v>12420836507</v>
      </c>
      <c r="F1121" s="8">
        <v>22947757</v>
      </c>
      <c r="G1121" s="8">
        <v>6.0788152899999996</v>
      </c>
      <c r="H1121" s="8">
        <v>39.289303670000002</v>
      </c>
      <c r="I1121" s="8">
        <v>60.65</v>
      </c>
      <c r="J1121" s="8">
        <v>541.27</v>
      </c>
      <c r="K1121" s="8">
        <v>11.21</v>
      </c>
      <c r="L1121" s="8">
        <v>139</v>
      </c>
      <c r="M1121" s="8">
        <v>1777598875.27</v>
      </c>
      <c r="N1121" s="8">
        <v>-21.7</v>
      </c>
      <c r="O1121" s="8" t="str">
        <f>vw_scenario_analysis_dataset[[#This Row],[reporter_name]] &amp; "-" &amp; vw_scenario_analysis_dataset[[#This Row],[reference_year]]</f>
        <v>Niger-2019</v>
      </c>
    </row>
    <row r="1122" spans="1:15" x14ac:dyDescent="0.3">
      <c r="A1122" s="8" t="s">
        <v>264</v>
      </c>
      <c r="B1122" s="8" t="s">
        <v>265</v>
      </c>
      <c r="C1122" s="8">
        <v>2020</v>
      </c>
      <c r="D1122" s="8">
        <v>1412780952.6540008</v>
      </c>
      <c r="E1122" s="8">
        <v>13648332190</v>
      </c>
      <c r="F1122" s="8">
        <v>23717613</v>
      </c>
      <c r="G1122" s="8">
        <v>4.454818038</v>
      </c>
      <c r="H1122" s="8">
        <v>36.338819690000001</v>
      </c>
      <c r="I1122" s="8">
        <v>59.57</v>
      </c>
      <c r="J1122" s="8">
        <v>575.45000000000005</v>
      </c>
      <c r="K1122" s="8">
        <v>10.35</v>
      </c>
      <c r="L1122" s="8">
        <v>136</v>
      </c>
      <c r="M1122" s="8">
        <v>1391846284.3870003</v>
      </c>
      <c r="N1122" s="8">
        <v>1.5</v>
      </c>
      <c r="O1122" s="8" t="str">
        <f>vw_scenario_analysis_dataset[[#This Row],[reporter_name]] &amp; "-" &amp; vw_scenario_analysis_dataset[[#This Row],[reference_year]]</f>
        <v>Niger-2020</v>
      </c>
    </row>
    <row r="1123" spans="1:15" x14ac:dyDescent="0.3">
      <c r="A1123" s="8" t="s">
        <v>264</v>
      </c>
      <c r="B1123" s="8" t="s">
        <v>265</v>
      </c>
      <c r="C1123" s="8">
        <v>2021</v>
      </c>
      <c r="D1123" s="8">
        <v>1474232844.5299997</v>
      </c>
      <c r="E1123" s="8">
        <v>14936154253</v>
      </c>
      <c r="F1123" s="8">
        <v>24502140</v>
      </c>
      <c r="G1123" s="8">
        <v>1.115200639</v>
      </c>
      <c r="H1123" s="8">
        <v>38.046094879999998</v>
      </c>
      <c r="I1123" s="8">
        <v>60.17</v>
      </c>
      <c r="J1123" s="8">
        <v>609.59</v>
      </c>
      <c r="K1123" s="8">
        <v>9.8699999999999992</v>
      </c>
      <c r="L1123" s="8">
        <v>137</v>
      </c>
      <c r="M1123" s="8">
        <v>1412780952.6540008</v>
      </c>
      <c r="N1123" s="8">
        <v>4.3499999999999996</v>
      </c>
      <c r="O1123" s="8" t="str">
        <f>vw_scenario_analysis_dataset[[#This Row],[reporter_name]] &amp; "-" &amp; vw_scenario_analysis_dataset[[#This Row],[reference_year]]</f>
        <v>Niger-2021</v>
      </c>
    </row>
    <row r="1124" spans="1:15" x14ac:dyDescent="0.3">
      <c r="A1124" s="8" t="s">
        <v>264</v>
      </c>
      <c r="B1124" s="8" t="s">
        <v>265</v>
      </c>
      <c r="C1124" s="8">
        <v>2022</v>
      </c>
      <c r="D1124" s="8">
        <v>846698123.36200011</v>
      </c>
      <c r="E1124" s="8">
        <v>15531799641</v>
      </c>
      <c r="F1124" s="8">
        <v>25311973</v>
      </c>
      <c r="G1124" s="8">
        <v>12.221549749999999</v>
      </c>
      <c r="H1124" s="8">
        <v>37.146045409999999</v>
      </c>
      <c r="I1124" s="8">
        <v>33.450000000000003</v>
      </c>
      <c r="J1124" s="8">
        <v>613.61</v>
      </c>
      <c r="K1124" s="8">
        <v>5.45</v>
      </c>
      <c r="L1124" s="8">
        <v>140</v>
      </c>
      <c r="M1124" s="8">
        <v>1474232844.5299997</v>
      </c>
      <c r="N1124" s="8">
        <v>-42.57</v>
      </c>
      <c r="O1124" s="8" t="str">
        <f>vw_scenario_analysis_dataset[[#This Row],[reporter_name]] &amp; "-" &amp; vw_scenario_analysis_dataset[[#This Row],[reference_year]]</f>
        <v>Niger-2022</v>
      </c>
    </row>
    <row r="1125" spans="1:15" x14ac:dyDescent="0.3">
      <c r="A1125" s="8" t="s">
        <v>264</v>
      </c>
      <c r="B1125" s="8" t="s">
        <v>265</v>
      </c>
      <c r="C1125" s="8">
        <v>2023</v>
      </c>
      <c r="D1125" s="8">
        <v>934852444.84399998</v>
      </c>
      <c r="E1125" s="8">
        <v>16949765464</v>
      </c>
      <c r="F1125" s="8">
        <v>26159867</v>
      </c>
      <c r="G1125" s="8">
        <v>2.6351698039999998</v>
      </c>
      <c r="H1125" s="8">
        <v>30.717653510000002</v>
      </c>
      <c r="I1125" s="8">
        <v>35.74</v>
      </c>
      <c r="J1125" s="8">
        <v>647.92999999999995</v>
      </c>
      <c r="K1125" s="8">
        <v>5.52</v>
      </c>
      <c r="L1125" s="8">
        <v>136</v>
      </c>
      <c r="M1125" s="8">
        <v>846698123.36200011</v>
      </c>
      <c r="N1125" s="8">
        <v>10.41</v>
      </c>
      <c r="O1125" s="8" t="str">
        <f>vw_scenario_analysis_dataset[[#This Row],[reporter_name]] &amp; "-" &amp; vw_scenario_analysis_dataset[[#This Row],[reference_year]]</f>
        <v>Niger-2023</v>
      </c>
    </row>
    <row r="1126" spans="1:15" x14ac:dyDescent="0.3">
      <c r="A1126" s="8" t="s">
        <v>264</v>
      </c>
      <c r="B1126" s="8" t="s">
        <v>265</v>
      </c>
      <c r="C1126" s="8">
        <v>2024</v>
      </c>
      <c r="D1126" s="8">
        <v>2015573314.8740001</v>
      </c>
      <c r="E1126" s="8">
        <v>19729786047</v>
      </c>
      <c r="F1126" s="8">
        <v>27032412</v>
      </c>
      <c r="G1126" s="8">
        <v>8.3232705829999993</v>
      </c>
      <c r="H1126" s="8">
        <v>24.38894621</v>
      </c>
      <c r="I1126" s="8">
        <v>74.56</v>
      </c>
      <c r="J1126" s="8">
        <v>729.86</v>
      </c>
      <c r="K1126" s="8">
        <v>10.220000000000001</v>
      </c>
      <c r="L1126" s="8">
        <v>113</v>
      </c>
      <c r="M1126" s="8">
        <v>934852444.84399998</v>
      </c>
      <c r="N1126" s="8">
        <v>115.6</v>
      </c>
      <c r="O1126" s="8" t="str">
        <f>vw_scenario_analysis_dataset[[#This Row],[reporter_name]] &amp; "-" &amp; vw_scenario_analysis_dataset[[#This Row],[reference_year]]</f>
        <v>Niger-2024</v>
      </c>
    </row>
    <row r="1127" spans="1:15" x14ac:dyDescent="0.3">
      <c r="A1127" s="8" t="s">
        <v>266</v>
      </c>
      <c r="B1127" s="8" t="s">
        <v>267</v>
      </c>
      <c r="C1127" s="8">
        <v>2015</v>
      </c>
      <c r="D1127" s="8">
        <v>96866702739.303024</v>
      </c>
      <c r="E1127" s="8">
        <v>493000000000</v>
      </c>
      <c r="F1127" s="8">
        <v>190671878</v>
      </c>
      <c r="G1127" s="8">
        <v>2.6526932950000002</v>
      </c>
      <c r="H1127" s="8"/>
      <c r="I1127" s="8">
        <v>508.03</v>
      </c>
      <c r="J1127" s="8">
        <v>2585.59</v>
      </c>
      <c r="K1127" s="8">
        <v>19.649999999999999</v>
      </c>
      <c r="L1127" s="8">
        <v>46</v>
      </c>
      <c r="M1127" s="8"/>
      <c r="N1127" s="8"/>
      <c r="O1127" s="8" t="str">
        <f>vw_scenario_analysis_dataset[[#This Row],[reporter_name]] &amp; "-" &amp; vw_scenario_analysis_dataset[[#This Row],[reference_year]]</f>
        <v>Nigeria-2015</v>
      </c>
    </row>
    <row r="1128" spans="1:15" x14ac:dyDescent="0.3">
      <c r="A1128" s="8" t="s">
        <v>266</v>
      </c>
      <c r="B1128" s="8" t="s">
        <v>267</v>
      </c>
      <c r="C1128" s="8">
        <v>2016</v>
      </c>
      <c r="D1128" s="8">
        <v>65766090936</v>
      </c>
      <c r="E1128" s="8">
        <v>405000000000</v>
      </c>
      <c r="F1128" s="8">
        <v>195443700</v>
      </c>
      <c r="G1128" s="8">
        <v>-1.6168689490000001</v>
      </c>
      <c r="H1128" s="8"/>
      <c r="I1128" s="8">
        <v>336.5</v>
      </c>
      <c r="J1128" s="8">
        <v>2072.21</v>
      </c>
      <c r="K1128" s="8">
        <v>16.239999999999998</v>
      </c>
      <c r="L1128" s="8">
        <v>51</v>
      </c>
      <c r="M1128" s="8">
        <v>96866702739.303024</v>
      </c>
      <c r="N1128" s="8">
        <v>-32.11</v>
      </c>
      <c r="O1128" s="8" t="str">
        <f>vw_scenario_analysis_dataset[[#This Row],[reporter_name]] &amp; "-" &amp; vw_scenario_analysis_dataset[[#This Row],[reference_year]]</f>
        <v>Nigeria-2016</v>
      </c>
    </row>
    <row r="1129" spans="1:15" x14ac:dyDescent="0.3">
      <c r="A1129" s="8" t="s">
        <v>266</v>
      </c>
      <c r="B1129" s="8" t="s">
        <v>267</v>
      </c>
      <c r="C1129" s="8">
        <v>2017</v>
      </c>
      <c r="D1129" s="8">
        <v>88932733514.230988</v>
      </c>
      <c r="E1129" s="8">
        <v>376000000000</v>
      </c>
      <c r="F1129" s="8">
        <v>200254579</v>
      </c>
      <c r="G1129" s="8">
        <v>0.80588661900000003</v>
      </c>
      <c r="H1129" s="8"/>
      <c r="I1129" s="8">
        <v>444.1</v>
      </c>
      <c r="J1129" s="8">
        <v>1877.61</v>
      </c>
      <c r="K1129" s="8">
        <v>23.65</v>
      </c>
      <c r="L1129" s="8">
        <v>46</v>
      </c>
      <c r="M1129" s="8">
        <v>65766090936</v>
      </c>
      <c r="N1129" s="8">
        <v>35.229999999999997</v>
      </c>
      <c r="O1129" s="8" t="str">
        <f>vw_scenario_analysis_dataset[[#This Row],[reporter_name]] &amp; "-" &amp; vw_scenario_analysis_dataset[[#This Row],[reference_year]]</f>
        <v>Nigeria-2017</v>
      </c>
    </row>
    <row r="1130" spans="1:15" x14ac:dyDescent="0.3">
      <c r="A1130" s="8" t="s">
        <v>266</v>
      </c>
      <c r="B1130" s="8" t="s">
        <v>267</v>
      </c>
      <c r="C1130" s="8">
        <v>2018</v>
      </c>
      <c r="D1130" s="8">
        <v>124799392680.83505</v>
      </c>
      <c r="E1130" s="8">
        <v>422000000000</v>
      </c>
      <c r="F1130" s="8">
        <v>204938755</v>
      </c>
      <c r="G1130" s="8">
        <v>1.9227573419999999</v>
      </c>
      <c r="H1130" s="8"/>
      <c r="I1130" s="8">
        <v>608.96</v>
      </c>
      <c r="J1130" s="8">
        <v>2059.15</v>
      </c>
      <c r="K1130" s="8">
        <v>29.57</v>
      </c>
      <c r="L1130" s="8">
        <v>43</v>
      </c>
      <c r="M1130" s="8">
        <v>88932733514.230988</v>
      </c>
      <c r="N1130" s="8">
        <v>40.33</v>
      </c>
      <c r="O1130" s="8" t="str">
        <f>vw_scenario_analysis_dataset[[#This Row],[reporter_name]] &amp; "-" &amp; vw_scenario_analysis_dataset[[#This Row],[reference_year]]</f>
        <v>Nigeria-2018</v>
      </c>
    </row>
    <row r="1131" spans="1:15" x14ac:dyDescent="0.3">
      <c r="A1131" s="8" t="s">
        <v>266</v>
      </c>
      <c r="B1131" s="8" t="s">
        <v>267</v>
      </c>
      <c r="C1131" s="8">
        <v>2019</v>
      </c>
      <c r="D1131" s="8">
        <v>107235624380.59999</v>
      </c>
      <c r="E1131" s="8">
        <v>668000000000</v>
      </c>
      <c r="F1131" s="8">
        <v>209485641</v>
      </c>
      <c r="G1131" s="8">
        <v>2.2084292780000001</v>
      </c>
      <c r="H1131" s="8"/>
      <c r="I1131" s="8">
        <v>511.9</v>
      </c>
      <c r="J1131" s="8">
        <v>3188.76</v>
      </c>
      <c r="K1131" s="8">
        <v>16.05</v>
      </c>
      <c r="L1131" s="8">
        <v>45</v>
      </c>
      <c r="M1131" s="8">
        <v>124799392680.83505</v>
      </c>
      <c r="N1131" s="8">
        <v>-14.07</v>
      </c>
      <c r="O1131" s="8" t="str">
        <f>vw_scenario_analysis_dataset[[#This Row],[reporter_name]] &amp; "-" &amp; vw_scenario_analysis_dataset[[#This Row],[reference_year]]</f>
        <v>Nigeria-2019</v>
      </c>
    </row>
    <row r="1132" spans="1:15" x14ac:dyDescent="0.3">
      <c r="A1132" s="8" t="s">
        <v>266</v>
      </c>
      <c r="B1132" s="8" t="s">
        <v>267</v>
      </c>
      <c r="C1132" s="8">
        <v>2020</v>
      </c>
      <c r="D1132" s="8">
        <v>69800942182.63295</v>
      </c>
      <c r="E1132" s="8">
        <v>599000000000</v>
      </c>
      <c r="F1132" s="8">
        <v>213996181</v>
      </c>
      <c r="G1132" s="8">
        <v>-6.3688984050000004</v>
      </c>
      <c r="H1132" s="8"/>
      <c r="I1132" s="8">
        <v>326.18</v>
      </c>
      <c r="J1132" s="8">
        <v>2799.12</v>
      </c>
      <c r="K1132" s="8">
        <v>11.65</v>
      </c>
      <c r="L1132" s="8">
        <v>50</v>
      </c>
      <c r="M1132" s="8">
        <v>107235624380.59999</v>
      </c>
      <c r="N1132" s="8">
        <v>-34.909999999999997</v>
      </c>
      <c r="O1132" s="8" t="str">
        <f>vw_scenario_analysis_dataset[[#This Row],[reporter_name]] &amp; "-" &amp; vw_scenario_analysis_dataset[[#This Row],[reference_year]]</f>
        <v>Nigeria-2020</v>
      </c>
    </row>
    <row r="1133" spans="1:15" x14ac:dyDescent="0.3">
      <c r="A1133" s="8" t="s">
        <v>266</v>
      </c>
      <c r="B1133" s="8" t="s">
        <v>267</v>
      </c>
      <c r="C1133" s="8">
        <v>2021</v>
      </c>
      <c r="D1133" s="8">
        <v>94463425860.727982</v>
      </c>
      <c r="E1133" s="8">
        <v>609000000000</v>
      </c>
      <c r="F1133" s="8">
        <v>218529286</v>
      </c>
      <c r="G1133" s="8">
        <v>1.10925254</v>
      </c>
      <c r="H1133" s="8"/>
      <c r="I1133" s="8">
        <v>432.27</v>
      </c>
      <c r="J1133" s="8">
        <v>2786.81</v>
      </c>
      <c r="K1133" s="8">
        <v>15.51</v>
      </c>
      <c r="L1133" s="8">
        <v>49</v>
      </c>
      <c r="M1133" s="8">
        <v>69800942182.63295</v>
      </c>
      <c r="N1133" s="8">
        <v>35.33</v>
      </c>
      <c r="O1133" s="8" t="str">
        <f>vw_scenario_analysis_dataset[[#This Row],[reporter_name]] &amp; "-" &amp; vw_scenario_analysis_dataset[[#This Row],[reference_year]]</f>
        <v>Nigeria-2021</v>
      </c>
    </row>
    <row r="1134" spans="1:15" x14ac:dyDescent="0.3">
      <c r="A1134" s="8" t="s">
        <v>266</v>
      </c>
      <c r="B1134" s="8" t="s">
        <v>267</v>
      </c>
      <c r="C1134" s="8">
        <v>2022</v>
      </c>
      <c r="D1134" s="8">
        <v>126833422763.20609</v>
      </c>
      <c r="E1134" s="8">
        <v>647000000000</v>
      </c>
      <c r="F1134" s="8">
        <v>223150896</v>
      </c>
      <c r="G1134" s="8">
        <v>4.3188294919999999</v>
      </c>
      <c r="H1134" s="8"/>
      <c r="I1134" s="8">
        <v>568.38</v>
      </c>
      <c r="J1134" s="8">
        <v>2899.38</v>
      </c>
      <c r="K1134" s="8">
        <v>19.600000000000001</v>
      </c>
      <c r="L1134" s="8">
        <v>46</v>
      </c>
      <c r="M1134" s="8">
        <v>94463425860.727982</v>
      </c>
      <c r="N1134" s="8">
        <v>34.270000000000003</v>
      </c>
      <c r="O1134" s="8" t="str">
        <f>vw_scenario_analysis_dataset[[#This Row],[reporter_name]] &amp; "-" &amp; vw_scenario_analysis_dataset[[#This Row],[reference_year]]</f>
        <v>Nigeria-2022</v>
      </c>
    </row>
    <row r="1135" spans="1:15" x14ac:dyDescent="0.3">
      <c r="A1135" s="8" t="s">
        <v>266</v>
      </c>
      <c r="B1135" s="8" t="s">
        <v>267</v>
      </c>
      <c r="C1135" s="8">
        <v>2023</v>
      </c>
      <c r="D1135" s="8">
        <v>130258015095.73695</v>
      </c>
      <c r="E1135" s="8">
        <v>487000000000</v>
      </c>
      <c r="F1135" s="8">
        <v>227882945</v>
      </c>
      <c r="G1135" s="8">
        <v>3.315903681</v>
      </c>
      <c r="H1135" s="8"/>
      <c r="I1135" s="8">
        <v>571.6</v>
      </c>
      <c r="J1135" s="8">
        <v>2137.06</v>
      </c>
      <c r="K1135" s="8">
        <v>26.75</v>
      </c>
      <c r="L1135" s="8">
        <v>43</v>
      </c>
      <c r="M1135" s="8">
        <v>126833422763.20609</v>
      </c>
      <c r="N1135" s="8">
        <v>2.7</v>
      </c>
      <c r="O1135" s="8" t="str">
        <f>vw_scenario_analysis_dataset[[#This Row],[reporter_name]] &amp; "-" &amp; vw_scenario_analysis_dataset[[#This Row],[reference_year]]</f>
        <v>Nigeria-2023</v>
      </c>
    </row>
    <row r="1136" spans="1:15" x14ac:dyDescent="0.3">
      <c r="A1136" s="8" t="s">
        <v>266</v>
      </c>
      <c r="B1136" s="8" t="s">
        <v>267</v>
      </c>
      <c r="C1136" s="8">
        <v>2024</v>
      </c>
      <c r="D1136" s="8">
        <v>104723401574.56094</v>
      </c>
      <c r="E1136" s="8">
        <v>252000000000</v>
      </c>
      <c r="F1136" s="8">
        <v>232679478</v>
      </c>
      <c r="G1136" s="8">
        <v>4.0710665009999998</v>
      </c>
      <c r="H1136" s="8"/>
      <c r="I1136" s="8">
        <v>450.08</v>
      </c>
      <c r="J1136" s="8">
        <v>1083.03</v>
      </c>
      <c r="K1136" s="8">
        <v>41.56</v>
      </c>
      <c r="L1136" s="8">
        <v>47</v>
      </c>
      <c r="M1136" s="8">
        <v>130258015095.73695</v>
      </c>
      <c r="N1136" s="8">
        <v>-19.600000000000001</v>
      </c>
      <c r="O1136" s="8" t="str">
        <f>vw_scenario_analysis_dataset[[#This Row],[reporter_name]] &amp; "-" &amp; vw_scenario_analysis_dataset[[#This Row],[reference_year]]</f>
        <v>Nigeria-2024</v>
      </c>
    </row>
    <row r="1137" spans="1:15" x14ac:dyDescent="0.3">
      <c r="A1137" s="8" t="s">
        <v>268</v>
      </c>
      <c r="B1137" s="8" t="s">
        <v>269</v>
      </c>
      <c r="C1137" s="8">
        <v>2015</v>
      </c>
      <c r="D1137" s="8">
        <v>9334731220</v>
      </c>
      <c r="E1137" s="8">
        <v>12756696261</v>
      </c>
      <c r="F1137" s="8">
        <v>6149417</v>
      </c>
      <c r="G1137" s="8">
        <v>4.7922676830000004</v>
      </c>
      <c r="H1137" s="8">
        <v>98.19416459</v>
      </c>
      <c r="I1137" s="8">
        <v>1517.99</v>
      </c>
      <c r="J1137" s="8">
        <v>2074.46</v>
      </c>
      <c r="K1137" s="8">
        <v>73.180000000000007</v>
      </c>
      <c r="L1137" s="8">
        <v>99</v>
      </c>
      <c r="M1137" s="8"/>
      <c r="N1137" s="8"/>
      <c r="O1137" s="8" t="str">
        <f>vw_scenario_analysis_dataset[[#This Row],[reporter_name]] &amp; "-" &amp; vw_scenario_analysis_dataset[[#This Row],[reference_year]]</f>
        <v>Nicaragua-2015</v>
      </c>
    </row>
    <row r="1138" spans="1:15" x14ac:dyDescent="0.3">
      <c r="A1138" s="8" t="s">
        <v>268</v>
      </c>
      <c r="B1138" s="8" t="s">
        <v>269</v>
      </c>
      <c r="C1138" s="8">
        <v>2016</v>
      </c>
      <c r="D1138" s="8">
        <v>9183923957.8599949</v>
      </c>
      <c r="E1138" s="8">
        <v>13286093388</v>
      </c>
      <c r="F1138" s="8">
        <v>6232666</v>
      </c>
      <c r="G1138" s="8">
        <v>4.5631473949999997</v>
      </c>
      <c r="H1138" s="8">
        <v>93.813727810000003</v>
      </c>
      <c r="I1138" s="8">
        <v>1473.51</v>
      </c>
      <c r="J1138" s="8">
        <v>2131.69</v>
      </c>
      <c r="K1138" s="8">
        <v>69.12</v>
      </c>
      <c r="L1138" s="8">
        <v>100</v>
      </c>
      <c r="M1138" s="8">
        <v>9334731220</v>
      </c>
      <c r="N1138" s="8">
        <v>-1.62</v>
      </c>
      <c r="O1138" s="8" t="str">
        <f>vw_scenario_analysis_dataset[[#This Row],[reporter_name]] &amp; "-" &amp; vw_scenario_analysis_dataset[[#This Row],[reference_year]]</f>
        <v>Nicaragua-2016</v>
      </c>
    </row>
    <row r="1139" spans="1:15" x14ac:dyDescent="0.3">
      <c r="A1139" s="8" t="s">
        <v>268</v>
      </c>
      <c r="B1139" s="8" t="s">
        <v>269</v>
      </c>
      <c r="C1139" s="8">
        <v>2017</v>
      </c>
      <c r="D1139" s="8">
        <v>9851162355.3199997</v>
      </c>
      <c r="E1139" s="8">
        <v>13785893007</v>
      </c>
      <c r="F1139" s="8">
        <v>6316231</v>
      </c>
      <c r="G1139" s="8">
        <v>4.6312075760000004</v>
      </c>
      <c r="H1139" s="8">
        <v>96.380586440000002</v>
      </c>
      <c r="I1139" s="8">
        <v>1559.66</v>
      </c>
      <c r="J1139" s="8">
        <v>2182.61</v>
      </c>
      <c r="K1139" s="8">
        <v>71.459999999999994</v>
      </c>
      <c r="L1139" s="8">
        <v>100</v>
      </c>
      <c r="M1139" s="8">
        <v>9183923957.8599949</v>
      </c>
      <c r="N1139" s="8">
        <v>7.27</v>
      </c>
      <c r="O1139" s="8" t="str">
        <f>vw_scenario_analysis_dataset[[#This Row],[reporter_name]] &amp; "-" &amp; vw_scenario_analysis_dataset[[#This Row],[reference_year]]</f>
        <v>Nicaragua-2017</v>
      </c>
    </row>
    <row r="1140" spans="1:15" x14ac:dyDescent="0.3">
      <c r="A1140" s="8" t="s">
        <v>268</v>
      </c>
      <c r="B1140" s="8" t="s">
        <v>269</v>
      </c>
      <c r="C1140" s="8">
        <v>2018</v>
      </c>
      <c r="D1140" s="8">
        <v>10027815139.259998</v>
      </c>
      <c r="E1140" s="8">
        <v>13025221974</v>
      </c>
      <c r="F1140" s="8">
        <v>6400080</v>
      </c>
      <c r="G1140" s="8">
        <v>-3.36335666</v>
      </c>
      <c r="H1140" s="8">
        <v>93.984740489999993</v>
      </c>
      <c r="I1140" s="8">
        <v>1566.83</v>
      </c>
      <c r="J1140" s="8">
        <v>2035.17</v>
      </c>
      <c r="K1140" s="8">
        <v>76.989999999999995</v>
      </c>
      <c r="L1140" s="8">
        <v>101</v>
      </c>
      <c r="M1140" s="8">
        <v>9851162355.3199997</v>
      </c>
      <c r="N1140" s="8">
        <v>1.79</v>
      </c>
      <c r="O1140" s="8" t="str">
        <f>vw_scenario_analysis_dataset[[#This Row],[reporter_name]] &amp; "-" &amp; vw_scenario_analysis_dataset[[#This Row],[reference_year]]</f>
        <v>Nicaragua-2018</v>
      </c>
    </row>
    <row r="1141" spans="1:15" x14ac:dyDescent="0.3">
      <c r="A1141" s="8" t="s">
        <v>268</v>
      </c>
      <c r="B1141" s="8" t="s">
        <v>269</v>
      </c>
      <c r="C1141" s="8">
        <v>2019</v>
      </c>
      <c r="D1141" s="8">
        <v>10545106242.66</v>
      </c>
      <c r="E1141" s="8">
        <v>12699023614</v>
      </c>
      <c r="F1141" s="8">
        <v>6483657</v>
      </c>
      <c r="G1141" s="8">
        <v>-2.8968698669999999</v>
      </c>
      <c r="H1141" s="8">
        <v>94.042215920000004</v>
      </c>
      <c r="I1141" s="8">
        <v>1626.41</v>
      </c>
      <c r="J1141" s="8">
        <v>1958.62</v>
      </c>
      <c r="K1141" s="8">
        <v>83.04</v>
      </c>
      <c r="L1141" s="8">
        <v>98</v>
      </c>
      <c r="M1141" s="8">
        <v>10027815139.259998</v>
      </c>
      <c r="N1141" s="8">
        <v>5.16</v>
      </c>
      <c r="O1141" s="8" t="str">
        <f>vw_scenario_analysis_dataset[[#This Row],[reporter_name]] &amp; "-" &amp; vw_scenario_analysis_dataset[[#This Row],[reference_year]]</f>
        <v>Nicaragua-2019</v>
      </c>
    </row>
    <row r="1142" spans="1:15" x14ac:dyDescent="0.3">
      <c r="A1142" s="8" t="s">
        <v>268</v>
      </c>
      <c r="B1142" s="8" t="s">
        <v>269</v>
      </c>
      <c r="C1142" s="8">
        <v>2020</v>
      </c>
      <c r="D1142" s="8">
        <v>10174675439.74</v>
      </c>
      <c r="E1142" s="8">
        <v>12726422432</v>
      </c>
      <c r="F1142" s="8">
        <v>6565267</v>
      </c>
      <c r="G1142" s="8">
        <v>-2.236541763</v>
      </c>
      <c r="H1142" s="8">
        <v>88.638123120000003</v>
      </c>
      <c r="I1142" s="8">
        <v>1549.77</v>
      </c>
      <c r="J1142" s="8">
        <v>1938.45</v>
      </c>
      <c r="K1142" s="8">
        <v>79.95</v>
      </c>
      <c r="L1142" s="8">
        <v>94</v>
      </c>
      <c r="M1142" s="8">
        <v>10545106242.66</v>
      </c>
      <c r="N1142" s="8">
        <v>-3.51</v>
      </c>
      <c r="O1142" s="8" t="str">
        <f>vw_scenario_analysis_dataset[[#This Row],[reporter_name]] &amp; "-" &amp; vw_scenario_analysis_dataset[[#This Row],[reference_year]]</f>
        <v>Nicaragua-2020</v>
      </c>
    </row>
    <row r="1143" spans="1:15" x14ac:dyDescent="0.3">
      <c r="A1143" s="8" t="s">
        <v>268</v>
      </c>
      <c r="B1143" s="8" t="s">
        <v>269</v>
      </c>
      <c r="C1143" s="8">
        <v>2021</v>
      </c>
      <c r="D1143" s="8">
        <v>12989969733.84</v>
      </c>
      <c r="E1143" s="8">
        <v>14209019392</v>
      </c>
      <c r="F1143" s="8">
        <v>6644741</v>
      </c>
      <c r="G1143" s="8">
        <v>10.45438878</v>
      </c>
      <c r="H1143" s="8">
        <v>106.20739810000001</v>
      </c>
      <c r="I1143" s="8">
        <v>1954.92</v>
      </c>
      <c r="J1143" s="8">
        <v>2138.39</v>
      </c>
      <c r="K1143" s="8">
        <v>91.42</v>
      </c>
      <c r="L1143" s="8">
        <v>95</v>
      </c>
      <c r="M1143" s="8">
        <v>10174675439.74</v>
      </c>
      <c r="N1143" s="8">
        <v>27.67</v>
      </c>
      <c r="O1143" s="8" t="str">
        <f>vw_scenario_analysis_dataset[[#This Row],[reporter_name]] &amp; "-" &amp; vw_scenario_analysis_dataset[[#This Row],[reference_year]]</f>
        <v>Nicaragua-2021</v>
      </c>
    </row>
    <row r="1144" spans="1:15" x14ac:dyDescent="0.3">
      <c r="A1144" s="8" t="s">
        <v>268</v>
      </c>
      <c r="B1144" s="8" t="s">
        <v>269</v>
      </c>
      <c r="C1144" s="8">
        <v>2022</v>
      </c>
      <c r="D1144" s="8">
        <v>14719657601.9</v>
      </c>
      <c r="E1144" s="8">
        <v>15634573556</v>
      </c>
      <c r="F1144" s="8">
        <v>6730654</v>
      </c>
      <c r="G1144" s="8">
        <v>3.5502747710000002</v>
      </c>
      <c r="H1144" s="8">
        <v>115.4546709</v>
      </c>
      <c r="I1144" s="8">
        <v>2186.96</v>
      </c>
      <c r="J1144" s="8">
        <v>2322.89</v>
      </c>
      <c r="K1144" s="8">
        <v>94.15</v>
      </c>
      <c r="L1144" s="8">
        <v>96</v>
      </c>
      <c r="M1144" s="8">
        <v>12989969733.84</v>
      </c>
      <c r="N1144" s="8">
        <v>13.32</v>
      </c>
      <c r="O1144" s="8" t="str">
        <f>vw_scenario_analysis_dataset[[#This Row],[reporter_name]] &amp; "-" &amp; vw_scenario_analysis_dataset[[#This Row],[reference_year]]</f>
        <v>Nicaragua-2022</v>
      </c>
    </row>
    <row r="1145" spans="1:15" x14ac:dyDescent="0.3">
      <c r="A1145" s="8" t="s">
        <v>268</v>
      </c>
      <c r="B1145" s="8" t="s">
        <v>269</v>
      </c>
      <c r="C1145" s="8">
        <v>2023</v>
      </c>
      <c r="D1145" s="8">
        <v>14756972854.079992</v>
      </c>
      <c r="E1145" s="8">
        <v>17805842221</v>
      </c>
      <c r="F1145" s="8">
        <v>6823613</v>
      </c>
      <c r="G1145" s="8">
        <v>4.4277939320000002</v>
      </c>
      <c r="H1145" s="8">
        <v>105.0195356</v>
      </c>
      <c r="I1145" s="8">
        <v>2162.63</v>
      </c>
      <c r="J1145" s="8">
        <v>2609.44</v>
      </c>
      <c r="K1145" s="8">
        <v>82.88</v>
      </c>
      <c r="L1145" s="8">
        <v>92</v>
      </c>
      <c r="M1145" s="8">
        <v>14719657601.9</v>
      </c>
      <c r="N1145" s="8">
        <v>0.25</v>
      </c>
      <c r="O1145" s="8" t="str">
        <f>vw_scenario_analysis_dataset[[#This Row],[reporter_name]] &amp; "-" &amp; vw_scenario_analysis_dataset[[#This Row],[reference_year]]</f>
        <v>Nicaragua-2023</v>
      </c>
    </row>
    <row r="1146" spans="1:15" x14ac:dyDescent="0.3">
      <c r="A1146" s="8" t="s">
        <v>268</v>
      </c>
      <c r="B1146" s="8" t="s">
        <v>269</v>
      </c>
      <c r="C1146" s="8">
        <v>2024</v>
      </c>
      <c r="D1146" s="8">
        <v>15043703233.000002</v>
      </c>
      <c r="E1146" s="8">
        <v>19696311850</v>
      </c>
      <c r="F1146" s="8">
        <v>6916140</v>
      </c>
      <c r="G1146" s="8">
        <v>3.5809449529999999</v>
      </c>
      <c r="H1146" s="8">
        <v>99.146065089999993</v>
      </c>
      <c r="I1146" s="8">
        <v>2175.16</v>
      </c>
      <c r="J1146" s="8">
        <v>2847.88</v>
      </c>
      <c r="K1146" s="8">
        <v>76.38</v>
      </c>
      <c r="L1146" s="8">
        <v>88</v>
      </c>
      <c r="M1146" s="8">
        <v>14756972854.079992</v>
      </c>
      <c r="N1146" s="8">
        <v>1.94</v>
      </c>
      <c r="O1146" s="8" t="str">
        <f>vw_scenario_analysis_dataset[[#This Row],[reporter_name]] &amp; "-" &amp; vw_scenario_analysis_dataset[[#This Row],[reference_year]]</f>
        <v>Nicaragua-2024</v>
      </c>
    </row>
    <row r="1147" spans="1:15" x14ac:dyDescent="0.3">
      <c r="A1147" s="8" t="s">
        <v>270</v>
      </c>
      <c r="B1147" s="8" t="s">
        <v>271</v>
      </c>
      <c r="C1147" s="8">
        <v>2015</v>
      </c>
      <c r="D1147" s="8">
        <v>929394432946.56665</v>
      </c>
      <c r="E1147" s="8">
        <v>776000000000</v>
      </c>
      <c r="F1147" s="8">
        <v>16939923</v>
      </c>
      <c r="G1147" s="8">
        <v>2.120640072</v>
      </c>
      <c r="H1147" s="8">
        <v>160.32581260000001</v>
      </c>
      <c r="I1147" s="8">
        <v>54864.15</v>
      </c>
      <c r="J1147" s="8">
        <v>45808.94</v>
      </c>
      <c r="K1147" s="8">
        <v>119.77</v>
      </c>
      <c r="L1147" s="8">
        <v>8</v>
      </c>
      <c r="M1147" s="8"/>
      <c r="N1147" s="8"/>
      <c r="O1147" s="8" t="str">
        <f>vw_scenario_analysis_dataset[[#This Row],[reporter_name]] &amp; "-" &amp; vw_scenario_analysis_dataset[[#This Row],[reference_year]]</f>
        <v>Netherlands-2015</v>
      </c>
    </row>
    <row r="1148" spans="1:15" x14ac:dyDescent="0.3">
      <c r="A1148" s="8" t="s">
        <v>270</v>
      </c>
      <c r="B1148" s="8" t="s">
        <v>271</v>
      </c>
      <c r="C1148" s="8">
        <v>2016</v>
      </c>
      <c r="D1148" s="8">
        <v>936352656282.18054</v>
      </c>
      <c r="E1148" s="8">
        <v>797000000000</v>
      </c>
      <c r="F1148" s="8">
        <v>17030314</v>
      </c>
      <c r="G1148" s="8">
        <v>2.4242806539999999</v>
      </c>
      <c r="H1148" s="8">
        <v>150.96552919999999</v>
      </c>
      <c r="I1148" s="8">
        <v>54981.53</v>
      </c>
      <c r="J1148" s="8">
        <v>46798.9</v>
      </c>
      <c r="K1148" s="8">
        <v>117.48</v>
      </c>
      <c r="L1148" s="8">
        <v>7</v>
      </c>
      <c r="M1148" s="8">
        <v>929394432946.56665</v>
      </c>
      <c r="N1148" s="8">
        <v>0.75</v>
      </c>
      <c r="O1148" s="8" t="str">
        <f>vw_scenario_analysis_dataset[[#This Row],[reporter_name]] &amp; "-" &amp; vw_scenario_analysis_dataset[[#This Row],[reference_year]]</f>
        <v>Netherlands-2016</v>
      </c>
    </row>
    <row r="1149" spans="1:15" x14ac:dyDescent="0.3">
      <c r="A1149" s="8" t="s">
        <v>270</v>
      </c>
      <c r="B1149" s="8" t="s">
        <v>271</v>
      </c>
      <c r="C1149" s="8">
        <v>2017</v>
      </c>
      <c r="D1149" s="8">
        <v>1055815644698.5747</v>
      </c>
      <c r="E1149" s="8">
        <v>848000000000</v>
      </c>
      <c r="F1149" s="8">
        <v>17131296</v>
      </c>
      <c r="G1149" s="8">
        <v>2.7815083469999999</v>
      </c>
      <c r="H1149" s="8">
        <v>159.6460597</v>
      </c>
      <c r="I1149" s="8">
        <v>61630.81</v>
      </c>
      <c r="J1149" s="8">
        <v>49500.05</v>
      </c>
      <c r="K1149" s="8">
        <v>124.51</v>
      </c>
      <c r="L1149" s="8">
        <v>6</v>
      </c>
      <c r="M1149" s="8">
        <v>936352656282.18054</v>
      </c>
      <c r="N1149" s="8">
        <v>12.76</v>
      </c>
      <c r="O1149" s="8" t="str">
        <f>vw_scenario_analysis_dataset[[#This Row],[reporter_name]] &amp; "-" &amp; vw_scenario_analysis_dataset[[#This Row],[reference_year]]</f>
        <v>Netherlands-2017</v>
      </c>
    </row>
    <row r="1150" spans="1:15" x14ac:dyDescent="0.3">
      <c r="A1150" s="8" t="s">
        <v>270</v>
      </c>
      <c r="B1150" s="8" t="s">
        <v>271</v>
      </c>
      <c r="C1150" s="8">
        <v>2018</v>
      </c>
      <c r="D1150" s="8">
        <v>1175786168857.366</v>
      </c>
      <c r="E1150" s="8">
        <v>930000000000</v>
      </c>
      <c r="F1150" s="8">
        <v>17231624</v>
      </c>
      <c r="G1150" s="8">
        <v>2.2587315819999998</v>
      </c>
      <c r="H1150" s="8">
        <v>163.55914659999999</v>
      </c>
      <c r="I1150" s="8">
        <v>68234.210000000006</v>
      </c>
      <c r="J1150" s="8">
        <v>53970.54</v>
      </c>
      <c r="K1150" s="8">
        <v>126.43</v>
      </c>
      <c r="L1150" s="8">
        <v>5</v>
      </c>
      <c r="M1150" s="8">
        <v>1055815644698.5747</v>
      </c>
      <c r="N1150" s="8">
        <v>11.36</v>
      </c>
      <c r="O1150" s="8" t="str">
        <f>vw_scenario_analysis_dataset[[#This Row],[reporter_name]] &amp; "-" &amp; vw_scenario_analysis_dataset[[#This Row],[reference_year]]</f>
        <v>Netherlands-2018</v>
      </c>
    </row>
    <row r="1151" spans="1:15" x14ac:dyDescent="0.3">
      <c r="A1151" s="8" t="s">
        <v>270</v>
      </c>
      <c r="B1151" s="8" t="s">
        <v>271</v>
      </c>
      <c r="C1151" s="8">
        <v>2019</v>
      </c>
      <c r="D1151" s="8">
        <v>1153568910822.5483</v>
      </c>
      <c r="E1151" s="8">
        <v>929000000000</v>
      </c>
      <c r="F1151" s="8">
        <v>17344874</v>
      </c>
      <c r="G1151" s="8">
        <v>2.300161605</v>
      </c>
      <c r="H1151" s="8">
        <v>160.6766719</v>
      </c>
      <c r="I1151" s="8">
        <v>66507.77</v>
      </c>
      <c r="J1151" s="8">
        <v>53560.49</v>
      </c>
      <c r="K1151" s="8">
        <v>124.17</v>
      </c>
      <c r="L1151" s="8">
        <v>4</v>
      </c>
      <c r="M1151" s="8">
        <v>1175786168857.366</v>
      </c>
      <c r="N1151" s="8">
        <v>-1.89</v>
      </c>
      <c r="O1151" s="8" t="str">
        <f>vw_scenario_analysis_dataset[[#This Row],[reporter_name]] &amp; "-" &amp; vw_scenario_analysis_dataset[[#This Row],[reference_year]]</f>
        <v>Netherlands-2019</v>
      </c>
    </row>
    <row r="1152" spans="1:15" x14ac:dyDescent="0.3">
      <c r="A1152" s="8" t="s">
        <v>270</v>
      </c>
      <c r="B1152" s="8" t="s">
        <v>271</v>
      </c>
      <c r="C1152" s="8">
        <v>2020</v>
      </c>
      <c r="D1152" s="8">
        <v>1102705584563.7949</v>
      </c>
      <c r="E1152" s="8">
        <v>933000000000</v>
      </c>
      <c r="F1152" s="8">
        <v>17441500</v>
      </c>
      <c r="G1152" s="8">
        <v>-3.8679971420000001</v>
      </c>
      <c r="H1152" s="8">
        <v>152.2332304</v>
      </c>
      <c r="I1152" s="8">
        <v>63223.09</v>
      </c>
      <c r="J1152" s="8">
        <v>53493.11</v>
      </c>
      <c r="K1152" s="8">
        <v>118.19</v>
      </c>
      <c r="L1152" s="8">
        <v>5</v>
      </c>
      <c r="M1152" s="8">
        <v>1153568910822.5483</v>
      </c>
      <c r="N1152" s="8">
        <v>-4.41</v>
      </c>
      <c r="O1152" s="8" t="str">
        <f>vw_scenario_analysis_dataset[[#This Row],[reporter_name]] &amp; "-" &amp; vw_scenario_analysis_dataset[[#This Row],[reference_year]]</f>
        <v>Netherlands-2020</v>
      </c>
    </row>
    <row r="1153" spans="1:15" x14ac:dyDescent="0.3">
      <c r="A1153" s="8" t="s">
        <v>270</v>
      </c>
      <c r="B1153" s="8" t="s">
        <v>271</v>
      </c>
      <c r="C1153" s="8">
        <v>2021</v>
      </c>
      <c r="D1153" s="8">
        <v>1393746514369.9468</v>
      </c>
      <c r="E1153" s="8">
        <v>1050000000000</v>
      </c>
      <c r="F1153" s="8">
        <v>17533044</v>
      </c>
      <c r="G1153" s="8">
        <v>6.2768359370000004</v>
      </c>
      <c r="H1153" s="8">
        <v>163.15484269999999</v>
      </c>
      <c r="I1153" s="8">
        <v>79492.56</v>
      </c>
      <c r="J1153" s="8">
        <v>59886.92</v>
      </c>
      <c r="K1153" s="8">
        <v>132.74</v>
      </c>
      <c r="L1153" s="8">
        <v>4</v>
      </c>
      <c r="M1153" s="8">
        <v>1102705584563.7949</v>
      </c>
      <c r="N1153" s="8">
        <v>26.39</v>
      </c>
      <c r="O1153" s="8" t="str">
        <f>vw_scenario_analysis_dataset[[#This Row],[reporter_name]] &amp; "-" &amp; vw_scenario_analysis_dataset[[#This Row],[reference_year]]</f>
        <v>Netherlands-2021</v>
      </c>
    </row>
    <row r="1154" spans="1:15" x14ac:dyDescent="0.3">
      <c r="A1154" s="8" t="s">
        <v>270</v>
      </c>
      <c r="B1154" s="8" t="s">
        <v>271</v>
      </c>
      <c r="C1154" s="8">
        <v>2022</v>
      </c>
      <c r="D1154" s="8">
        <v>1536518539361.6272</v>
      </c>
      <c r="E1154" s="8">
        <v>1050000000000</v>
      </c>
      <c r="F1154" s="8">
        <v>17700982</v>
      </c>
      <c r="G1154" s="8">
        <v>5.0072345340000002</v>
      </c>
      <c r="H1154" s="8">
        <v>184.10748430000001</v>
      </c>
      <c r="I1154" s="8">
        <v>86804.14</v>
      </c>
      <c r="J1154" s="8">
        <v>59318.74</v>
      </c>
      <c r="K1154" s="8">
        <v>146.34</v>
      </c>
      <c r="L1154" s="8">
        <v>3</v>
      </c>
      <c r="M1154" s="8">
        <v>1393746514369.9468</v>
      </c>
      <c r="N1154" s="8">
        <v>10.24</v>
      </c>
      <c r="O1154" s="8" t="str">
        <f>vw_scenario_analysis_dataset[[#This Row],[reporter_name]] &amp; "-" &amp; vw_scenario_analysis_dataset[[#This Row],[reference_year]]</f>
        <v>Netherlands-2022</v>
      </c>
    </row>
    <row r="1155" spans="1:15" x14ac:dyDescent="0.3">
      <c r="A1155" s="8" t="s">
        <v>270</v>
      </c>
      <c r="B1155" s="8" t="s">
        <v>271</v>
      </c>
      <c r="C1155" s="8">
        <v>2023</v>
      </c>
      <c r="D1155" s="8">
        <v>1434880199116.707</v>
      </c>
      <c r="E1155" s="8">
        <v>1140000000000</v>
      </c>
      <c r="F1155" s="8">
        <v>17877117</v>
      </c>
      <c r="G1155" s="8">
        <v>-0.598061018</v>
      </c>
      <c r="H1155" s="8">
        <v>165.0304295</v>
      </c>
      <c r="I1155" s="8">
        <v>80263.509999999995</v>
      </c>
      <c r="J1155" s="8">
        <v>63768.67</v>
      </c>
      <c r="K1155" s="8">
        <v>125.87</v>
      </c>
      <c r="L1155" s="8">
        <v>4</v>
      </c>
      <c r="M1155" s="8">
        <v>1536518539361.6272</v>
      </c>
      <c r="N1155" s="8">
        <v>-6.61</v>
      </c>
      <c r="O1155" s="8" t="str">
        <f>vw_scenario_analysis_dataset[[#This Row],[reporter_name]] &amp; "-" &amp; vw_scenario_analysis_dataset[[#This Row],[reference_year]]</f>
        <v>Netherlands-2023</v>
      </c>
    </row>
    <row r="1156" spans="1:15" x14ac:dyDescent="0.3">
      <c r="A1156" s="8" t="s">
        <v>270</v>
      </c>
      <c r="B1156" s="8" t="s">
        <v>271</v>
      </c>
      <c r="C1156" s="8">
        <v>2024</v>
      </c>
      <c r="D1156" s="8">
        <v>1398511380067.49</v>
      </c>
      <c r="E1156" s="8">
        <v>1210000000000</v>
      </c>
      <c r="F1156" s="8">
        <v>17993485</v>
      </c>
      <c r="G1156" s="8">
        <v>1.073831373</v>
      </c>
      <c r="H1156" s="8">
        <v>153.95629059999999</v>
      </c>
      <c r="I1156" s="8">
        <v>77723.210000000006</v>
      </c>
      <c r="J1156" s="8">
        <v>67246.559999999998</v>
      </c>
      <c r="K1156" s="8">
        <v>115.58</v>
      </c>
      <c r="L1156" s="8">
        <v>4</v>
      </c>
      <c r="M1156" s="8">
        <v>1434880199116.707</v>
      </c>
      <c r="N1156" s="8">
        <v>-2.5299999999999998</v>
      </c>
      <c r="O1156" s="8" t="str">
        <f>vw_scenario_analysis_dataset[[#This Row],[reporter_name]] &amp; "-" &amp; vw_scenario_analysis_dataset[[#This Row],[reference_year]]</f>
        <v>Netherlands-2024</v>
      </c>
    </row>
    <row r="1157" spans="1:15" x14ac:dyDescent="0.3">
      <c r="A1157" s="8" t="s">
        <v>272</v>
      </c>
      <c r="B1157" s="8" t="s">
        <v>273</v>
      </c>
      <c r="C1157" s="8">
        <v>2015</v>
      </c>
      <c r="D1157" s="8">
        <v>1320363977</v>
      </c>
      <c r="E1157" s="8">
        <v>24360801287</v>
      </c>
      <c r="F1157" s="8">
        <v>27823629</v>
      </c>
      <c r="G1157" s="8">
        <v>3.9760532720000001</v>
      </c>
      <c r="H1157" s="8">
        <v>46.66573039</v>
      </c>
      <c r="I1157" s="8">
        <v>47.45</v>
      </c>
      <c r="J1157" s="8">
        <v>875.54</v>
      </c>
      <c r="K1157" s="8">
        <v>5.42</v>
      </c>
      <c r="L1157" s="8">
        <v>135</v>
      </c>
      <c r="M1157" s="8"/>
      <c r="N1157" s="8"/>
      <c r="O1157" s="8" t="str">
        <f>vw_scenario_analysis_dataset[[#This Row],[reporter_name]] &amp; "-" &amp; vw_scenario_analysis_dataset[[#This Row],[reference_year]]</f>
        <v>Nepal-2015</v>
      </c>
    </row>
    <row r="1158" spans="1:15" x14ac:dyDescent="0.3">
      <c r="A1158" s="8" t="s">
        <v>272</v>
      </c>
      <c r="B1158" s="8" t="s">
        <v>273</v>
      </c>
      <c r="C1158" s="8">
        <v>2016</v>
      </c>
      <c r="D1158" s="8">
        <v>1457692880.2100003</v>
      </c>
      <c r="E1158" s="8">
        <v>24524109484</v>
      </c>
      <c r="F1158" s="8">
        <v>27955462</v>
      </c>
      <c r="G1158" s="8">
        <v>0.43311371900000001</v>
      </c>
      <c r="H1158" s="8">
        <v>42.11548612</v>
      </c>
      <c r="I1158" s="8">
        <v>52.14</v>
      </c>
      <c r="J1158" s="8">
        <v>877.26</v>
      </c>
      <c r="K1158" s="8">
        <v>5.94</v>
      </c>
      <c r="L1158" s="8">
        <v>136</v>
      </c>
      <c r="M1158" s="8">
        <v>1320363977</v>
      </c>
      <c r="N1158" s="8">
        <v>10.4</v>
      </c>
      <c r="O1158" s="8" t="str">
        <f>vw_scenario_analysis_dataset[[#This Row],[reporter_name]] &amp; "-" &amp; vw_scenario_analysis_dataset[[#This Row],[reference_year]]</f>
        <v>Nepal-2016</v>
      </c>
    </row>
    <row r="1159" spans="1:15" x14ac:dyDescent="0.3">
      <c r="A1159" s="8" t="s">
        <v>272</v>
      </c>
      <c r="B1159" s="8" t="s">
        <v>273</v>
      </c>
      <c r="C1159" s="8">
        <v>2017</v>
      </c>
      <c r="D1159" s="8">
        <v>1481485828.8320003</v>
      </c>
      <c r="E1159" s="8">
        <v>28971588940</v>
      </c>
      <c r="F1159" s="8">
        <v>28011258</v>
      </c>
      <c r="G1159" s="8">
        <v>8.9772793560000004</v>
      </c>
      <c r="H1159" s="8">
        <v>44.64241062</v>
      </c>
      <c r="I1159" s="8">
        <v>52.89</v>
      </c>
      <c r="J1159" s="8">
        <v>1034.28</v>
      </c>
      <c r="K1159" s="8">
        <v>5.1100000000000003</v>
      </c>
      <c r="L1159" s="8">
        <v>140</v>
      </c>
      <c r="M1159" s="8">
        <v>1457692880.2100003</v>
      </c>
      <c r="N1159" s="8">
        <v>1.63</v>
      </c>
      <c r="O1159" s="8" t="str">
        <f>vw_scenario_analysis_dataset[[#This Row],[reporter_name]] &amp; "-" &amp; vw_scenario_analysis_dataset[[#This Row],[reference_year]]</f>
        <v>Nepal-2017</v>
      </c>
    </row>
    <row r="1160" spans="1:15" x14ac:dyDescent="0.3">
      <c r="A1160" s="8" t="s">
        <v>272</v>
      </c>
      <c r="B1160" s="8" t="s">
        <v>273</v>
      </c>
      <c r="C1160" s="8">
        <v>2018</v>
      </c>
      <c r="D1160" s="8">
        <v>1562285513.1200001</v>
      </c>
      <c r="E1160" s="8">
        <v>33111525237</v>
      </c>
      <c r="F1160" s="8">
        <v>28079689</v>
      </c>
      <c r="G1160" s="8">
        <v>7.6223761039999998</v>
      </c>
      <c r="H1160" s="8">
        <v>48.447386950000002</v>
      </c>
      <c r="I1160" s="8">
        <v>55.64</v>
      </c>
      <c r="J1160" s="8">
        <v>1179.2</v>
      </c>
      <c r="K1160" s="8">
        <v>4.72</v>
      </c>
      <c r="L1160" s="8">
        <v>139</v>
      </c>
      <c r="M1160" s="8">
        <v>1481485828.8320003</v>
      </c>
      <c r="N1160" s="8">
        <v>5.45</v>
      </c>
      <c r="O1160" s="8" t="str">
        <f>vw_scenario_analysis_dataset[[#This Row],[reporter_name]] &amp; "-" &amp; vw_scenario_analysis_dataset[[#This Row],[reference_year]]</f>
        <v>Nepal-2018</v>
      </c>
    </row>
    <row r="1161" spans="1:15" x14ac:dyDescent="0.3">
      <c r="A1161" s="8" t="s">
        <v>272</v>
      </c>
      <c r="B1161" s="8" t="s">
        <v>273</v>
      </c>
      <c r="C1161" s="8">
        <v>2019</v>
      </c>
      <c r="D1161" s="8">
        <v>1919257041.6199992</v>
      </c>
      <c r="E1161" s="8">
        <v>34186180699</v>
      </c>
      <c r="F1161" s="8">
        <v>28414064</v>
      </c>
      <c r="G1161" s="8">
        <v>6.6570554309999999</v>
      </c>
      <c r="H1161" s="8">
        <v>49.249526590000002</v>
      </c>
      <c r="I1161" s="8">
        <v>67.55</v>
      </c>
      <c r="J1161" s="8">
        <v>1203.1400000000001</v>
      </c>
      <c r="K1161" s="8">
        <v>5.61</v>
      </c>
      <c r="L1161" s="8">
        <v>132</v>
      </c>
      <c r="M1161" s="8">
        <v>1562285513.1200001</v>
      </c>
      <c r="N1161" s="8">
        <v>22.85</v>
      </c>
      <c r="O1161" s="8" t="str">
        <f>vw_scenario_analysis_dataset[[#This Row],[reporter_name]] &amp; "-" &amp; vw_scenario_analysis_dataset[[#This Row],[reference_year]]</f>
        <v>Nepal-2019</v>
      </c>
    </row>
    <row r="1162" spans="1:15" x14ac:dyDescent="0.3">
      <c r="A1162" s="8" t="s">
        <v>272</v>
      </c>
      <c r="B1162" s="8" t="s">
        <v>273</v>
      </c>
      <c r="C1162" s="8">
        <v>2020</v>
      </c>
      <c r="D1162" s="8">
        <v>1710841209.8960001</v>
      </c>
      <c r="E1162" s="8">
        <v>33433659301</v>
      </c>
      <c r="F1162" s="8">
        <v>28966574</v>
      </c>
      <c r="G1162" s="8">
        <v>-2.3696206289999999</v>
      </c>
      <c r="H1162" s="8">
        <v>40.918874119999998</v>
      </c>
      <c r="I1162" s="8">
        <v>59.06</v>
      </c>
      <c r="J1162" s="8">
        <v>1154.22</v>
      </c>
      <c r="K1162" s="8">
        <v>5.12</v>
      </c>
      <c r="L1162" s="8">
        <v>130</v>
      </c>
      <c r="M1162" s="8">
        <v>1919257041.6199992</v>
      </c>
      <c r="N1162" s="8">
        <v>-10.86</v>
      </c>
      <c r="O1162" s="8" t="str">
        <f>vw_scenario_analysis_dataset[[#This Row],[reporter_name]] &amp; "-" &amp; vw_scenario_analysis_dataset[[#This Row],[reference_year]]</f>
        <v>Nepal-2020</v>
      </c>
    </row>
    <row r="1163" spans="1:15" x14ac:dyDescent="0.3">
      <c r="A1163" s="8" t="s">
        <v>272</v>
      </c>
      <c r="B1163" s="8" t="s">
        <v>273</v>
      </c>
      <c r="C1163" s="8">
        <v>2021</v>
      </c>
      <c r="D1163" s="8">
        <v>3331455589.1000009</v>
      </c>
      <c r="E1163" s="8">
        <v>36924841394</v>
      </c>
      <c r="F1163" s="8">
        <v>29475010</v>
      </c>
      <c r="G1163" s="8">
        <v>4.8381496139999998</v>
      </c>
      <c r="H1163" s="8">
        <v>43.053804790000001</v>
      </c>
      <c r="I1163" s="8">
        <v>113.03</v>
      </c>
      <c r="J1163" s="8">
        <v>1252.75</v>
      </c>
      <c r="K1163" s="8">
        <v>9.02</v>
      </c>
      <c r="L1163" s="8">
        <v>126</v>
      </c>
      <c r="M1163" s="8">
        <v>1710841209.8960001</v>
      </c>
      <c r="N1163" s="8">
        <v>94.73</v>
      </c>
      <c r="O1163" s="8" t="str">
        <f>vw_scenario_analysis_dataset[[#This Row],[reporter_name]] &amp; "-" &amp; vw_scenario_analysis_dataset[[#This Row],[reference_year]]</f>
        <v>Nepal-2021</v>
      </c>
    </row>
    <row r="1164" spans="1:15" x14ac:dyDescent="0.3">
      <c r="A1164" s="8" t="s">
        <v>272</v>
      </c>
      <c r="B1164" s="8" t="s">
        <v>273</v>
      </c>
      <c r="C1164" s="8">
        <v>2022</v>
      </c>
      <c r="D1164" s="8">
        <v>2600939512.9919996</v>
      </c>
      <c r="E1164" s="8">
        <v>41182939520</v>
      </c>
      <c r="F1164" s="8">
        <v>29715436</v>
      </c>
      <c r="G1164" s="8">
        <v>5.6313145569999996</v>
      </c>
      <c r="H1164" s="8">
        <v>48.97340148</v>
      </c>
      <c r="I1164" s="8">
        <v>87.53</v>
      </c>
      <c r="J1164" s="8">
        <v>1385.91</v>
      </c>
      <c r="K1164" s="8">
        <v>6.32</v>
      </c>
      <c r="L1164" s="8">
        <v>129</v>
      </c>
      <c r="M1164" s="8">
        <v>3331455589.1000009</v>
      </c>
      <c r="N1164" s="8">
        <v>-21.93</v>
      </c>
      <c r="O1164" s="8" t="str">
        <f>vw_scenario_analysis_dataset[[#This Row],[reporter_name]] &amp; "-" &amp; vw_scenario_analysis_dataset[[#This Row],[reference_year]]</f>
        <v>Nepal-2022</v>
      </c>
    </row>
    <row r="1165" spans="1:15" x14ac:dyDescent="0.3">
      <c r="A1165" s="8" t="s">
        <v>274</v>
      </c>
      <c r="B1165" s="8" t="s">
        <v>275</v>
      </c>
      <c r="C1165" s="8">
        <v>2015</v>
      </c>
      <c r="D1165" s="8">
        <v>68714670246.476021</v>
      </c>
      <c r="E1165" s="8">
        <v>178000000000</v>
      </c>
      <c r="F1165" s="8">
        <v>4609400</v>
      </c>
      <c r="G1165" s="8">
        <v>3.7296831209999999</v>
      </c>
      <c r="H1165" s="8">
        <v>54.874950579999997</v>
      </c>
      <c r="I1165" s="8">
        <v>14907.51</v>
      </c>
      <c r="J1165" s="8">
        <v>38616.74</v>
      </c>
      <c r="K1165" s="8">
        <v>38.6</v>
      </c>
      <c r="L1165" s="8">
        <v>53</v>
      </c>
      <c r="M1165" s="8"/>
      <c r="N1165" s="8"/>
      <c r="O1165" s="8" t="str">
        <f>vw_scenario_analysis_dataset[[#This Row],[reporter_name]] &amp; "-" &amp; vw_scenario_analysis_dataset[[#This Row],[reference_year]]</f>
        <v>New Zealand-2015</v>
      </c>
    </row>
    <row r="1166" spans="1:15" x14ac:dyDescent="0.3">
      <c r="A1166" s="8" t="s">
        <v>274</v>
      </c>
      <c r="B1166" s="8" t="s">
        <v>275</v>
      </c>
      <c r="C1166" s="8">
        <v>2016</v>
      </c>
      <c r="D1166" s="8">
        <v>67462656941.560982</v>
      </c>
      <c r="E1166" s="8">
        <v>189000000000</v>
      </c>
      <c r="F1166" s="8">
        <v>4714100</v>
      </c>
      <c r="G1166" s="8">
        <v>3.7435247469999999</v>
      </c>
      <c r="H1166" s="8">
        <v>52.47960217</v>
      </c>
      <c r="I1166" s="8">
        <v>14310.82</v>
      </c>
      <c r="J1166" s="8">
        <v>40092.49</v>
      </c>
      <c r="K1166" s="8">
        <v>35.69</v>
      </c>
      <c r="L1166" s="8">
        <v>50</v>
      </c>
      <c r="M1166" s="8">
        <v>68714670246.476021</v>
      </c>
      <c r="N1166" s="8">
        <v>-1.82</v>
      </c>
      <c r="O1166" s="8" t="str">
        <f>vw_scenario_analysis_dataset[[#This Row],[reporter_name]] &amp; "-" &amp; vw_scenario_analysis_dataset[[#This Row],[reference_year]]</f>
        <v>New Zealand-2016</v>
      </c>
    </row>
    <row r="1167" spans="1:15" x14ac:dyDescent="0.3">
      <c r="A1167" s="8" t="s">
        <v>274</v>
      </c>
      <c r="B1167" s="8" t="s">
        <v>275</v>
      </c>
      <c r="C1167" s="8">
        <v>2017</v>
      </c>
      <c r="D1167" s="8">
        <v>76100572399.570023</v>
      </c>
      <c r="E1167" s="8">
        <v>207000000000</v>
      </c>
      <c r="F1167" s="8">
        <v>4813600</v>
      </c>
      <c r="G1167" s="8">
        <v>3.315686216</v>
      </c>
      <c r="H1167" s="8">
        <v>54.277527630000002</v>
      </c>
      <c r="I1167" s="8">
        <v>15809.49</v>
      </c>
      <c r="J1167" s="8">
        <v>43003.16</v>
      </c>
      <c r="K1167" s="8">
        <v>36.76</v>
      </c>
      <c r="L1167" s="8">
        <v>51</v>
      </c>
      <c r="M1167" s="8">
        <v>67462656941.560982</v>
      </c>
      <c r="N1167" s="8">
        <v>12.8</v>
      </c>
      <c r="O1167" s="8" t="str">
        <f>vw_scenario_analysis_dataset[[#This Row],[reporter_name]] &amp; "-" &amp; vw_scenario_analysis_dataset[[#This Row],[reference_year]]</f>
        <v>New Zealand-2017</v>
      </c>
    </row>
    <row r="1168" spans="1:15" x14ac:dyDescent="0.3">
      <c r="A1168" s="8" t="s">
        <v>274</v>
      </c>
      <c r="B1168" s="8" t="s">
        <v>275</v>
      </c>
      <c r="C1168" s="8">
        <v>2018</v>
      </c>
      <c r="D1168" s="8">
        <v>79677797760.991013</v>
      </c>
      <c r="E1168" s="8">
        <v>212000000000</v>
      </c>
      <c r="F1168" s="8">
        <v>4900600</v>
      </c>
      <c r="G1168" s="8">
        <v>3.3221966649999999</v>
      </c>
      <c r="H1168" s="8">
        <v>55.906391849999999</v>
      </c>
      <c r="I1168" s="8">
        <v>16258.78</v>
      </c>
      <c r="J1168" s="8">
        <v>43260.01</v>
      </c>
      <c r="K1168" s="8">
        <v>37.58</v>
      </c>
      <c r="L1168" s="8">
        <v>53</v>
      </c>
      <c r="M1168" s="8">
        <v>76100572399.570023</v>
      </c>
      <c r="N1168" s="8">
        <v>4.7</v>
      </c>
      <c r="O1168" s="8" t="str">
        <f>vw_scenario_analysis_dataset[[#This Row],[reporter_name]] &amp; "-" &amp; vw_scenario_analysis_dataset[[#This Row],[reference_year]]</f>
        <v>New Zealand-2018</v>
      </c>
    </row>
    <row r="1169" spans="1:15" x14ac:dyDescent="0.3">
      <c r="A1169" s="8" t="s">
        <v>274</v>
      </c>
      <c r="B1169" s="8" t="s">
        <v>275</v>
      </c>
      <c r="C1169" s="8">
        <v>2019</v>
      </c>
      <c r="D1169" s="8">
        <v>79079651592.024017</v>
      </c>
      <c r="E1169" s="8">
        <v>213000000000</v>
      </c>
      <c r="F1169" s="8">
        <v>4970300</v>
      </c>
      <c r="G1169" s="8">
        <v>2.3237170840000001</v>
      </c>
      <c r="H1169" s="8">
        <v>54.461246410000001</v>
      </c>
      <c r="I1169" s="8">
        <v>15910.44</v>
      </c>
      <c r="J1169" s="8">
        <v>42854.559999999998</v>
      </c>
      <c r="K1169" s="8">
        <v>37.130000000000003</v>
      </c>
      <c r="L1169" s="8">
        <v>49</v>
      </c>
      <c r="M1169" s="8">
        <v>79677797760.991013</v>
      </c>
      <c r="N1169" s="8">
        <v>-0.75</v>
      </c>
      <c r="O1169" s="8" t="str">
        <f>vw_scenario_analysis_dataset[[#This Row],[reporter_name]] &amp; "-" &amp; vw_scenario_analysis_dataset[[#This Row],[reference_year]]</f>
        <v>New Zealand-2019</v>
      </c>
    </row>
    <row r="1170" spans="1:15" x14ac:dyDescent="0.3">
      <c r="A1170" s="8" t="s">
        <v>274</v>
      </c>
      <c r="B1170" s="8" t="s">
        <v>275</v>
      </c>
      <c r="C1170" s="8">
        <v>2020</v>
      </c>
      <c r="D1170" s="8">
        <v>76580219416.310028</v>
      </c>
      <c r="E1170" s="8">
        <v>213000000000</v>
      </c>
      <c r="F1170" s="8">
        <v>5072400</v>
      </c>
      <c r="G1170" s="8">
        <v>-0.24091611499999999</v>
      </c>
      <c r="H1170" s="8">
        <v>43.826246619999999</v>
      </c>
      <c r="I1170" s="8">
        <v>15097.43</v>
      </c>
      <c r="J1170" s="8">
        <v>41991.96</v>
      </c>
      <c r="K1170" s="8">
        <v>35.950000000000003</v>
      </c>
      <c r="L1170" s="8">
        <v>47</v>
      </c>
      <c r="M1170" s="8">
        <v>79079651592.024017</v>
      </c>
      <c r="N1170" s="8">
        <v>-3.16</v>
      </c>
      <c r="O1170" s="8" t="str">
        <f>vw_scenario_analysis_dataset[[#This Row],[reporter_name]] &amp; "-" &amp; vw_scenario_analysis_dataset[[#This Row],[reference_year]]</f>
        <v>New Zealand-2020</v>
      </c>
    </row>
    <row r="1171" spans="1:15" x14ac:dyDescent="0.3">
      <c r="A1171" s="8" t="s">
        <v>274</v>
      </c>
      <c r="B1171" s="8" t="s">
        <v>275</v>
      </c>
      <c r="C1171" s="8">
        <v>2021</v>
      </c>
      <c r="D1171" s="8">
        <v>88650575640.923996</v>
      </c>
      <c r="E1171" s="8">
        <v>254000000000</v>
      </c>
      <c r="F1171" s="8">
        <v>5084600</v>
      </c>
      <c r="G1171" s="8">
        <v>4.2991600520000004</v>
      </c>
      <c r="H1171" s="8">
        <v>48.431537069999997</v>
      </c>
      <c r="I1171" s="8">
        <v>17435.11</v>
      </c>
      <c r="J1171" s="8">
        <v>49954.77</v>
      </c>
      <c r="K1171" s="8">
        <v>34.9</v>
      </c>
      <c r="L1171" s="8">
        <v>52</v>
      </c>
      <c r="M1171" s="8">
        <v>76580219416.310028</v>
      </c>
      <c r="N1171" s="8">
        <v>15.76</v>
      </c>
      <c r="O1171" s="8" t="str">
        <f>vw_scenario_analysis_dataset[[#This Row],[reporter_name]] &amp; "-" &amp; vw_scenario_analysis_dataset[[#This Row],[reference_year]]</f>
        <v>New Zealand-2021</v>
      </c>
    </row>
    <row r="1172" spans="1:15" x14ac:dyDescent="0.3">
      <c r="A1172" s="8" t="s">
        <v>274</v>
      </c>
      <c r="B1172" s="8" t="s">
        <v>275</v>
      </c>
      <c r="C1172" s="8">
        <v>2022</v>
      </c>
      <c r="D1172" s="8">
        <v>91230165590.715927</v>
      </c>
      <c r="E1172" s="8">
        <v>250000000000</v>
      </c>
      <c r="F1172" s="8">
        <v>5081700</v>
      </c>
      <c r="G1172" s="8">
        <v>3.3452184780000001</v>
      </c>
      <c r="H1172" s="8">
        <v>53.20914337</v>
      </c>
      <c r="I1172" s="8">
        <v>17952.689999999999</v>
      </c>
      <c r="J1172" s="8">
        <v>49196.14</v>
      </c>
      <c r="K1172" s="8">
        <v>36.49</v>
      </c>
      <c r="L1172" s="8">
        <v>55</v>
      </c>
      <c r="M1172" s="8">
        <v>88650575640.923996</v>
      </c>
      <c r="N1172" s="8">
        <v>2.91</v>
      </c>
      <c r="O1172" s="8" t="str">
        <f>vw_scenario_analysis_dataset[[#This Row],[reporter_name]] &amp; "-" &amp; vw_scenario_analysis_dataset[[#This Row],[reference_year]]</f>
        <v>New Zealand-2022</v>
      </c>
    </row>
    <row r="1173" spans="1:15" x14ac:dyDescent="0.3">
      <c r="A1173" s="8" t="s">
        <v>274</v>
      </c>
      <c r="B1173" s="8" t="s">
        <v>275</v>
      </c>
      <c r="C1173" s="8">
        <v>2023</v>
      </c>
      <c r="D1173" s="8">
        <v>84248481112.05603</v>
      </c>
      <c r="E1173" s="8">
        <v>256000000000</v>
      </c>
      <c r="F1173" s="8">
        <v>5200000</v>
      </c>
      <c r="G1173" s="8">
        <v>1.8138945339999999</v>
      </c>
      <c r="H1173" s="8">
        <v>49.86550415</v>
      </c>
      <c r="I1173" s="8">
        <v>16201.63</v>
      </c>
      <c r="J1173" s="8">
        <v>49230.77</v>
      </c>
      <c r="K1173" s="8">
        <v>32.909999999999997</v>
      </c>
      <c r="L1173" s="8">
        <v>54</v>
      </c>
      <c r="M1173" s="8">
        <v>91230165590.715927</v>
      </c>
      <c r="N1173" s="8">
        <v>-7.65</v>
      </c>
      <c r="O1173" s="8" t="str">
        <f>vw_scenario_analysis_dataset[[#This Row],[reporter_name]] &amp; "-" &amp; vw_scenario_analysis_dataset[[#This Row],[reference_year]]</f>
        <v>New Zealand-2023</v>
      </c>
    </row>
    <row r="1174" spans="1:15" x14ac:dyDescent="0.3">
      <c r="A1174" s="8" t="s">
        <v>274</v>
      </c>
      <c r="B1174" s="8" t="s">
        <v>275</v>
      </c>
      <c r="C1174" s="8">
        <v>2024</v>
      </c>
      <c r="D1174" s="8">
        <v>85660255855.706009</v>
      </c>
      <c r="E1174" s="8">
        <v>261000000000</v>
      </c>
      <c r="F1174" s="8">
        <v>5290000</v>
      </c>
      <c r="G1174" s="8">
        <v>-0.86872237200000002</v>
      </c>
      <c r="H1174" s="8">
        <v>50.660766440000003</v>
      </c>
      <c r="I1174" s="8">
        <v>16192.87</v>
      </c>
      <c r="J1174" s="8">
        <v>49338.37</v>
      </c>
      <c r="K1174" s="8">
        <v>32.82</v>
      </c>
      <c r="L1174" s="8">
        <v>52</v>
      </c>
      <c r="M1174" s="8">
        <v>84248481112.05603</v>
      </c>
      <c r="N1174" s="8">
        <v>1.68</v>
      </c>
      <c r="O1174" s="8" t="str">
        <f>vw_scenario_analysis_dataset[[#This Row],[reporter_name]] &amp; "-" &amp; vw_scenario_analysis_dataset[[#This Row],[reference_year]]</f>
        <v>New Zealand-2024</v>
      </c>
    </row>
    <row r="1175" spans="1:15" x14ac:dyDescent="0.3">
      <c r="A1175" s="8" t="s">
        <v>276</v>
      </c>
      <c r="B1175" s="8" t="s">
        <v>277</v>
      </c>
      <c r="C1175" s="8">
        <v>2015</v>
      </c>
      <c r="D1175" s="8">
        <v>71372597264.368958</v>
      </c>
      <c r="E1175" s="8">
        <v>78710793238</v>
      </c>
      <c r="F1175" s="8">
        <v>4184895</v>
      </c>
      <c r="G1175" s="8">
        <v>5.0170579970000002</v>
      </c>
      <c r="H1175" s="8">
        <v>96.377580190000003</v>
      </c>
      <c r="I1175" s="8">
        <v>17054.810000000001</v>
      </c>
      <c r="J1175" s="8">
        <v>18808.310000000001</v>
      </c>
      <c r="K1175" s="8">
        <v>90.68</v>
      </c>
      <c r="L1175" s="8">
        <v>51</v>
      </c>
      <c r="M1175" s="8"/>
      <c r="N1175" s="8"/>
      <c r="O1175" s="8" t="str">
        <f>vw_scenario_analysis_dataset[[#This Row],[reporter_name]] &amp; "-" &amp; vw_scenario_analysis_dataset[[#This Row],[reference_year]]</f>
        <v>Oman-2015</v>
      </c>
    </row>
    <row r="1176" spans="1:15" x14ac:dyDescent="0.3">
      <c r="A1176" s="8" t="s">
        <v>276</v>
      </c>
      <c r="B1176" s="8" t="s">
        <v>277</v>
      </c>
      <c r="C1176" s="8">
        <v>2016</v>
      </c>
      <c r="D1176" s="8">
        <v>60027199102.106049</v>
      </c>
      <c r="E1176" s="8">
        <v>75128738622</v>
      </c>
      <c r="F1176" s="8">
        <v>4390877</v>
      </c>
      <c r="G1176" s="8">
        <v>5.046423946</v>
      </c>
      <c r="H1176" s="8">
        <v>82.864264199999994</v>
      </c>
      <c r="I1176" s="8">
        <v>13670.89</v>
      </c>
      <c r="J1176" s="8">
        <v>17110.189999999999</v>
      </c>
      <c r="K1176" s="8">
        <v>79.900000000000006</v>
      </c>
      <c r="L1176" s="8">
        <v>53</v>
      </c>
      <c r="M1176" s="8">
        <v>71372597264.368958</v>
      </c>
      <c r="N1176" s="8">
        <v>-15.9</v>
      </c>
      <c r="O1176" s="8" t="str">
        <f>vw_scenario_analysis_dataset[[#This Row],[reporter_name]] &amp; "-" &amp; vw_scenario_analysis_dataset[[#This Row],[reference_year]]</f>
        <v>Oman-2016</v>
      </c>
    </row>
    <row r="1177" spans="1:15" x14ac:dyDescent="0.3">
      <c r="A1177" s="8" t="s">
        <v>276</v>
      </c>
      <c r="B1177" s="8" t="s">
        <v>277</v>
      </c>
      <c r="C1177" s="8">
        <v>2017</v>
      </c>
      <c r="D1177" s="8">
        <v>65808094410.166992</v>
      </c>
      <c r="E1177" s="8">
        <v>80856697009</v>
      </c>
      <c r="F1177" s="8">
        <v>4537396</v>
      </c>
      <c r="G1177" s="8">
        <v>0.304057566</v>
      </c>
      <c r="H1177" s="8">
        <v>88.95314802</v>
      </c>
      <c r="I1177" s="8">
        <v>14503.49</v>
      </c>
      <c r="J1177" s="8">
        <v>17820.07</v>
      </c>
      <c r="K1177" s="8">
        <v>81.39</v>
      </c>
      <c r="L1177" s="8">
        <v>54</v>
      </c>
      <c r="M1177" s="8">
        <v>60027199102.106049</v>
      </c>
      <c r="N1177" s="8">
        <v>9.6300000000000008</v>
      </c>
      <c r="O1177" s="8" t="str">
        <f>vw_scenario_analysis_dataset[[#This Row],[reporter_name]] &amp; "-" &amp; vw_scenario_analysis_dataset[[#This Row],[reference_year]]</f>
        <v>Oman-2017</v>
      </c>
    </row>
    <row r="1178" spans="1:15" x14ac:dyDescent="0.3">
      <c r="A1178" s="8" t="s">
        <v>276</v>
      </c>
      <c r="B1178" s="8" t="s">
        <v>277</v>
      </c>
      <c r="C1178" s="8">
        <v>2018</v>
      </c>
      <c r="D1178" s="8">
        <v>83524569699.95195</v>
      </c>
      <c r="E1178" s="8">
        <v>91505851756</v>
      </c>
      <c r="F1178" s="8">
        <v>4597877</v>
      </c>
      <c r="G1178" s="8">
        <v>1.2871039150000001</v>
      </c>
      <c r="H1178" s="8">
        <v>89.279217829999993</v>
      </c>
      <c r="I1178" s="8">
        <v>18165.900000000001</v>
      </c>
      <c r="J1178" s="8">
        <v>19901.759999999998</v>
      </c>
      <c r="K1178" s="8">
        <v>91.28</v>
      </c>
      <c r="L1178" s="8">
        <v>50</v>
      </c>
      <c r="M1178" s="8">
        <v>65808094410.166992</v>
      </c>
      <c r="N1178" s="8">
        <v>26.92</v>
      </c>
      <c r="O1178" s="8" t="str">
        <f>vw_scenario_analysis_dataset[[#This Row],[reporter_name]] &amp; "-" &amp; vw_scenario_analysis_dataset[[#This Row],[reference_year]]</f>
        <v>Oman-2018</v>
      </c>
    </row>
    <row r="1179" spans="1:15" x14ac:dyDescent="0.3">
      <c r="A1179" s="8" t="s">
        <v>276</v>
      </c>
      <c r="B1179" s="8" t="s">
        <v>277</v>
      </c>
      <c r="C1179" s="8">
        <v>2019</v>
      </c>
      <c r="D1179" s="8">
        <v>77447160696.850998</v>
      </c>
      <c r="E1179" s="8">
        <v>88060858257</v>
      </c>
      <c r="F1179" s="8">
        <v>4591241</v>
      </c>
      <c r="G1179" s="8">
        <v>-1.1286380170000001</v>
      </c>
      <c r="H1179" s="8">
        <v>86.478201029999994</v>
      </c>
      <c r="I1179" s="8">
        <v>16868.46</v>
      </c>
      <c r="J1179" s="8">
        <v>19180.189999999999</v>
      </c>
      <c r="K1179" s="8">
        <v>87.95</v>
      </c>
      <c r="L1179" s="8">
        <v>51</v>
      </c>
      <c r="M1179" s="8">
        <v>83524569699.95195</v>
      </c>
      <c r="N1179" s="8">
        <v>-7.28</v>
      </c>
      <c r="O1179" s="8" t="str">
        <f>vw_scenario_analysis_dataset[[#This Row],[reporter_name]] &amp; "-" &amp; vw_scenario_analysis_dataset[[#This Row],[reference_year]]</f>
        <v>Oman-2019</v>
      </c>
    </row>
    <row r="1180" spans="1:15" x14ac:dyDescent="0.3">
      <c r="A1180" s="8" t="s">
        <v>276</v>
      </c>
      <c r="B1180" s="8" t="s">
        <v>277</v>
      </c>
      <c r="C1180" s="8">
        <v>2020</v>
      </c>
      <c r="D1180" s="8">
        <v>66958717646.014969</v>
      </c>
      <c r="E1180" s="8">
        <v>75909492848</v>
      </c>
      <c r="F1180" s="8">
        <v>4522497</v>
      </c>
      <c r="G1180" s="8">
        <v>-3.3797205269999999</v>
      </c>
      <c r="H1180" s="8">
        <v>91.875890799999993</v>
      </c>
      <c r="I1180" s="8">
        <v>14805.7</v>
      </c>
      <c r="J1180" s="8">
        <v>16784.86</v>
      </c>
      <c r="K1180" s="8">
        <v>88.21</v>
      </c>
      <c r="L1180" s="8">
        <v>52</v>
      </c>
      <c r="M1180" s="8">
        <v>77447160696.850998</v>
      </c>
      <c r="N1180" s="8">
        <v>-13.54</v>
      </c>
      <c r="O1180" s="8" t="str">
        <f>vw_scenario_analysis_dataset[[#This Row],[reporter_name]] &amp; "-" &amp; vw_scenario_analysis_dataset[[#This Row],[reference_year]]</f>
        <v>Oman-2020</v>
      </c>
    </row>
    <row r="1181" spans="1:15" x14ac:dyDescent="0.3">
      <c r="A1181" s="8" t="s">
        <v>276</v>
      </c>
      <c r="B1181" s="8" t="s">
        <v>277</v>
      </c>
      <c r="C1181" s="8">
        <v>2021</v>
      </c>
      <c r="D1181" s="8">
        <v>89181853041.18396</v>
      </c>
      <c r="E1181" s="8">
        <v>87323797139</v>
      </c>
      <c r="F1181" s="8">
        <v>4500424</v>
      </c>
      <c r="G1181" s="8">
        <v>2.5821749889999999</v>
      </c>
      <c r="H1181" s="8">
        <v>95.949487730000001</v>
      </c>
      <c r="I1181" s="8">
        <v>19816.32</v>
      </c>
      <c r="J1181" s="8">
        <v>19403.46</v>
      </c>
      <c r="K1181" s="8">
        <v>102.13</v>
      </c>
      <c r="L1181" s="8">
        <v>51</v>
      </c>
      <c r="M1181" s="8">
        <v>66958717646.014969</v>
      </c>
      <c r="N1181" s="8">
        <v>33.19</v>
      </c>
      <c r="O1181" s="8" t="str">
        <f>vw_scenario_analysis_dataset[[#This Row],[reporter_name]] &amp; "-" &amp; vw_scenario_analysis_dataset[[#This Row],[reference_year]]</f>
        <v>Oman-2021</v>
      </c>
    </row>
    <row r="1182" spans="1:15" x14ac:dyDescent="0.3">
      <c r="A1182" s="8" t="s">
        <v>276</v>
      </c>
      <c r="B1182" s="8" t="s">
        <v>277</v>
      </c>
      <c r="C1182" s="8">
        <v>2022</v>
      </c>
      <c r="D1182" s="8">
        <v>132126705670.98898</v>
      </c>
      <c r="E1182" s="8">
        <v>110000000000</v>
      </c>
      <c r="F1182" s="8">
        <v>4730226</v>
      </c>
      <c r="G1182" s="8">
        <v>7.9857072840000001</v>
      </c>
      <c r="H1182" s="8">
        <v>105.74500930000001</v>
      </c>
      <c r="I1182" s="8">
        <v>27932.43</v>
      </c>
      <c r="J1182" s="8">
        <v>23254.7</v>
      </c>
      <c r="K1182" s="8">
        <v>120.12</v>
      </c>
      <c r="L1182" s="8">
        <v>45</v>
      </c>
      <c r="M1182" s="8">
        <v>89181853041.18396</v>
      </c>
      <c r="N1182" s="8">
        <v>48.15</v>
      </c>
      <c r="O1182" s="8" t="str">
        <f>vw_scenario_analysis_dataset[[#This Row],[reporter_name]] &amp; "-" &amp; vw_scenario_analysis_dataset[[#This Row],[reference_year]]</f>
        <v>Oman-2022</v>
      </c>
    </row>
    <row r="1183" spans="1:15" x14ac:dyDescent="0.3">
      <c r="A1183" s="8" t="s">
        <v>276</v>
      </c>
      <c r="B1183" s="8" t="s">
        <v>277</v>
      </c>
      <c r="C1183" s="8">
        <v>2023</v>
      </c>
      <c r="D1183" s="8">
        <v>118021062915.43198</v>
      </c>
      <c r="E1183" s="8">
        <v>106000000000</v>
      </c>
      <c r="F1183" s="8">
        <v>5049269</v>
      </c>
      <c r="G1183" s="8">
        <v>1.414013832</v>
      </c>
      <c r="H1183" s="8">
        <v>106.44673109999999</v>
      </c>
      <c r="I1183" s="8">
        <v>23373.89</v>
      </c>
      <c r="J1183" s="8">
        <v>20993.14</v>
      </c>
      <c r="K1183" s="8">
        <v>111.34</v>
      </c>
      <c r="L1183" s="8">
        <v>46</v>
      </c>
      <c r="M1183" s="8">
        <v>132126705670.98898</v>
      </c>
      <c r="N1183" s="8">
        <v>-10.68</v>
      </c>
      <c r="O1183" s="8" t="str">
        <f>vw_scenario_analysis_dataset[[#This Row],[reporter_name]] &amp; "-" &amp; vw_scenario_analysis_dataset[[#This Row],[reference_year]]</f>
        <v>Oman-2023</v>
      </c>
    </row>
    <row r="1184" spans="1:15" x14ac:dyDescent="0.3">
      <c r="A1184" s="8" t="s">
        <v>276</v>
      </c>
      <c r="B1184" s="8" t="s">
        <v>277</v>
      </c>
      <c r="C1184" s="8">
        <v>2024</v>
      </c>
      <c r="D1184" s="8">
        <v>130319720789.54999</v>
      </c>
      <c r="E1184" s="8">
        <v>107000000000</v>
      </c>
      <c r="F1184" s="8">
        <v>5281538</v>
      </c>
      <c r="G1184" s="8">
        <v>1.631632314</v>
      </c>
      <c r="H1184" s="8">
        <v>114.85267159999999</v>
      </c>
      <c r="I1184" s="8">
        <v>24674.58</v>
      </c>
      <c r="J1184" s="8">
        <v>20259.25</v>
      </c>
      <c r="K1184" s="8">
        <v>121.79</v>
      </c>
      <c r="L1184" s="8">
        <v>44</v>
      </c>
      <c r="M1184" s="8">
        <v>118021062915.43198</v>
      </c>
      <c r="N1184" s="8">
        <v>10.42</v>
      </c>
      <c r="O1184" s="8" t="str">
        <f>vw_scenario_analysis_dataset[[#This Row],[reporter_name]] &amp; "-" &amp; vw_scenario_analysis_dataset[[#This Row],[reference_year]]</f>
        <v>Oman-2024</v>
      </c>
    </row>
    <row r="1185" spans="1:15" x14ac:dyDescent="0.3">
      <c r="A1185" s="8" t="s">
        <v>278</v>
      </c>
      <c r="B1185" s="8" t="s">
        <v>279</v>
      </c>
      <c r="C1185" s="8">
        <v>2015</v>
      </c>
      <c r="D1185" s="8">
        <v>44178036120</v>
      </c>
      <c r="E1185" s="8">
        <v>300000000000</v>
      </c>
      <c r="F1185" s="8">
        <v>217290883</v>
      </c>
      <c r="G1185" s="8">
        <v>4.2179420959999998</v>
      </c>
      <c r="H1185" s="8">
        <v>26.68818602</v>
      </c>
      <c r="I1185" s="8">
        <v>203.31</v>
      </c>
      <c r="J1185" s="8">
        <v>1380.64</v>
      </c>
      <c r="K1185" s="8">
        <v>14.73</v>
      </c>
      <c r="L1185" s="8">
        <v>62</v>
      </c>
      <c r="M1185" s="8"/>
      <c r="N1185" s="8"/>
      <c r="O1185" s="8" t="str">
        <f>vw_scenario_analysis_dataset[[#This Row],[reporter_name]] &amp; "-" &amp; vw_scenario_analysis_dataset[[#This Row],[reference_year]]</f>
        <v>Pakistan-2015</v>
      </c>
    </row>
    <row r="1186" spans="1:15" x14ac:dyDescent="0.3">
      <c r="A1186" s="8" t="s">
        <v>278</v>
      </c>
      <c r="B1186" s="8" t="s">
        <v>279</v>
      </c>
      <c r="C1186" s="8">
        <v>2016</v>
      </c>
      <c r="D1186" s="8">
        <v>41067585668</v>
      </c>
      <c r="E1186" s="8">
        <v>314000000000</v>
      </c>
      <c r="F1186" s="8">
        <v>220138869</v>
      </c>
      <c r="G1186" s="8">
        <v>6.5738382849999999</v>
      </c>
      <c r="H1186" s="8">
        <v>24.701578049999998</v>
      </c>
      <c r="I1186" s="8">
        <v>186.55</v>
      </c>
      <c r="J1186" s="8">
        <v>1426.37</v>
      </c>
      <c r="K1186" s="8">
        <v>13.08</v>
      </c>
      <c r="L1186" s="8">
        <v>63</v>
      </c>
      <c r="M1186" s="8">
        <v>44178036120</v>
      </c>
      <c r="N1186" s="8">
        <v>-7.04</v>
      </c>
      <c r="O1186" s="8" t="str">
        <f>vw_scenario_analysis_dataset[[#This Row],[reporter_name]] &amp; "-" &amp; vw_scenario_analysis_dataset[[#This Row],[reference_year]]</f>
        <v>Pakistan-2016</v>
      </c>
    </row>
    <row r="1187" spans="1:15" x14ac:dyDescent="0.3">
      <c r="A1187" s="8" t="s">
        <v>278</v>
      </c>
      <c r="B1187" s="8" t="s">
        <v>279</v>
      </c>
      <c r="C1187" s="8">
        <v>2017</v>
      </c>
      <c r="D1187" s="8">
        <v>43755574328.882004</v>
      </c>
      <c r="E1187" s="8">
        <v>339000000000</v>
      </c>
      <c r="F1187" s="8">
        <v>223273967</v>
      </c>
      <c r="G1187" s="8">
        <v>4.4326259070000003</v>
      </c>
      <c r="H1187" s="8">
        <v>25.472035000000002</v>
      </c>
      <c r="I1187" s="8">
        <v>195.97</v>
      </c>
      <c r="J1187" s="8">
        <v>1518.31</v>
      </c>
      <c r="K1187" s="8">
        <v>12.91</v>
      </c>
      <c r="L1187" s="8">
        <v>62</v>
      </c>
      <c r="M1187" s="8">
        <v>41067585668</v>
      </c>
      <c r="N1187" s="8">
        <v>6.55</v>
      </c>
      <c r="O1187" s="8" t="str">
        <f>vw_scenario_analysis_dataset[[#This Row],[reporter_name]] &amp; "-" &amp; vw_scenario_analysis_dataset[[#This Row],[reference_year]]</f>
        <v>Pakistan-2017</v>
      </c>
    </row>
    <row r="1188" spans="1:15" x14ac:dyDescent="0.3">
      <c r="A1188" s="8" t="s">
        <v>278</v>
      </c>
      <c r="B1188" s="8" t="s">
        <v>279</v>
      </c>
      <c r="C1188" s="8">
        <v>2018</v>
      </c>
      <c r="D1188" s="8">
        <v>47261785959.422012</v>
      </c>
      <c r="E1188" s="8">
        <v>356000000000</v>
      </c>
      <c r="F1188" s="8">
        <v>226928892</v>
      </c>
      <c r="G1188" s="8">
        <v>6.1517026110000002</v>
      </c>
      <c r="H1188" s="8">
        <v>27.626057079999999</v>
      </c>
      <c r="I1188" s="8">
        <v>208.27</v>
      </c>
      <c r="J1188" s="8">
        <v>1568.77</v>
      </c>
      <c r="K1188" s="8">
        <v>13.28</v>
      </c>
      <c r="L1188" s="8">
        <v>62</v>
      </c>
      <c r="M1188" s="8">
        <v>43755574328.882004</v>
      </c>
      <c r="N1188" s="8">
        <v>8.01</v>
      </c>
      <c r="O1188" s="8" t="str">
        <f>vw_scenario_analysis_dataset[[#This Row],[reporter_name]] &amp; "-" &amp; vw_scenario_analysis_dataset[[#This Row],[reference_year]]</f>
        <v>Pakistan-2018</v>
      </c>
    </row>
    <row r="1189" spans="1:15" x14ac:dyDescent="0.3">
      <c r="A1189" s="8" t="s">
        <v>278</v>
      </c>
      <c r="B1189" s="8" t="s">
        <v>279</v>
      </c>
      <c r="C1189" s="8">
        <v>2019</v>
      </c>
      <c r="D1189" s="8">
        <v>47497360505.096001</v>
      </c>
      <c r="E1189" s="8">
        <v>321000000000</v>
      </c>
      <c r="F1189" s="8">
        <v>230800899</v>
      </c>
      <c r="G1189" s="8">
        <v>2.497636929</v>
      </c>
      <c r="H1189" s="8">
        <v>28.90557699</v>
      </c>
      <c r="I1189" s="8">
        <v>205.79</v>
      </c>
      <c r="J1189" s="8">
        <v>1390.81</v>
      </c>
      <c r="K1189" s="8">
        <v>14.8</v>
      </c>
      <c r="L1189" s="8">
        <v>61</v>
      </c>
      <c r="M1189" s="8">
        <v>47261785959.422012</v>
      </c>
      <c r="N1189" s="8">
        <v>0.5</v>
      </c>
      <c r="O1189" s="8" t="str">
        <f>vw_scenario_analysis_dataset[[#This Row],[reporter_name]] &amp; "-" &amp; vw_scenario_analysis_dataset[[#This Row],[reference_year]]</f>
        <v>Pakistan-2019</v>
      </c>
    </row>
    <row r="1190" spans="1:15" x14ac:dyDescent="0.3">
      <c r="A1190" s="8" t="s">
        <v>278</v>
      </c>
      <c r="B1190" s="8" t="s">
        <v>279</v>
      </c>
      <c r="C1190" s="8">
        <v>2020</v>
      </c>
      <c r="D1190" s="8">
        <v>44474326749.106003</v>
      </c>
      <c r="E1190" s="8">
        <v>300000000000</v>
      </c>
      <c r="F1190" s="8">
        <v>235001746</v>
      </c>
      <c r="G1190" s="8">
        <v>-1.274087443</v>
      </c>
      <c r="H1190" s="8">
        <v>26.716280730000001</v>
      </c>
      <c r="I1190" s="8">
        <v>189.25</v>
      </c>
      <c r="J1190" s="8">
        <v>1276.5899999999999</v>
      </c>
      <c r="K1190" s="8">
        <v>14.82</v>
      </c>
      <c r="L1190" s="8">
        <v>59</v>
      </c>
      <c r="M1190" s="8">
        <v>47497360505.096001</v>
      </c>
      <c r="N1190" s="8">
        <v>-6.36</v>
      </c>
      <c r="O1190" s="8" t="str">
        <f>vw_scenario_analysis_dataset[[#This Row],[reporter_name]] &amp; "-" &amp; vw_scenario_analysis_dataset[[#This Row],[reference_year]]</f>
        <v>Pakistan-2020</v>
      </c>
    </row>
    <row r="1191" spans="1:15" x14ac:dyDescent="0.3">
      <c r="A1191" s="8" t="s">
        <v>278</v>
      </c>
      <c r="B1191" s="8" t="s">
        <v>279</v>
      </c>
      <c r="C1191" s="8">
        <v>2021</v>
      </c>
      <c r="D1191" s="8">
        <v>57590358171.930031</v>
      </c>
      <c r="E1191" s="8">
        <v>349000000000</v>
      </c>
      <c r="F1191" s="8">
        <v>239477801</v>
      </c>
      <c r="G1191" s="8">
        <v>6.5138857589999999</v>
      </c>
      <c r="H1191" s="8">
        <v>27.030420410000001</v>
      </c>
      <c r="I1191" s="8">
        <v>240.48</v>
      </c>
      <c r="J1191" s="8">
        <v>1457.34</v>
      </c>
      <c r="K1191" s="8">
        <v>16.5</v>
      </c>
      <c r="L1191" s="8">
        <v>60</v>
      </c>
      <c r="M1191" s="8">
        <v>44474326749.106003</v>
      </c>
      <c r="N1191" s="8">
        <v>29.49</v>
      </c>
      <c r="O1191" s="8" t="str">
        <f>vw_scenario_analysis_dataset[[#This Row],[reporter_name]] &amp; "-" &amp; vw_scenario_analysis_dataset[[#This Row],[reference_year]]</f>
        <v>Pakistan-2021</v>
      </c>
    </row>
    <row r="1192" spans="1:15" x14ac:dyDescent="0.3">
      <c r="A1192" s="8" t="s">
        <v>278</v>
      </c>
      <c r="B1192" s="8" t="s">
        <v>279</v>
      </c>
      <c r="C1192" s="8">
        <v>2022</v>
      </c>
      <c r="D1192" s="8">
        <v>61538183672.921989</v>
      </c>
      <c r="E1192" s="8">
        <v>375000000000</v>
      </c>
      <c r="F1192" s="8">
        <v>243700667</v>
      </c>
      <c r="G1192" s="8">
        <v>4.7781068690000001</v>
      </c>
      <c r="H1192" s="8">
        <v>33.03135348</v>
      </c>
      <c r="I1192" s="8">
        <v>252.52</v>
      </c>
      <c r="J1192" s="8">
        <v>1538.77</v>
      </c>
      <c r="K1192" s="8">
        <v>16.41</v>
      </c>
      <c r="L1192" s="8">
        <v>60</v>
      </c>
      <c r="M1192" s="8">
        <v>57590358171.930031</v>
      </c>
      <c r="N1192" s="8">
        <v>6.86</v>
      </c>
      <c r="O1192" s="8" t="str">
        <f>vw_scenario_analysis_dataset[[#This Row],[reporter_name]] &amp; "-" &amp; vw_scenario_analysis_dataset[[#This Row],[reference_year]]</f>
        <v>Pakistan-2022</v>
      </c>
    </row>
    <row r="1193" spans="1:15" x14ac:dyDescent="0.3">
      <c r="A1193" s="8" t="s">
        <v>278</v>
      </c>
      <c r="B1193" s="8" t="s">
        <v>279</v>
      </c>
      <c r="C1193" s="8">
        <v>2023</v>
      </c>
      <c r="D1193" s="8">
        <v>57492784887.866997</v>
      </c>
      <c r="E1193" s="8">
        <v>337000000000</v>
      </c>
      <c r="F1193" s="8">
        <v>247504495</v>
      </c>
      <c r="G1193" s="8">
        <v>-0.414935997</v>
      </c>
      <c r="H1193" s="8">
        <v>28.467692549999999</v>
      </c>
      <c r="I1193" s="8">
        <v>232.29</v>
      </c>
      <c r="J1193" s="8">
        <v>1361.59</v>
      </c>
      <c r="K1193" s="8">
        <v>17.059999999999999</v>
      </c>
      <c r="L1193" s="8">
        <v>60</v>
      </c>
      <c r="M1193" s="8">
        <v>61538183672.921989</v>
      </c>
      <c r="N1193" s="8">
        <v>-6.57</v>
      </c>
      <c r="O1193" s="8" t="str">
        <f>vw_scenario_analysis_dataset[[#This Row],[reporter_name]] &amp; "-" &amp; vw_scenario_analysis_dataset[[#This Row],[reference_year]]</f>
        <v>Pakistan-2023</v>
      </c>
    </row>
    <row r="1194" spans="1:15" x14ac:dyDescent="0.3">
      <c r="A1194" s="8" t="s">
        <v>278</v>
      </c>
      <c r="B1194" s="8" t="s">
        <v>279</v>
      </c>
      <c r="C1194" s="8">
        <v>2024</v>
      </c>
      <c r="D1194" s="8">
        <v>64876991210.689987</v>
      </c>
      <c r="E1194" s="8">
        <v>372000000000</v>
      </c>
      <c r="F1194" s="8">
        <v>251269164</v>
      </c>
      <c r="G1194" s="8">
        <v>3.0817629559999999</v>
      </c>
      <c r="H1194" s="8">
        <v>27.56533091</v>
      </c>
      <c r="I1194" s="8">
        <v>258.2</v>
      </c>
      <c r="J1194" s="8">
        <v>1480.48</v>
      </c>
      <c r="K1194" s="8">
        <v>17.440000000000001</v>
      </c>
      <c r="L1194" s="8">
        <v>57</v>
      </c>
      <c r="M1194" s="8">
        <v>57492784887.866997</v>
      </c>
      <c r="N1194" s="8">
        <v>12.84</v>
      </c>
      <c r="O1194" s="8" t="str">
        <f>vw_scenario_analysis_dataset[[#This Row],[reporter_name]] &amp; "-" &amp; vw_scenario_analysis_dataset[[#This Row],[reference_year]]</f>
        <v>Pakistan-2024</v>
      </c>
    </row>
    <row r="1195" spans="1:15" x14ac:dyDescent="0.3">
      <c r="A1195" s="8" t="s">
        <v>280</v>
      </c>
      <c r="B1195" s="8" t="s">
        <v>281</v>
      </c>
      <c r="C1195" s="8">
        <v>2015</v>
      </c>
      <c r="D1195" s="8">
        <v>24086754208</v>
      </c>
      <c r="E1195" s="8">
        <v>55767806100</v>
      </c>
      <c r="F1195" s="8">
        <v>3960035</v>
      </c>
      <c r="G1195" s="8">
        <v>5.2669171959999996</v>
      </c>
      <c r="H1195" s="8">
        <v>96.579157339999995</v>
      </c>
      <c r="I1195" s="8">
        <v>6082.46</v>
      </c>
      <c r="J1195" s="8">
        <v>14082.65</v>
      </c>
      <c r="K1195" s="8">
        <v>43.19</v>
      </c>
      <c r="L1195" s="8">
        <v>73</v>
      </c>
      <c r="M1195" s="8"/>
      <c r="N1195" s="8"/>
      <c r="O1195" s="8" t="str">
        <f>vw_scenario_analysis_dataset[[#This Row],[reporter_name]] &amp; "-" &amp; vw_scenario_analysis_dataset[[#This Row],[reference_year]]</f>
        <v>Panama-2015</v>
      </c>
    </row>
    <row r="1196" spans="1:15" x14ac:dyDescent="0.3">
      <c r="A1196" s="8" t="s">
        <v>280</v>
      </c>
      <c r="B1196" s="8" t="s">
        <v>281</v>
      </c>
      <c r="C1196" s="8">
        <v>2016</v>
      </c>
      <c r="D1196" s="8">
        <v>21686421026</v>
      </c>
      <c r="E1196" s="8">
        <v>59760858700</v>
      </c>
      <c r="F1196" s="8">
        <v>4029086</v>
      </c>
      <c r="G1196" s="8">
        <v>4.5719670790000002</v>
      </c>
      <c r="H1196" s="8">
        <v>84.395971869999997</v>
      </c>
      <c r="I1196" s="8">
        <v>5382.47</v>
      </c>
      <c r="J1196" s="8">
        <v>14832.36</v>
      </c>
      <c r="K1196" s="8">
        <v>36.29</v>
      </c>
      <c r="L1196" s="8">
        <v>74</v>
      </c>
      <c r="M1196" s="8">
        <v>24086754208</v>
      </c>
      <c r="N1196" s="8">
        <v>-9.9700000000000006</v>
      </c>
      <c r="O1196" s="8" t="str">
        <f>vw_scenario_analysis_dataset[[#This Row],[reporter_name]] &amp; "-" &amp; vw_scenario_analysis_dataset[[#This Row],[reference_year]]</f>
        <v>Panama-2016</v>
      </c>
    </row>
    <row r="1197" spans="1:15" x14ac:dyDescent="0.3">
      <c r="A1197" s="8" t="s">
        <v>280</v>
      </c>
      <c r="B1197" s="8" t="s">
        <v>281</v>
      </c>
      <c r="C1197" s="8">
        <v>2017</v>
      </c>
      <c r="D1197" s="8">
        <v>22183113984</v>
      </c>
      <c r="E1197" s="8">
        <v>64327688800</v>
      </c>
      <c r="F1197" s="8">
        <v>4098707</v>
      </c>
      <c r="G1197" s="8">
        <v>5.7440594640000002</v>
      </c>
      <c r="H1197" s="8">
        <v>84.047537239999997</v>
      </c>
      <c r="I1197" s="8">
        <v>5412.22</v>
      </c>
      <c r="J1197" s="8">
        <v>15694.63</v>
      </c>
      <c r="K1197" s="8">
        <v>34.479999999999997</v>
      </c>
      <c r="L1197" s="8">
        <v>79</v>
      </c>
      <c r="M1197" s="8">
        <v>21686421026</v>
      </c>
      <c r="N1197" s="8">
        <v>2.29</v>
      </c>
      <c r="O1197" s="8" t="str">
        <f>vw_scenario_analysis_dataset[[#This Row],[reporter_name]] &amp; "-" &amp; vw_scenario_analysis_dataset[[#This Row],[reference_year]]</f>
        <v>Panama-2017</v>
      </c>
    </row>
    <row r="1198" spans="1:15" x14ac:dyDescent="0.3">
      <c r="A1198" s="8" t="s">
        <v>280</v>
      </c>
      <c r="B1198" s="8" t="s">
        <v>281</v>
      </c>
      <c r="C1198" s="8">
        <v>2018</v>
      </c>
      <c r="D1198" s="8">
        <v>22960215232</v>
      </c>
      <c r="E1198" s="8">
        <v>67316471200</v>
      </c>
      <c r="F1198" s="8">
        <v>4167860</v>
      </c>
      <c r="G1198" s="8">
        <v>3.9182425329999999</v>
      </c>
      <c r="H1198" s="8">
        <v>86.130961510000006</v>
      </c>
      <c r="I1198" s="8">
        <v>5508.87</v>
      </c>
      <c r="J1198" s="8">
        <v>16151.33</v>
      </c>
      <c r="K1198" s="8">
        <v>34.11</v>
      </c>
      <c r="L1198" s="8">
        <v>76</v>
      </c>
      <c r="M1198" s="8">
        <v>22183113984</v>
      </c>
      <c r="N1198" s="8">
        <v>3.5</v>
      </c>
      <c r="O1198" s="8" t="str">
        <f>vw_scenario_analysis_dataset[[#This Row],[reporter_name]] &amp; "-" &amp; vw_scenario_analysis_dataset[[#This Row],[reference_year]]</f>
        <v>Panama-2018</v>
      </c>
    </row>
    <row r="1199" spans="1:15" x14ac:dyDescent="0.3">
      <c r="A1199" s="8" t="s">
        <v>280</v>
      </c>
      <c r="B1199" s="8" t="s">
        <v>281</v>
      </c>
      <c r="C1199" s="8">
        <v>2019</v>
      </c>
      <c r="D1199" s="8">
        <v>20956119052</v>
      </c>
      <c r="E1199" s="8">
        <v>69778991200</v>
      </c>
      <c r="F1199" s="8">
        <v>4234700</v>
      </c>
      <c r="G1199" s="8">
        <v>3.1029539559999999</v>
      </c>
      <c r="H1199" s="8">
        <v>80.428650559999994</v>
      </c>
      <c r="I1199" s="8">
        <v>4948.67</v>
      </c>
      <c r="J1199" s="8">
        <v>16477.91</v>
      </c>
      <c r="K1199" s="8">
        <v>30.03</v>
      </c>
      <c r="L1199" s="8">
        <v>80</v>
      </c>
      <c r="M1199" s="8">
        <v>22960215232</v>
      </c>
      <c r="N1199" s="8">
        <v>-8.73</v>
      </c>
      <c r="O1199" s="8" t="str">
        <f>vw_scenario_analysis_dataset[[#This Row],[reporter_name]] &amp; "-" &amp; vw_scenario_analysis_dataset[[#This Row],[reference_year]]</f>
        <v>Panama-2019</v>
      </c>
    </row>
    <row r="1200" spans="1:15" x14ac:dyDescent="0.3">
      <c r="A1200" s="8" t="s">
        <v>280</v>
      </c>
      <c r="B1200" s="8" t="s">
        <v>281</v>
      </c>
      <c r="C1200" s="8">
        <v>2020</v>
      </c>
      <c r="D1200" s="8">
        <v>17317597830</v>
      </c>
      <c r="E1200" s="8">
        <v>57059846500</v>
      </c>
      <c r="F1200" s="8">
        <v>4293261</v>
      </c>
      <c r="G1200" s="8">
        <v>-17.821117409999999</v>
      </c>
      <c r="H1200" s="8">
        <v>68.700423509999993</v>
      </c>
      <c r="I1200" s="8">
        <v>4033.67</v>
      </c>
      <c r="J1200" s="8">
        <v>13290.56</v>
      </c>
      <c r="K1200" s="8">
        <v>30.35</v>
      </c>
      <c r="L1200" s="8">
        <v>79</v>
      </c>
      <c r="M1200" s="8">
        <v>20956119052</v>
      </c>
      <c r="N1200" s="8">
        <v>-17.36</v>
      </c>
      <c r="O1200" s="8" t="str">
        <f>vw_scenario_analysis_dataset[[#This Row],[reporter_name]] &amp; "-" &amp; vw_scenario_analysis_dataset[[#This Row],[reference_year]]</f>
        <v>Panama-2020</v>
      </c>
    </row>
    <row r="1201" spans="1:15" x14ac:dyDescent="0.3">
      <c r="A1201" s="8" t="s">
        <v>280</v>
      </c>
      <c r="B1201" s="8" t="s">
        <v>281</v>
      </c>
      <c r="C1201" s="8">
        <v>2021</v>
      </c>
      <c r="D1201" s="8">
        <v>7563845302</v>
      </c>
      <c r="E1201" s="8">
        <v>67396392500</v>
      </c>
      <c r="F1201" s="8">
        <v>4345405</v>
      </c>
      <c r="G1201" s="8">
        <v>16.4669992</v>
      </c>
      <c r="H1201" s="8">
        <v>80.133463520000006</v>
      </c>
      <c r="I1201" s="8">
        <v>1740.65</v>
      </c>
      <c r="J1201" s="8">
        <v>15509.81</v>
      </c>
      <c r="K1201" s="8">
        <v>11.22</v>
      </c>
      <c r="L1201" s="8">
        <v>112</v>
      </c>
      <c r="M1201" s="8">
        <v>17317597830</v>
      </c>
      <c r="N1201" s="8">
        <v>-56.32</v>
      </c>
      <c r="O1201" s="8" t="str">
        <f>vw_scenario_analysis_dataset[[#This Row],[reporter_name]] &amp; "-" &amp; vw_scenario_analysis_dataset[[#This Row],[reference_year]]</f>
        <v>Panama-2021</v>
      </c>
    </row>
    <row r="1202" spans="1:15" x14ac:dyDescent="0.3">
      <c r="A1202" s="8" t="s">
        <v>280</v>
      </c>
      <c r="B1202" s="8" t="s">
        <v>281</v>
      </c>
      <c r="C1202" s="8">
        <v>2022</v>
      </c>
      <c r="D1202" s="8">
        <v>7304307136</v>
      </c>
      <c r="E1202" s="8">
        <v>76479304500</v>
      </c>
      <c r="F1202" s="8">
        <v>4400773</v>
      </c>
      <c r="G1202" s="8">
        <v>11.03860229</v>
      </c>
      <c r="H1202" s="8">
        <v>93.47526886</v>
      </c>
      <c r="I1202" s="8">
        <v>1659.78</v>
      </c>
      <c r="J1202" s="8">
        <v>17378.61</v>
      </c>
      <c r="K1202" s="8">
        <v>9.5500000000000007</v>
      </c>
      <c r="L1202" s="8">
        <v>114</v>
      </c>
      <c r="M1202" s="8">
        <v>7563845302</v>
      </c>
      <c r="N1202" s="8">
        <v>-3.43</v>
      </c>
      <c r="O1202" s="8" t="str">
        <f>vw_scenario_analysis_dataset[[#This Row],[reporter_name]] &amp; "-" &amp; vw_scenario_analysis_dataset[[#This Row],[reference_year]]</f>
        <v>Panama-2022</v>
      </c>
    </row>
    <row r="1203" spans="1:15" x14ac:dyDescent="0.3">
      <c r="A1203" s="8" t="s">
        <v>280</v>
      </c>
      <c r="B1203" s="8" t="s">
        <v>281</v>
      </c>
      <c r="C1203" s="8">
        <v>2023</v>
      </c>
      <c r="D1203" s="8">
        <v>6733640960</v>
      </c>
      <c r="E1203" s="8">
        <v>83812155200</v>
      </c>
      <c r="F1203" s="8">
        <v>4458759</v>
      </c>
      <c r="G1203" s="8">
        <v>7.1663401640000002</v>
      </c>
      <c r="H1203" s="8">
        <v>88.348910520000004</v>
      </c>
      <c r="I1203" s="8">
        <v>1510.21</v>
      </c>
      <c r="J1203" s="8">
        <v>18797.189999999999</v>
      </c>
      <c r="K1203" s="8">
        <v>8.0299999999999994</v>
      </c>
      <c r="L1203" s="8">
        <v>116</v>
      </c>
      <c r="M1203" s="8">
        <v>7304307136</v>
      </c>
      <c r="N1203" s="8">
        <v>-7.81</v>
      </c>
      <c r="O1203" s="8" t="str">
        <f>vw_scenario_analysis_dataset[[#This Row],[reporter_name]] &amp; "-" &amp; vw_scenario_analysis_dataset[[#This Row],[reference_year]]</f>
        <v>Panama-2023</v>
      </c>
    </row>
    <row r="1204" spans="1:15" x14ac:dyDescent="0.3">
      <c r="A1204" s="8" t="s">
        <v>280</v>
      </c>
      <c r="B1204" s="8" t="s">
        <v>281</v>
      </c>
      <c r="C1204" s="8">
        <v>2024</v>
      </c>
      <c r="D1204" s="8">
        <v>2316715428</v>
      </c>
      <c r="E1204" s="8">
        <v>86523959100</v>
      </c>
      <c r="F1204" s="8">
        <v>4515577</v>
      </c>
      <c r="G1204" s="8">
        <v>2.7478414880000002</v>
      </c>
      <c r="H1204" s="8">
        <v>83.673778859999999</v>
      </c>
      <c r="I1204" s="8">
        <v>513.04999999999995</v>
      </c>
      <c r="J1204" s="8">
        <v>19161.22</v>
      </c>
      <c r="K1204" s="8">
        <v>2.68</v>
      </c>
      <c r="L1204" s="8">
        <v>109</v>
      </c>
      <c r="M1204" s="8">
        <v>6733640960</v>
      </c>
      <c r="N1204" s="8">
        <v>-65.59</v>
      </c>
      <c r="O1204" s="8" t="str">
        <f>vw_scenario_analysis_dataset[[#This Row],[reporter_name]] &amp; "-" &amp; vw_scenario_analysis_dataset[[#This Row],[reference_year]]</f>
        <v>Panama-2024</v>
      </c>
    </row>
    <row r="1205" spans="1:15" x14ac:dyDescent="0.3">
      <c r="A1205" s="8" t="s">
        <v>282</v>
      </c>
      <c r="B1205" s="8" t="s">
        <v>283</v>
      </c>
      <c r="C1205" s="8">
        <v>2015</v>
      </c>
      <c r="D1205" s="8">
        <v>74556008238.660019</v>
      </c>
      <c r="E1205" s="8">
        <v>190000000000</v>
      </c>
      <c r="F1205" s="8">
        <v>30457600</v>
      </c>
      <c r="G1205" s="8">
        <v>3.2522447720000001</v>
      </c>
      <c r="H1205" s="8">
        <v>45.16276869</v>
      </c>
      <c r="I1205" s="8">
        <v>2447.86</v>
      </c>
      <c r="J1205" s="8">
        <v>6238.18</v>
      </c>
      <c r="K1205" s="8">
        <v>39.24</v>
      </c>
      <c r="L1205" s="8">
        <v>49</v>
      </c>
      <c r="M1205" s="8"/>
      <c r="N1205" s="8"/>
      <c r="O1205" s="8" t="str">
        <f>vw_scenario_analysis_dataset[[#This Row],[reporter_name]] &amp; "-" &amp; vw_scenario_analysis_dataset[[#This Row],[reference_year]]</f>
        <v>Peru-2015</v>
      </c>
    </row>
    <row r="1206" spans="1:15" x14ac:dyDescent="0.3">
      <c r="A1206" s="8" t="s">
        <v>282</v>
      </c>
      <c r="B1206" s="8" t="s">
        <v>283</v>
      </c>
      <c r="C1206" s="8">
        <v>2016</v>
      </c>
      <c r="D1206" s="8">
        <v>72619917607.000076</v>
      </c>
      <c r="E1206" s="8">
        <v>192000000000</v>
      </c>
      <c r="F1206" s="8">
        <v>30866494</v>
      </c>
      <c r="G1206" s="8">
        <v>3.953318715</v>
      </c>
      <c r="H1206" s="8">
        <v>45.388841200000002</v>
      </c>
      <c r="I1206" s="8">
        <v>2352.71</v>
      </c>
      <c r="J1206" s="8">
        <v>6220.34</v>
      </c>
      <c r="K1206" s="8">
        <v>37.82</v>
      </c>
      <c r="L1206" s="8">
        <v>48</v>
      </c>
      <c r="M1206" s="8">
        <v>74556008238.660019</v>
      </c>
      <c r="N1206" s="8">
        <v>-2.6</v>
      </c>
      <c r="O1206" s="8" t="str">
        <f>vw_scenario_analysis_dataset[[#This Row],[reporter_name]] &amp; "-" &amp; vw_scenario_analysis_dataset[[#This Row],[reference_year]]</f>
        <v>Peru-2016</v>
      </c>
    </row>
    <row r="1207" spans="1:15" x14ac:dyDescent="0.3">
      <c r="A1207" s="8" t="s">
        <v>282</v>
      </c>
      <c r="B1207" s="8" t="s">
        <v>283</v>
      </c>
      <c r="C1207" s="8">
        <v>2017</v>
      </c>
      <c r="D1207" s="8">
        <v>88475898845.419937</v>
      </c>
      <c r="E1207" s="8">
        <v>211000000000</v>
      </c>
      <c r="F1207" s="8">
        <v>31324637</v>
      </c>
      <c r="G1207" s="8">
        <v>2.5188354419999999</v>
      </c>
      <c r="H1207" s="8">
        <v>47.513550360000004</v>
      </c>
      <c r="I1207" s="8">
        <v>2824.48</v>
      </c>
      <c r="J1207" s="8">
        <v>6735.91</v>
      </c>
      <c r="K1207" s="8">
        <v>41.93</v>
      </c>
      <c r="L1207" s="8">
        <v>47</v>
      </c>
      <c r="M1207" s="8">
        <v>72619917607.000076</v>
      </c>
      <c r="N1207" s="8">
        <v>21.83</v>
      </c>
      <c r="O1207" s="8" t="str">
        <f>vw_scenario_analysis_dataset[[#This Row],[reporter_name]] &amp; "-" &amp; vw_scenario_analysis_dataset[[#This Row],[reference_year]]</f>
        <v>Peru-2017</v>
      </c>
    </row>
    <row r="1208" spans="1:15" x14ac:dyDescent="0.3">
      <c r="A1208" s="8" t="s">
        <v>282</v>
      </c>
      <c r="B1208" s="8" t="s">
        <v>283</v>
      </c>
      <c r="C1208" s="8">
        <v>2018</v>
      </c>
      <c r="D1208" s="8">
        <v>96030296750.680038</v>
      </c>
      <c r="E1208" s="8">
        <v>223000000000</v>
      </c>
      <c r="F1208" s="8">
        <v>31897584</v>
      </c>
      <c r="G1208" s="8">
        <v>3.9693513409999999</v>
      </c>
      <c r="H1208" s="8">
        <v>48.63147017</v>
      </c>
      <c r="I1208" s="8">
        <v>3010.58</v>
      </c>
      <c r="J1208" s="8">
        <v>6991.13</v>
      </c>
      <c r="K1208" s="8">
        <v>43.06</v>
      </c>
      <c r="L1208" s="8">
        <v>47</v>
      </c>
      <c r="M1208" s="8">
        <v>88475898845.419937</v>
      </c>
      <c r="N1208" s="8">
        <v>8.5399999999999991</v>
      </c>
      <c r="O1208" s="8" t="str">
        <f>vw_scenario_analysis_dataset[[#This Row],[reporter_name]] &amp; "-" &amp; vw_scenario_analysis_dataset[[#This Row],[reference_year]]</f>
        <v>Peru-2018</v>
      </c>
    </row>
    <row r="1209" spans="1:15" x14ac:dyDescent="0.3">
      <c r="A1209" s="8" t="s">
        <v>282</v>
      </c>
      <c r="B1209" s="8" t="s">
        <v>283</v>
      </c>
      <c r="C1209" s="8">
        <v>2019</v>
      </c>
      <c r="D1209" s="8">
        <v>92263129518.800095</v>
      </c>
      <c r="E1209" s="8">
        <v>228000000000</v>
      </c>
      <c r="F1209" s="8">
        <v>32449303</v>
      </c>
      <c r="G1209" s="8">
        <v>2.2406317690000002</v>
      </c>
      <c r="H1209" s="8">
        <v>46.943505379999998</v>
      </c>
      <c r="I1209" s="8">
        <v>2843.3</v>
      </c>
      <c r="J1209" s="8">
        <v>7026.35</v>
      </c>
      <c r="K1209" s="8">
        <v>40.47</v>
      </c>
      <c r="L1209" s="8">
        <v>47</v>
      </c>
      <c r="M1209" s="8">
        <v>96030296750.680038</v>
      </c>
      <c r="N1209" s="8">
        <v>-3.92</v>
      </c>
      <c r="O1209" s="8" t="str">
        <f>vw_scenario_analysis_dataset[[#This Row],[reporter_name]] &amp; "-" &amp; vw_scenario_analysis_dataset[[#This Row],[reference_year]]</f>
        <v>Peru-2019</v>
      </c>
    </row>
    <row r="1210" spans="1:15" x14ac:dyDescent="0.3">
      <c r="A1210" s="8" t="s">
        <v>282</v>
      </c>
      <c r="B1210" s="8" t="s">
        <v>283</v>
      </c>
      <c r="C1210" s="8">
        <v>2020</v>
      </c>
      <c r="D1210" s="8">
        <v>77514468088.220016</v>
      </c>
      <c r="E1210" s="8">
        <v>201000000000</v>
      </c>
      <c r="F1210" s="8">
        <v>32838579</v>
      </c>
      <c r="G1210" s="8">
        <v>-10.9333065</v>
      </c>
      <c r="H1210" s="8">
        <v>44.245967200000003</v>
      </c>
      <c r="I1210" s="8">
        <v>2360.4699999999998</v>
      </c>
      <c r="J1210" s="8">
        <v>6120.85</v>
      </c>
      <c r="K1210" s="8">
        <v>38.56</v>
      </c>
      <c r="L1210" s="8">
        <v>46</v>
      </c>
      <c r="M1210" s="8">
        <v>92263129518.800095</v>
      </c>
      <c r="N1210" s="8">
        <v>-15.99</v>
      </c>
      <c r="O1210" s="8" t="str">
        <f>vw_scenario_analysis_dataset[[#This Row],[reporter_name]] &amp; "-" &amp; vw_scenario_analysis_dataset[[#This Row],[reference_year]]</f>
        <v>Peru-2020</v>
      </c>
    </row>
    <row r="1211" spans="1:15" x14ac:dyDescent="0.3">
      <c r="A1211" s="8" t="s">
        <v>282</v>
      </c>
      <c r="B1211" s="8" t="s">
        <v>283</v>
      </c>
      <c r="C1211" s="8">
        <v>2021</v>
      </c>
      <c r="D1211" s="8">
        <v>112520230405.51207</v>
      </c>
      <c r="E1211" s="8">
        <v>226000000000</v>
      </c>
      <c r="F1211" s="8">
        <v>33155882</v>
      </c>
      <c r="G1211" s="8">
        <v>13.41664561</v>
      </c>
      <c r="H1211" s="8">
        <v>55.408323189999997</v>
      </c>
      <c r="I1211" s="8">
        <v>3393.67</v>
      </c>
      <c r="J1211" s="8">
        <v>6816.29</v>
      </c>
      <c r="K1211" s="8">
        <v>49.79</v>
      </c>
      <c r="L1211" s="8">
        <v>46</v>
      </c>
      <c r="M1211" s="8">
        <v>77514468088.220016</v>
      </c>
      <c r="N1211" s="8">
        <v>45.16</v>
      </c>
      <c r="O1211" s="8" t="str">
        <f>vw_scenario_analysis_dataset[[#This Row],[reporter_name]] &amp; "-" &amp; vw_scenario_analysis_dataset[[#This Row],[reference_year]]</f>
        <v>Peru-2021</v>
      </c>
    </row>
    <row r="1212" spans="1:15" x14ac:dyDescent="0.3">
      <c r="A1212" s="8" t="s">
        <v>282</v>
      </c>
      <c r="B1212" s="8" t="s">
        <v>283</v>
      </c>
      <c r="C1212" s="8">
        <v>2022</v>
      </c>
      <c r="D1212" s="8">
        <v>116344843732.36003</v>
      </c>
      <c r="E1212" s="8">
        <v>246000000000</v>
      </c>
      <c r="F1212" s="8">
        <v>33475438</v>
      </c>
      <c r="G1212" s="8">
        <v>2.8181997640000001</v>
      </c>
      <c r="H1212" s="8">
        <v>57.272700309999998</v>
      </c>
      <c r="I1212" s="8">
        <v>3475.53</v>
      </c>
      <c r="J1212" s="8">
        <v>7348.67</v>
      </c>
      <c r="K1212" s="8">
        <v>47.29</v>
      </c>
      <c r="L1212" s="8">
        <v>47</v>
      </c>
      <c r="M1212" s="8">
        <v>112520230405.51207</v>
      </c>
      <c r="N1212" s="8">
        <v>3.4</v>
      </c>
      <c r="O1212" s="8" t="str">
        <f>vw_scenario_analysis_dataset[[#This Row],[reporter_name]] &amp; "-" &amp; vw_scenario_analysis_dataset[[#This Row],[reference_year]]</f>
        <v>Peru-2022</v>
      </c>
    </row>
    <row r="1213" spans="1:15" x14ac:dyDescent="0.3">
      <c r="A1213" s="8" t="s">
        <v>282</v>
      </c>
      <c r="B1213" s="8" t="s">
        <v>283</v>
      </c>
      <c r="C1213" s="8">
        <v>2023</v>
      </c>
      <c r="D1213" s="8">
        <v>128710080870</v>
      </c>
      <c r="E1213" s="8">
        <v>268000000000</v>
      </c>
      <c r="F1213" s="8">
        <v>33845617</v>
      </c>
      <c r="G1213" s="8">
        <v>-0.350699814</v>
      </c>
      <c r="H1213" s="8">
        <v>50.907030720000002</v>
      </c>
      <c r="I1213" s="8">
        <v>3802.86</v>
      </c>
      <c r="J1213" s="8">
        <v>7918.31</v>
      </c>
      <c r="K1213" s="8">
        <v>48.03</v>
      </c>
      <c r="L1213" s="8">
        <v>44</v>
      </c>
      <c r="M1213" s="8">
        <v>116344843732.36003</v>
      </c>
      <c r="N1213" s="8">
        <v>10.63</v>
      </c>
      <c r="O1213" s="8" t="str">
        <f>vw_scenario_analysis_dataset[[#This Row],[reporter_name]] &amp; "-" &amp; vw_scenario_analysis_dataset[[#This Row],[reference_year]]</f>
        <v>Peru-2023</v>
      </c>
    </row>
    <row r="1214" spans="1:15" x14ac:dyDescent="0.3">
      <c r="A1214" s="8" t="s">
        <v>282</v>
      </c>
      <c r="B1214" s="8" t="s">
        <v>283</v>
      </c>
      <c r="C1214" s="8">
        <v>2024</v>
      </c>
      <c r="D1214" s="8">
        <v>148107849031.5061</v>
      </c>
      <c r="E1214" s="8">
        <v>292000000000</v>
      </c>
      <c r="F1214" s="8">
        <v>34217848</v>
      </c>
      <c r="G1214" s="8">
        <v>3.5152749270000001</v>
      </c>
      <c r="H1214" s="8">
        <v>51.681147989999999</v>
      </c>
      <c r="I1214" s="8">
        <v>4328.38</v>
      </c>
      <c r="J1214" s="8">
        <v>8533.56</v>
      </c>
      <c r="K1214" s="8">
        <v>50.72</v>
      </c>
      <c r="L1214" s="8">
        <v>41</v>
      </c>
      <c r="M1214" s="8">
        <v>128710080870</v>
      </c>
      <c r="N1214" s="8">
        <v>15.07</v>
      </c>
      <c r="O1214" s="8" t="str">
        <f>vw_scenario_analysis_dataset[[#This Row],[reporter_name]] &amp; "-" &amp; vw_scenario_analysis_dataset[[#This Row],[reference_year]]</f>
        <v>Peru-2024</v>
      </c>
    </row>
    <row r="1215" spans="1:15" x14ac:dyDescent="0.3">
      <c r="A1215" s="8" t="s">
        <v>284</v>
      </c>
      <c r="B1215" s="8" t="s">
        <v>285</v>
      </c>
      <c r="C1215" s="8">
        <v>2015</v>
      </c>
      <c r="D1215" s="8">
        <v>117296166160</v>
      </c>
      <c r="E1215" s="8">
        <v>306000000000</v>
      </c>
      <c r="F1215" s="8">
        <v>105312992</v>
      </c>
      <c r="G1215" s="8">
        <v>6.3483097170000002</v>
      </c>
      <c r="H1215" s="8">
        <v>59.141592109999998</v>
      </c>
      <c r="I1215" s="8">
        <v>1113.79</v>
      </c>
      <c r="J1215" s="8">
        <v>2905.62</v>
      </c>
      <c r="K1215" s="8">
        <v>38.33</v>
      </c>
      <c r="L1215" s="8">
        <v>41</v>
      </c>
      <c r="M1215" s="8"/>
      <c r="N1215" s="8"/>
      <c r="O1215" s="8" t="str">
        <f>vw_scenario_analysis_dataset[[#This Row],[reporter_name]] &amp; "-" &amp; vw_scenario_analysis_dataset[[#This Row],[reference_year]]</f>
        <v>Philippines-2015</v>
      </c>
    </row>
    <row r="1216" spans="1:15" x14ac:dyDescent="0.3">
      <c r="A1216" s="8" t="s">
        <v>284</v>
      </c>
      <c r="B1216" s="8" t="s">
        <v>285</v>
      </c>
      <c r="C1216" s="8">
        <v>2016</v>
      </c>
      <c r="D1216" s="8">
        <v>112625495896</v>
      </c>
      <c r="E1216" s="8">
        <v>319000000000</v>
      </c>
      <c r="F1216" s="8">
        <v>106735719</v>
      </c>
      <c r="G1216" s="8">
        <v>7.1494567499999997</v>
      </c>
      <c r="H1216" s="8">
        <v>61.776065770000002</v>
      </c>
      <c r="I1216" s="8">
        <v>1055.18</v>
      </c>
      <c r="J1216" s="8">
        <v>2988.69</v>
      </c>
      <c r="K1216" s="8">
        <v>35.31</v>
      </c>
      <c r="L1216" s="8">
        <v>42</v>
      </c>
      <c r="M1216" s="8">
        <v>117296166160</v>
      </c>
      <c r="N1216" s="8">
        <v>-3.98</v>
      </c>
      <c r="O1216" s="8" t="str">
        <f>vw_scenario_analysis_dataset[[#This Row],[reporter_name]] &amp; "-" &amp; vw_scenario_analysis_dataset[[#This Row],[reference_year]]</f>
        <v>Philippines-2016</v>
      </c>
    </row>
    <row r="1217" spans="1:15" x14ac:dyDescent="0.3">
      <c r="A1217" s="8" t="s">
        <v>284</v>
      </c>
      <c r="B1217" s="8" t="s">
        <v>285</v>
      </c>
      <c r="C1217" s="8">
        <v>2017</v>
      </c>
      <c r="D1217" s="8">
        <v>137425222372</v>
      </c>
      <c r="E1217" s="8">
        <v>328000000000</v>
      </c>
      <c r="F1217" s="8">
        <v>108119693</v>
      </c>
      <c r="G1217" s="8">
        <v>6.9309883259999996</v>
      </c>
      <c r="H1217" s="8">
        <v>68.168369740000003</v>
      </c>
      <c r="I1217" s="8">
        <v>1271.05</v>
      </c>
      <c r="J1217" s="8">
        <v>3033.67</v>
      </c>
      <c r="K1217" s="8">
        <v>41.9</v>
      </c>
      <c r="L1217" s="8">
        <v>38</v>
      </c>
      <c r="M1217" s="8">
        <v>112625495896</v>
      </c>
      <c r="N1217" s="8">
        <v>22.02</v>
      </c>
      <c r="O1217" s="8" t="str">
        <f>vw_scenario_analysis_dataset[[#This Row],[reporter_name]] &amp; "-" &amp; vw_scenario_analysis_dataset[[#This Row],[reference_year]]</f>
        <v>Philippines-2017</v>
      </c>
    </row>
    <row r="1218" spans="1:15" x14ac:dyDescent="0.3">
      <c r="A1218" s="8" t="s">
        <v>284</v>
      </c>
      <c r="B1218" s="8" t="s">
        <v>285</v>
      </c>
      <c r="C1218" s="8">
        <v>2018</v>
      </c>
      <c r="D1218" s="8">
        <v>134975336596</v>
      </c>
      <c r="E1218" s="8">
        <v>347000000000</v>
      </c>
      <c r="F1218" s="8">
        <v>109465287</v>
      </c>
      <c r="G1218" s="8">
        <v>6.3414855719999998</v>
      </c>
      <c r="H1218" s="8">
        <v>72.163398299999997</v>
      </c>
      <c r="I1218" s="8">
        <v>1233.04</v>
      </c>
      <c r="J1218" s="8">
        <v>3169.95</v>
      </c>
      <c r="K1218" s="8">
        <v>38.9</v>
      </c>
      <c r="L1218" s="8">
        <v>42</v>
      </c>
      <c r="M1218" s="8">
        <v>137425222372</v>
      </c>
      <c r="N1218" s="8">
        <v>-1.78</v>
      </c>
      <c r="O1218" s="8" t="str">
        <f>vw_scenario_analysis_dataset[[#This Row],[reporter_name]] &amp; "-" &amp; vw_scenario_analysis_dataset[[#This Row],[reference_year]]</f>
        <v>Philippines-2018</v>
      </c>
    </row>
    <row r="1219" spans="1:15" x14ac:dyDescent="0.3">
      <c r="A1219" s="8" t="s">
        <v>284</v>
      </c>
      <c r="B1219" s="8" t="s">
        <v>285</v>
      </c>
      <c r="C1219" s="8">
        <v>2019</v>
      </c>
      <c r="D1219" s="8">
        <v>141853348980</v>
      </c>
      <c r="E1219" s="8">
        <v>377000000000</v>
      </c>
      <c r="F1219" s="8">
        <v>110804683</v>
      </c>
      <c r="G1219" s="8">
        <v>6.1185256619999997</v>
      </c>
      <c r="H1219" s="8">
        <v>68.841842260000007</v>
      </c>
      <c r="I1219" s="8">
        <v>1280.21</v>
      </c>
      <c r="J1219" s="8">
        <v>3402.38</v>
      </c>
      <c r="K1219" s="8">
        <v>37.630000000000003</v>
      </c>
      <c r="L1219" s="8">
        <v>38</v>
      </c>
      <c r="M1219" s="8">
        <v>134975336596</v>
      </c>
      <c r="N1219" s="8">
        <v>5.0999999999999996</v>
      </c>
      <c r="O1219" s="8" t="str">
        <f>vw_scenario_analysis_dataset[[#This Row],[reporter_name]] &amp; "-" &amp; vw_scenario_analysis_dataset[[#This Row],[reference_year]]</f>
        <v>Philippines-2019</v>
      </c>
    </row>
    <row r="1220" spans="1:15" x14ac:dyDescent="0.3">
      <c r="A1220" s="8" t="s">
        <v>284</v>
      </c>
      <c r="B1220" s="8" t="s">
        <v>285</v>
      </c>
      <c r="C1220" s="8">
        <v>2020</v>
      </c>
      <c r="D1220" s="8">
        <v>130428870144</v>
      </c>
      <c r="E1220" s="8">
        <v>362000000000</v>
      </c>
      <c r="F1220" s="8">
        <v>112081264</v>
      </c>
      <c r="G1220" s="8">
        <v>-9.51829474</v>
      </c>
      <c r="H1220" s="8">
        <v>58.169560300000001</v>
      </c>
      <c r="I1220" s="8">
        <v>1163.7</v>
      </c>
      <c r="J1220" s="8">
        <v>3229.8</v>
      </c>
      <c r="K1220" s="8">
        <v>36.03</v>
      </c>
      <c r="L1220" s="8">
        <v>38</v>
      </c>
      <c r="M1220" s="8">
        <v>141853348980</v>
      </c>
      <c r="N1220" s="8">
        <v>-8.0500000000000007</v>
      </c>
      <c r="O1220" s="8" t="str">
        <f>vw_scenario_analysis_dataset[[#This Row],[reporter_name]] &amp; "-" &amp; vw_scenario_analysis_dataset[[#This Row],[reference_year]]</f>
        <v>Philippines-2020</v>
      </c>
    </row>
    <row r="1221" spans="1:15" x14ac:dyDescent="0.3">
      <c r="A1221" s="8" t="s">
        <v>284</v>
      </c>
      <c r="B1221" s="8" t="s">
        <v>285</v>
      </c>
      <c r="C1221" s="8">
        <v>2021</v>
      </c>
      <c r="D1221" s="8">
        <v>149239057510</v>
      </c>
      <c r="E1221" s="8">
        <v>394000000000</v>
      </c>
      <c r="F1221" s="8">
        <v>113100950</v>
      </c>
      <c r="G1221" s="8">
        <v>5.7147331320000001</v>
      </c>
      <c r="H1221" s="8">
        <v>63.484609810000002</v>
      </c>
      <c r="I1221" s="8">
        <v>1319.52</v>
      </c>
      <c r="J1221" s="8">
        <v>3483.61</v>
      </c>
      <c r="K1221" s="8">
        <v>37.880000000000003</v>
      </c>
      <c r="L1221" s="8">
        <v>41</v>
      </c>
      <c r="M1221" s="8">
        <v>130428870144</v>
      </c>
      <c r="N1221" s="8">
        <v>14.42</v>
      </c>
      <c r="O1221" s="8" t="str">
        <f>vw_scenario_analysis_dataset[[#This Row],[reporter_name]] &amp; "-" &amp; vw_scenario_analysis_dataset[[#This Row],[reference_year]]</f>
        <v>Philippines-2021</v>
      </c>
    </row>
    <row r="1222" spans="1:15" x14ac:dyDescent="0.3">
      <c r="A1222" s="8" t="s">
        <v>284</v>
      </c>
      <c r="B1222" s="8" t="s">
        <v>285</v>
      </c>
      <c r="C1222" s="8">
        <v>2022</v>
      </c>
      <c r="D1222" s="8">
        <v>157857036170</v>
      </c>
      <c r="E1222" s="8">
        <v>404000000000</v>
      </c>
      <c r="F1222" s="8">
        <v>113964338</v>
      </c>
      <c r="G1222" s="8">
        <v>7.5809821279999996</v>
      </c>
      <c r="H1222" s="8">
        <v>72.429683609999998</v>
      </c>
      <c r="I1222" s="8">
        <v>1385.14</v>
      </c>
      <c r="J1222" s="8">
        <v>3544.97</v>
      </c>
      <c r="K1222" s="8">
        <v>39.07</v>
      </c>
      <c r="L1222" s="8">
        <v>42</v>
      </c>
      <c r="M1222" s="8">
        <v>149239057510</v>
      </c>
      <c r="N1222" s="8">
        <v>5.77</v>
      </c>
      <c r="O1222" s="8" t="str">
        <f>vw_scenario_analysis_dataset[[#This Row],[reporter_name]] &amp; "-" &amp; vw_scenario_analysis_dataset[[#This Row],[reference_year]]</f>
        <v>Philippines-2022</v>
      </c>
    </row>
    <row r="1223" spans="1:15" x14ac:dyDescent="0.3">
      <c r="A1223" s="8" t="s">
        <v>284</v>
      </c>
      <c r="B1223" s="8" t="s">
        <v>285</v>
      </c>
      <c r="C1223" s="8">
        <v>2023</v>
      </c>
      <c r="D1223" s="8">
        <v>147234228448</v>
      </c>
      <c r="E1223" s="8">
        <v>437000000000</v>
      </c>
      <c r="F1223" s="8">
        <v>114891199</v>
      </c>
      <c r="G1223" s="8">
        <v>5.5189496790000003</v>
      </c>
      <c r="H1223" s="8">
        <v>67.419969320000007</v>
      </c>
      <c r="I1223" s="8">
        <v>1281.51</v>
      </c>
      <c r="J1223" s="8">
        <v>3803.6</v>
      </c>
      <c r="K1223" s="8">
        <v>33.69</v>
      </c>
      <c r="L1223" s="8">
        <v>41</v>
      </c>
      <c r="M1223" s="8">
        <v>157857036170</v>
      </c>
      <c r="N1223" s="8">
        <v>-6.73</v>
      </c>
      <c r="O1223" s="8" t="str">
        <f>vw_scenario_analysis_dataset[[#This Row],[reporter_name]] &amp; "-" &amp; vw_scenario_analysis_dataset[[#This Row],[reference_year]]</f>
        <v>Philippines-2023</v>
      </c>
    </row>
    <row r="1224" spans="1:15" x14ac:dyDescent="0.3">
      <c r="A1224" s="8" t="s">
        <v>284</v>
      </c>
      <c r="B1224" s="8" t="s">
        <v>285</v>
      </c>
      <c r="C1224" s="8">
        <v>2024</v>
      </c>
      <c r="D1224" s="8">
        <v>146537436994</v>
      </c>
      <c r="E1224" s="8">
        <v>462000000000</v>
      </c>
      <c r="F1224" s="8">
        <v>115843670</v>
      </c>
      <c r="G1224" s="8">
        <v>5.714745261</v>
      </c>
      <c r="H1224" s="8">
        <v>65.863788389999996</v>
      </c>
      <c r="I1224" s="8">
        <v>1264.96</v>
      </c>
      <c r="J1224" s="8">
        <v>3988.13</v>
      </c>
      <c r="K1224" s="8">
        <v>31.72</v>
      </c>
      <c r="L1224" s="8">
        <v>42</v>
      </c>
      <c r="M1224" s="8">
        <v>147234228448</v>
      </c>
      <c r="N1224" s="8">
        <v>-0.47</v>
      </c>
      <c r="O1224" s="8" t="str">
        <f>vw_scenario_analysis_dataset[[#This Row],[reporter_name]] &amp; "-" &amp; vw_scenario_analysis_dataset[[#This Row],[reference_year]]</f>
        <v>Philippines-2024</v>
      </c>
    </row>
    <row r="1225" spans="1:15" x14ac:dyDescent="0.3">
      <c r="A1225" s="8" t="s">
        <v>286</v>
      </c>
      <c r="B1225" s="8" t="s">
        <v>287</v>
      </c>
      <c r="C1225" s="8">
        <v>2015</v>
      </c>
      <c r="D1225" s="8">
        <v>12769341</v>
      </c>
      <c r="E1225" s="8">
        <v>283224750</v>
      </c>
      <c r="F1225" s="8">
        <v>17770</v>
      </c>
      <c r="G1225" s="8">
        <v>8.5700056819999997</v>
      </c>
      <c r="H1225" s="8">
        <v>128.20729829999999</v>
      </c>
      <c r="I1225" s="8">
        <v>718.59</v>
      </c>
      <c r="J1225" s="8">
        <v>15938.37</v>
      </c>
      <c r="K1225" s="8">
        <v>4.51</v>
      </c>
      <c r="L1225" s="8">
        <v>168</v>
      </c>
      <c r="M1225" s="8"/>
      <c r="N1225" s="8"/>
      <c r="O1225" s="8" t="str">
        <f>vw_scenario_analysis_dataset[[#This Row],[reporter_name]] &amp; "-" &amp; vw_scenario_analysis_dataset[[#This Row],[reference_year]]</f>
        <v>Palau-2015</v>
      </c>
    </row>
    <row r="1226" spans="1:15" x14ac:dyDescent="0.3">
      <c r="A1226" s="8" t="s">
        <v>286</v>
      </c>
      <c r="B1226" s="8" t="s">
        <v>287</v>
      </c>
      <c r="C1226" s="8">
        <v>2016</v>
      </c>
      <c r="D1226" s="8">
        <v>13079363</v>
      </c>
      <c r="E1226" s="8">
        <v>303326125</v>
      </c>
      <c r="F1226" s="8">
        <v>17797</v>
      </c>
      <c r="G1226" s="8">
        <v>1.666506882</v>
      </c>
      <c r="H1226" s="8">
        <v>118.7598661</v>
      </c>
      <c r="I1226" s="8">
        <v>734.92</v>
      </c>
      <c r="J1226" s="8">
        <v>17043.669999999998</v>
      </c>
      <c r="K1226" s="8">
        <v>4.3099999999999996</v>
      </c>
      <c r="L1226" s="8">
        <v>171</v>
      </c>
      <c r="M1226" s="8">
        <v>12769341</v>
      </c>
      <c r="N1226" s="8">
        <v>2.4300000000000002</v>
      </c>
      <c r="O1226" s="8" t="str">
        <f>vw_scenario_analysis_dataset[[#This Row],[reporter_name]] &amp; "-" &amp; vw_scenario_analysis_dataset[[#This Row],[reference_year]]</f>
        <v>Palau-2016</v>
      </c>
    </row>
    <row r="1227" spans="1:15" x14ac:dyDescent="0.3">
      <c r="A1227" s="8" t="s">
        <v>286</v>
      </c>
      <c r="B1227" s="8" t="s">
        <v>287</v>
      </c>
      <c r="C1227" s="8">
        <v>2017</v>
      </c>
      <c r="D1227" s="8">
        <v>12839519.719999999</v>
      </c>
      <c r="E1227" s="8">
        <v>289983656.30000001</v>
      </c>
      <c r="F1227" s="8">
        <v>17812</v>
      </c>
      <c r="G1227" s="8">
        <v>-3.421431702</v>
      </c>
      <c r="H1227" s="8">
        <v>122.6506365</v>
      </c>
      <c r="I1227" s="8">
        <v>720.84</v>
      </c>
      <c r="J1227" s="8">
        <v>16280.24</v>
      </c>
      <c r="K1227" s="8">
        <v>4.43</v>
      </c>
      <c r="L1227" s="8">
        <v>174</v>
      </c>
      <c r="M1227" s="8">
        <v>13079363</v>
      </c>
      <c r="N1227" s="8">
        <v>-1.83</v>
      </c>
      <c r="O1227" s="8" t="str">
        <f>vw_scenario_analysis_dataset[[#This Row],[reporter_name]] &amp; "-" &amp; vw_scenario_analysis_dataset[[#This Row],[reference_year]]</f>
        <v>Palau-2017</v>
      </c>
    </row>
    <row r="1228" spans="1:15" x14ac:dyDescent="0.3">
      <c r="A1228" s="8" t="s">
        <v>286</v>
      </c>
      <c r="B1228" s="8" t="s">
        <v>287</v>
      </c>
      <c r="C1228" s="8">
        <v>2018</v>
      </c>
      <c r="D1228" s="8">
        <v>17241816.100000001</v>
      </c>
      <c r="E1228" s="8">
        <v>288228343.80000001</v>
      </c>
      <c r="F1228" s="8">
        <v>17814</v>
      </c>
      <c r="G1228" s="8">
        <v>-0.41762585899999999</v>
      </c>
      <c r="H1228" s="8">
        <v>117.77197049999999</v>
      </c>
      <c r="I1228" s="8">
        <v>967.88</v>
      </c>
      <c r="J1228" s="8">
        <v>16179.88</v>
      </c>
      <c r="K1228" s="8">
        <v>5.98</v>
      </c>
      <c r="L1228" s="8">
        <v>170</v>
      </c>
      <c r="M1228" s="8">
        <v>12839519.719999999</v>
      </c>
      <c r="N1228" s="8">
        <v>34.29</v>
      </c>
      <c r="O1228" s="8" t="str">
        <f>vw_scenario_analysis_dataset[[#This Row],[reporter_name]] &amp; "-" &amp; vw_scenario_analysis_dataset[[#This Row],[reference_year]]</f>
        <v>Palau-2018</v>
      </c>
    </row>
    <row r="1229" spans="1:15" x14ac:dyDescent="0.3">
      <c r="A1229" s="8" t="s">
        <v>288</v>
      </c>
      <c r="B1229" s="8" t="s">
        <v>289</v>
      </c>
      <c r="C1229" s="8">
        <v>2019</v>
      </c>
      <c r="D1229" s="8">
        <v>20392664337.852009</v>
      </c>
      <c r="E1229" s="8">
        <v>24750626030</v>
      </c>
      <c r="F1229" s="8">
        <v>9609010</v>
      </c>
      <c r="G1229" s="8">
        <v>4.4805145690000003</v>
      </c>
      <c r="H1229" s="8"/>
      <c r="I1229" s="8">
        <v>2122.2399999999998</v>
      </c>
      <c r="J1229" s="8">
        <v>2575.77</v>
      </c>
      <c r="K1229" s="8">
        <v>82.39</v>
      </c>
      <c r="L1229" s="8">
        <v>81</v>
      </c>
      <c r="M1229" s="8"/>
      <c r="N1229" s="8"/>
      <c r="O1229" s="8" t="str">
        <f>vw_scenario_analysis_dataset[[#This Row],[reporter_name]] &amp; "-" &amp; vw_scenario_analysis_dataset[[#This Row],[reference_year]]</f>
        <v>Papua New Guinea-2019</v>
      </c>
    </row>
    <row r="1230" spans="1:15" x14ac:dyDescent="0.3">
      <c r="A1230" s="8" t="s">
        <v>288</v>
      </c>
      <c r="B1230" s="8" t="s">
        <v>289</v>
      </c>
      <c r="C1230" s="8">
        <v>2020</v>
      </c>
      <c r="D1230" s="8">
        <v>20734008408.80901</v>
      </c>
      <c r="E1230" s="8">
        <v>23848447850</v>
      </c>
      <c r="F1230" s="8">
        <v>9815746</v>
      </c>
      <c r="G1230" s="8">
        <v>-3.1674320439999999</v>
      </c>
      <c r="H1230" s="8"/>
      <c r="I1230" s="8">
        <v>2112.3200000000002</v>
      </c>
      <c r="J1230" s="8">
        <v>2429.61</v>
      </c>
      <c r="K1230" s="8">
        <v>86.94</v>
      </c>
      <c r="L1230" s="8">
        <v>77</v>
      </c>
      <c r="M1230" s="8">
        <v>20392664337.852009</v>
      </c>
      <c r="N1230" s="8">
        <v>1.67</v>
      </c>
      <c r="O1230" s="8" t="str">
        <f>vw_scenario_analysis_dataset[[#This Row],[reporter_name]] &amp; "-" &amp; vw_scenario_analysis_dataset[[#This Row],[reference_year]]</f>
        <v>Papua New Guinea-2020</v>
      </c>
    </row>
    <row r="1231" spans="1:15" x14ac:dyDescent="0.3">
      <c r="A1231" s="8" t="s">
        <v>288</v>
      </c>
      <c r="B1231" s="8" t="s">
        <v>289</v>
      </c>
      <c r="C1231" s="8">
        <v>2021</v>
      </c>
      <c r="D1231" s="8">
        <v>19301082034.974003</v>
      </c>
      <c r="E1231" s="8">
        <v>26113409478</v>
      </c>
      <c r="F1231" s="8">
        <v>10012896</v>
      </c>
      <c r="G1231" s="8">
        <v>-0.510612607</v>
      </c>
      <c r="H1231" s="8"/>
      <c r="I1231" s="8">
        <v>1927.62</v>
      </c>
      <c r="J1231" s="8">
        <v>2607.98</v>
      </c>
      <c r="K1231" s="8">
        <v>73.91</v>
      </c>
      <c r="L1231" s="8">
        <v>83</v>
      </c>
      <c r="M1231" s="8">
        <v>20734008408.80901</v>
      </c>
      <c r="N1231" s="8">
        <v>-6.91</v>
      </c>
      <c r="O1231" s="8" t="str">
        <f>vw_scenario_analysis_dataset[[#This Row],[reporter_name]] &amp; "-" &amp; vw_scenario_analysis_dataset[[#This Row],[reference_year]]</f>
        <v>Papua New Guinea-2021</v>
      </c>
    </row>
    <row r="1232" spans="1:15" x14ac:dyDescent="0.3">
      <c r="A1232" s="8" t="s">
        <v>288</v>
      </c>
      <c r="B1232" s="8" t="s">
        <v>289</v>
      </c>
      <c r="C1232" s="8">
        <v>2022</v>
      </c>
      <c r="D1232" s="8">
        <v>21857810109.360001</v>
      </c>
      <c r="E1232" s="8">
        <v>31653230962</v>
      </c>
      <c r="F1232" s="8">
        <v>10203169</v>
      </c>
      <c r="G1232" s="8">
        <v>5.7070196500000003</v>
      </c>
      <c r="H1232" s="8"/>
      <c r="I1232" s="8">
        <v>2142.2600000000002</v>
      </c>
      <c r="J1232" s="8">
        <v>3102.29</v>
      </c>
      <c r="K1232" s="8">
        <v>69.05</v>
      </c>
      <c r="L1232" s="8">
        <v>84</v>
      </c>
      <c r="M1232" s="8">
        <v>19301082034.974003</v>
      </c>
      <c r="N1232" s="8">
        <v>13.25</v>
      </c>
      <c r="O1232" s="8" t="str">
        <f>vw_scenario_analysis_dataset[[#This Row],[reporter_name]] &amp; "-" &amp; vw_scenario_analysis_dataset[[#This Row],[reference_year]]</f>
        <v>Papua New Guinea-2022</v>
      </c>
    </row>
    <row r="1233" spans="1:15" x14ac:dyDescent="0.3">
      <c r="A1233" s="8" t="s">
        <v>288</v>
      </c>
      <c r="B1233" s="8" t="s">
        <v>289</v>
      </c>
      <c r="C1233" s="8">
        <v>2023</v>
      </c>
      <c r="D1233" s="8">
        <v>19867993464.770996</v>
      </c>
      <c r="E1233" s="8">
        <v>30816328066</v>
      </c>
      <c r="F1233" s="8">
        <v>10389635</v>
      </c>
      <c r="G1233" s="8">
        <v>3.8104630830000001</v>
      </c>
      <c r="H1233" s="8"/>
      <c r="I1233" s="8">
        <v>1912.29</v>
      </c>
      <c r="J1233" s="8">
        <v>2966.06</v>
      </c>
      <c r="K1233" s="8">
        <v>64.47</v>
      </c>
      <c r="L1233" s="8">
        <v>84</v>
      </c>
      <c r="M1233" s="8">
        <v>21857810109.360001</v>
      </c>
      <c r="N1233" s="8">
        <v>-9.1</v>
      </c>
      <c r="O1233" s="8" t="str">
        <f>vw_scenario_analysis_dataset[[#This Row],[reporter_name]] &amp; "-" &amp; vw_scenario_analysis_dataset[[#This Row],[reference_year]]</f>
        <v>Papua New Guinea-2023</v>
      </c>
    </row>
    <row r="1234" spans="1:15" x14ac:dyDescent="0.3">
      <c r="A1234" s="8" t="s">
        <v>290</v>
      </c>
      <c r="B1234" s="8" t="s">
        <v>291</v>
      </c>
      <c r="C1234" s="8">
        <v>2015</v>
      </c>
      <c r="D1234" s="8">
        <v>388922314540</v>
      </c>
      <c r="E1234" s="8">
        <v>480000000000</v>
      </c>
      <c r="F1234" s="8">
        <v>37986412</v>
      </c>
      <c r="G1234" s="8">
        <v>4.431767003</v>
      </c>
      <c r="H1234" s="8">
        <v>92.255427269999998</v>
      </c>
      <c r="I1234" s="8">
        <v>10238.459999999999</v>
      </c>
      <c r="J1234" s="8">
        <v>12636.1</v>
      </c>
      <c r="K1234" s="8">
        <v>81.03</v>
      </c>
      <c r="L1234" s="8">
        <v>21</v>
      </c>
      <c r="M1234" s="8"/>
      <c r="N1234" s="8"/>
      <c r="O1234" s="8" t="str">
        <f>vw_scenario_analysis_dataset[[#This Row],[reporter_name]] &amp; "-" &amp; vw_scenario_analysis_dataset[[#This Row],[reference_year]]</f>
        <v>Poland-2015</v>
      </c>
    </row>
    <row r="1235" spans="1:15" x14ac:dyDescent="0.3">
      <c r="A1235" s="8" t="s">
        <v>290</v>
      </c>
      <c r="B1235" s="8" t="s">
        <v>291</v>
      </c>
      <c r="C1235" s="8">
        <v>2016</v>
      </c>
      <c r="D1235" s="8">
        <v>392910539196</v>
      </c>
      <c r="E1235" s="8">
        <v>473000000000</v>
      </c>
      <c r="F1235" s="8">
        <v>37970087</v>
      </c>
      <c r="G1235" s="8">
        <v>3.031177676</v>
      </c>
      <c r="H1235" s="8">
        <v>96.865902809999994</v>
      </c>
      <c r="I1235" s="8">
        <v>10347.9</v>
      </c>
      <c r="J1235" s="8">
        <v>12457.17</v>
      </c>
      <c r="K1235" s="8">
        <v>83.07</v>
      </c>
      <c r="L1235" s="8">
        <v>19</v>
      </c>
      <c r="M1235" s="8">
        <v>388922314540</v>
      </c>
      <c r="N1235" s="8">
        <v>1.03</v>
      </c>
      <c r="O1235" s="8" t="str">
        <f>vw_scenario_analysis_dataset[[#This Row],[reporter_name]] &amp; "-" &amp; vw_scenario_analysis_dataset[[#This Row],[reference_year]]</f>
        <v>Poland-2016</v>
      </c>
    </row>
    <row r="1236" spans="1:15" x14ac:dyDescent="0.3">
      <c r="A1236" s="8" t="s">
        <v>290</v>
      </c>
      <c r="B1236" s="8" t="s">
        <v>291</v>
      </c>
      <c r="C1236" s="8">
        <v>2017</v>
      </c>
      <c r="D1236" s="8">
        <v>442615242604</v>
      </c>
      <c r="E1236" s="8">
        <v>528000000000</v>
      </c>
      <c r="F1236" s="8">
        <v>37974826</v>
      </c>
      <c r="G1236" s="8">
        <v>5.1524577330000003</v>
      </c>
      <c r="H1236" s="8">
        <v>100.5658952</v>
      </c>
      <c r="I1236" s="8">
        <v>11655.49</v>
      </c>
      <c r="J1236" s="8">
        <v>13903.95</v>
      </c>
      <c r="K1236" s="8">
        <v>83.83</v>
      </c>
      <c r="L1236" s="8">
        <v>21</v>
      </c>
      <c r="M1236" s="8">
        <v>392910539196</v>
      </c>
      <c r="N1236" s="8">
        <v>12.65</v>
      </c>
      <c r="O1236" s="8" t="str">
        <f>vw_scenario_analysis_dataset[[#This Row],[reporter_name]] &amp; "-" &amp; vw_scenario_analysis_dataset[[#This Row],[reference_year]]</f>
        <v>Poland-2017</v>
      </c>
    </row>
    <row r="1237" spans="1:15" x14ac:dyDescent="0.3">
      <c r="A1237" s="8" t="s">
        <v>290</v>
      </c>
      <c r="B1237" s="8" t="s">
        <v>291</v>
      </c>
      <c r="C1237" s="8">
        <v>2018</v>
      </c>
      <c r="D1237" s="8">
        <v>523630537050</v>
      </c>
      <c r="E1237" s="8">
        <v>595000000000</v>
      </c>
      <c r="F1237" s="8">
        <v>37974750</v>
      </c>
      <c r="G1237" s="8">
        <v>6.2458584720000001</v>
      </c>
      <c r="H1237" s="8">
        <v>102.44246219999999</v>
      </c>
      <c r="I1237" s="8">
        <v>13788.91</v>
      </c>
      <c r="J1237" s="8">
        <v>15668.31</v>
      </c>
      <c r="K1237" s="8">
        <v>88.01</v>
      </c>
      <c r="L1237" s="8">
        <v>19</v>
      </c>
      <c r="M1237" s="8">
        <v>442615242604</v>
      </c>
      <c r="N1237" s="8">
        <v>18.3</v>
      </c>
      <c r="O1237" s="8" t="str">
        <f>vw_scenario_analysis_dataset[[#This Row],[reporter_name]] &amp; "-" &amp; vw_scenario_analysis_dataset[[#This Row],[reference_year]]</f>
        <v>Poland-2018</v>
      </c>
    </row>
    <row r="1238" spans="1:15" x14ac:dyDescent="0.3">
      <c r="A1238" s="8" t="s">
        <v>290</v>
      </c>
      <c r="B1238" s="8" t="s">
        <v>291</v>
      </c>
      <c r="C1238" s="8">
        <v>2019</v>
      </c>
      <c r="D1238" s="8">
        <v>503729546540</v>
      </c>
      <c r="E1238" s="8">
        <v>603000000000</v>
      </c>
      <c r="F1238" s="8">
        <v>37965475</v>
      </c>
      <c r="G1238" s="8">
        <v>4.5804581730000002</v>
      </c>
      <c r="H1238" s="8">
        <v>101.5810338</v>
      </c>
      <c r="I1238" s="8">
        <v>13268.1</v>
      </c>
      <c r="J1238" s="8">
        <v>15882.85</v>
      </c>
      <c r="K1238" s="8">
        <v>83.54</v>
      </c>
      <c r="L1238" s="8">
        <v>21</v>
      </c>
      <c r="M1238" s="8">
        <v>523630537050</v>
      </c>
      <c r="N1238" s="8">
        <v>-3.8</v>
      </c>
      <c r="O1238" s="8" t="str">
        <f>vw_scenario_analysis_dataset[[#This Row],[reporter_name]] &amp; "-" &amp; vw_scenario_analysis_dataset[[#This Row],[reference_year]]</f>
        <v>Poland-2019</v>
      </c>
    </row>
    <row r="1239" spans="1:15" x14ac:dyDescent="0.3">
      <c r="A1239" s="8" t="s">
        <v>290</v>
      </c>
      <c r="B1239" s="8" t="s">
        <v>291</v>
      </c>
      <c r="C1239" s="8">
        <v>2020</v>
      </c>
      <c r="D1239" s="8">
        <v>508338063804</v>
      </c>
      <c r="E1239" s="8">
        <v>606000000000</v>
      </c>
      <c r="F1239" s="8">
        <v>37515748</v>
      </c>
      <c r="G1239" s="8">
        <v>-2.0355688239999998</v>
      </c>
      <c r="H1239" s="8">
        <v>99.259091229999996</v>
      </c>
      <c r="I1239" s="8">
        <v>13549.99</v>
      </c>
      <c r="J1239" s="8">
        <v>16153.22</v>
      </c>
      <c r="K1239" s="8">
        <v>83.88</v>
      </c>
      <c r="L1239" s="8">
        <v>19</v>
      </c>
      <c r="M1239" s="8">
        <v>503729546540</v>
      </c>
      <c r="N1239" s="8">
        <v>0.91</v>
      </c>
      <c r="O1239" s="8" t="str">
        <f>vw_scenario_analysis_dataset[[#This Row],[reporter_name]] &amp; "-" &amp; vw_scenario_analysis_dataset[[#This Row],[reference_year]]</f>
        <v>Poland-2020</v>
      </c>
    </row>
    <row r="1240" spans="1:15" x14ac:dyDescent="0.3">
      <c r="A1240" s="8" t="s">
        <v>290</v>
      </c>
      <c r="B1240" s="8" t="s">
        <v>291</v>
      </c>
      <c r="C1240" s="8">
        <v>2021</v>
      </c>
      <c r="D1240" s="8">
        <v>635664249884</v>
      </c>
      <c r="E1240" s="8">
        <v>689000000000</v>
      </c>
      <c r="F1240" s="8">
        <v>36981559</v>
      </c>
      <c r="G1240" s="8">
        <v>6.9271826609999998</v>
      </c>
      <c r="H1240" s="8">
        <v>110.87428300000001</v>
      </c>
      <c r="I1240" s="8">
        <v>17188.68</v>
      </c>
      <c r="J1240" s="8">
        <v>18630.91</v>
      </c>
      <c r="K1240" s="8">
        <v>92.26</v>
      </c>
      <c r="L1240" s="8">
        <v>20</v>
      </c>
      <c r="M1240" s="8">
        <v>508338063804</v>
      </c>
      <c r="N1240" s="8">
        <v>25.05</v>
      </c>
      <c r="O1240" s="8" t="str">
        <f>vw_scenario_analysis_dataset[[#This Row],[reporter_name]] &amp; "-" &amp; vw_scenario_analysis_dataset[[#This Row],[reference_year]]</f>
        <v>Poland-2021</v>
      </c>
    </row>
    <row r="1241" spans="1:15" x14ac:dyDescent="0.3">
      <c r="A1241" s="8" t="s">
        <v>290</v>
      </c>
      <c r="B1241" s="8" t="s">
        <v>291</v>
      </c>
      <c r="C1241" s="8">
        <v>2022</v>
      </c>
      <c r="D1241" s="8">
        <v>731501387036</v>
      </c>
      <c r="E1241" s="8">
        <v>696000000000</v>
      </c>
      <c r="F1241" s="8">
        <v>36821749</v>
      </c>
      <c r="G1241" s="8">
        <v>5.2554569740000003</v>
      </c>
      <c r="H1241" s="8">
        <v>123.0213329</v>
      </c>
      <c r="I1241" s="8">
        <v>19866.009999999998</v>
      </c>
      <c r="J1241" s="8">
        <v>18901.87</v>
      </c>
      <c r="K1241" s="8">
        <v>105.1</v>
      </c>
      <c r="L1241" s="8">
        <v>20</v>
      </c>
      <c r="M1241" s="8">
        <v>635664249884</v>
      </c>
      <c r="N1241" s="8">
        <v>15.08</v>
      </c>
      <c r="O1241" s="8" t="str">
        <f>vw_scenario_analysis_dataset[[#This Row],[reporter_name]] &amp; "-" &amp; vw_scenario_analysis_dataset[[#This Row],[reference_year]]</f>
        <v>Poland-2022</v>
      </c>
    </row>
    <row r="1242" spans="1:15" x14ac:dyDescent="0.3">
      <c r="A1242" s="8" t="s">
        <v>290</v>
      </c>
      <c r="B1242" s="8" t="s">
        <v>291</v>
      </c>
      <c r="C1242" s="8">
        <v>2023</v>
      </c>
      <c r="D1242" s="8">
        <v>763865680454</v>
      </c>
      <c r="E1242" s="8">
        <v>812000000000</v>
      </c>
      <c r="F1242" s="8">
        <v>36687353</v>
      </c>
      <c r="G1242" s="8">
        <v>0.249610834</v>
      </c>
      <c r="H1242" s="8">
        <v>110.024935</v>
      </c>
      <c r="I1242" s="8">
        <v>20820.95</v>
      </c>
      <c r="J1242" s="8">
        <v>22132.97</v>
      </c>
      <c r="K1242" s="8">
        <v>94.07</v>
      </c>
      <c r="L1242" s="8">
        <v>17</v>
      </c>
      <c r="M1242" s="8">
        <v>731501387036</v>
      </c>
      <c r="N1242" s="8">
        <v>4.42</v>
      </c>
      <c r="O1242" s="8" t="str">
        <f>vw_scenario_analysis_dataset[[#This Row],[reporter_name]] &amp; "-" &amp; vw_scenario_analysis_dataset[[#This Row],[reference_year]]</f>
        <v>Poland-2023</v>
      </c>
    </row>
    <row r="1243" spans="1:15" x14ac:dyDescent="0.3">
      <c r="A1243" s="8" t="s">
        <v>290</v>
      </c>
      <c r="B1243" s="8" t="s">
        <v>291</v>
      </c>
      <c r="C1243" s="8">
        <v>2024</v>
      </c>
      <c r="D1243" s="8">
        <v>760666374322</v>
      </c>
      <c r="E1243" s="8">
        <v>918000000000</v>
      </c>
      <c r="F1243" s="8">
        <v>36559233</v>
      </c>
      <c r="G1243" s="8">
        <v>3.0284163070000001</v>
      </c>
      <c r="H1243" s="8">
        <v>100.3594428</v>
      </c>
      <c r="I1243" s="8">
        <v>20806.41</v>
      </c>
      <c r="J1243" s="8">
        <v>25109.94</v>
      </c>
      <c r="K1243" s="8">
        <v>82.86</v>
      </c>
      <c r="L1243" s="8">
        <v>15</v>
      </c>
      <c r="M1243" s="8">
        <v>763865680454</v>
      </c>
      <c r="N1243" s="8">
        <v>-0.42</v>
      </c>
      <c r="O1243" s="8" t="str">
        <f>vw_scenario_analysis_dataset[[#This Row],[reporter_name]] &amp; "-" &amp; vw_scenario_analysis_dataset[[#This Row],[reference_year]]</f>
        <v>Poland-2024</v>
      </c>
    </row>
    <row r="1244" spans="1:15" x14ac:dyDescent="0.3">
      <c r="A1244" s="8" t="s">
        <v>292</v>
      </c>
      <c r="B1244" s="8" t="s">
        <v>293</v>
      </c>
      <c r="C1244" s="8">
        <v>2015</v>
      </c>
      <c r="D1244" s="8">
        <v>110090051435.60794</v>
      </c>
      <c r="E1244" s="8">
        <v>199000000000</v>
      </c>
      <c r="F1244" s="8">
        <v>10358076</v>
      </c>
      <c r="G1244" s="8">
        <v>1.589798037</v>
      </c>
      <c r="H1244" s="8">
        <v>80.634675630000004</v>
      </c>
      <c r="I1244" s="8">
        <v>10628.43</v>
      </c>
      <c r="J1244" s="8">
        <v>19212.060000000001</v>
      </c>
      <c r="K1244" s="8">
        <v>55.32</v>
      </c>
      <c r="L1244" s="8">
        <v>43</v>
      </c>
      <c r="M1244" s="8"/>
      <c r="N1244" s="8"/>
      <c r="O1244" s="8" t="str">
        <f>vw_scenario_analysis_dataset[[#This Row],[reporter_name]] &amp; "-" &amp; vw_scenario_analysis_dataset[[#This Row],[reference_year]]</f>
        <v>Portugal-2015</v>
      </c>
    </row>
    <row r="1245" spans="1:15" x14ac:dyDescent="0.3">
      <c r="A1245" s="8" t="s">
        <v>292</v>
      </c>
      <c r="B1245" s="8" t="s">
        <v>293</v>
      </c>
      <c r="C1245" s="8">
        <v>2016</v>
      </c>
      <c r="D1245" s="8">
        <v>110743098499.15297</v>
      </c>
      <c r="E1245" s="8">
        <v>206000000000</v>
      </c>
      <c r="F1245" s="8">
        <v>10325452</v>
      </c>
      <c r="G1245" s="8">
        <v>2.0041412969999999</v>
      </c>
      <c r="H1245" s="8">
        <v>79.522346479999996</v>
      </c>
      <c r="I1245" s="8">
        <v>10725.25</v>
      </c>
      <c r="J1245" s="8">
        <v>19950.7</v>
      </c>
      <c r="K1245" s="8">
        <v>53.76</v>
      </c>
      <c r="L1245" s="8">
        <v>43</v>
      </c>
      <c r="M1245" s="8">
        <v>110090051435.60794</v>
      </c>
      <c r="N1245" s="8">
        <v>0.59</v>
      </c>
      <c r="O1245" s="8" t="str">
        <f>vw_scenario_analysis_dataset[[#This Row],[reporter_name]] &amp; "-" &amp; vw_scenario_analysis_dataset[[#This Row],[reference_year]]</f>
        <v>Portugal-2016</v>
      </c>
    </row>
    <row r="1246" spans="1:15" x14ac:dyDescent="0.3">
      <c r="A1246" s="8" t="s">
        <v>292</v>
      </c>
      <c r="B1246" s="8" t="s">
        <v>293</v>
      </c>
      <c r="C1246" s="8">
        <v>2017</v>
      </c>
      <c r="D1246" s="8">
        <v>124233681032.54901</v>
      </c>
      <c r="E1246" s="8">
        <v>221000000000</v>
      </c>
      <c r="F1246" s="8">
        <v>10300300</v>
      </c>
      <c r="G1246" s="8">
        <v>3.314720082</v>
      </c>
      <c r="H1246" s="8">
        <v>84.807792309999996</v>
      </c>
      <c r="I1246" s="8">
        <v>12061.17</v>
      </c>
      <c r="J1246" s="8">
        <v>21455.69</v>
      </c>
      <c r="K1246" s="8">
        <v>56.21</v>
      </c>
      <c r="L1246" s="8">
        <v>41</v>
      </c>
      <c r="M1246" s="8">
        <v>110743098499.15297</v>
      </c>
      <c r="N1246" s="8">
        <v>12.18</v>
      </c>
      <c r="O1246" s="8" t="str">
        <f>vw_scenario_analysis_dataset[[#This Row],[reporter_name]] &amp; "-" &amp; vw_scenario_analysis_dataset[[#This Row],[reference_year]]</f>
        <v>Portugal-2017</v>
      </c>
    </row>
    <row r="1247" spans="1:15" x14ac:dyDescent="0.3">
      <c r="A1247" s="8" t="s">
        <v>292</v>
      </c>
      <c r="B1247" s="8" t="s">
        <v>293</v>
      </c>
      <c r="C1247" s="8">
        <v>2018</v>
      </c>
      <c r="D1247" s="8">
        <v>148271811615.73209</v>
      </c>
      <c r="E1247" s="8">
        <v>242000000000</v>
      </c>
      <c r="F1247" s="8">
        <v>10283822</v>
      </c>
      <c r="G1247" s="8">
        <v>2.9462834340000001</v>
      </c>
      <c r="H1247" s="8">
        <v>86.735695489999998</v>
      </c>
      <c r="I1247" s="8">
        <v>14417.97</v>
      </c>
      <c r="J1247" s="8">
        <v>23532.11</v>
      </c>
      <c r="K1247" s="8">
        <v>61.27</v>
      </c>
      <c r="L1247" s="8">
        <v>40</v>
      </c>
      <c r="M1247" s="8">
        <v>124233681032.54901</v>
      </c>
      <c r="N1247" s="8">
        <v>19.350000000000001</v>
      </c>
      <c r="O1247" s="8" t="str">
        <f>vw_scenario_analysis_dataset[[#This Row],[reporter_name]] &amp; "-" &amp; vw_scenario_analysis_dataset[[#This Row],[reference_year]]</f>
        <v>Portugal-2018</v>
      </c>
    </row>
    <row r="1248" spans="1:15" x14ac:dyDescent="0.3">
      <c r="A1248" s="8" t="s">
        <v>292</v>
      </c>
      <c r="B1248" s="8" t="s">
        <v>293</v>
      </c>
      <c r="C1248" s="8">
        <v>2019</v>
      </c>
      <c r="D1248" s="8">
        <v>134128148349.88603</v>
      </c>
      <c r="E1248" s="8">
        <v>240000000000</v>
      </c>
      <c r="F1248" s="8">
        <v>10286263</v>
      </c>
      <c r="G1248" s="8">
        <v>2.7456843260000001</v>
      </c>
      <c r="H1248" s="8">
        <v>86.77098891</v>
      </c>
      <c r="I1248" s="8">
        <v>13039.54</v>
      </c>
      <c r="J1248" s="8">
        <v>23332.09</v>
      </c>
      <c r="K1248" s="8">
        <v>55.89</v>
      </c>
      <c r="L1248" s="8">
        <v>40</v>
      </c>
      <c r="M1248" s="8">
        <v>148271811615.73209</v>
      </c>
      <c r="N1248" s="8">
        <v>-9.5399999999999991</v>
      </c>
      <c r="O1248" s="8" t="str">
        <f>vw_scenario_analysis_dataset[[#This Row],[reporter_name]] &amp; "-" &amp; vw_scenario_analysis_dataset[[#This Row],[reference_year]]</f>
        <v>Portugal-2019</v>
      </c>
    </row>
    <row r="1249" spans="1:15" x14ac:dyDescent="0.3">
      <c r="A1249" s="8" t="s">
        <v>292</v>
      </c>
      <c r="B1249" s="8" t="s">
        <v>293</v>
      </c>
      <c r="C1249" s="8">
        <v>2020</v>
      </c>
      <c r="D1249" s="8">
        <v>122800524321.33701</v>
      </c>
      <c r="E1249" s="8">
        <v>230000000000</v>
      </c>
      <c r="F1249" s="8">
        <v>10297081</v>
      </c>
      <c r="G1249" s="8">
        <v>-8.2046315930000002</v>
      </c>
      <c r="H1249" s="8">
        <v>76.508640720000002</v>
      </c>
      <c r="I1249" s="8">
        <v>11925.76</v>
      </c>
      <c r="J1249" s="8">
        <v>22336.43</v>
      </c>
      <c r="K1249" s="8">
        <v>53.39</v>
      </c>
      <c r="L1249" s="8">
        <v>39</v>
      </c>
      <c r="M1249" s="8">
        <v>134128148349.88603</v>
      </c>
      <c r="N1249" s="8">
        <v>-8.4499999999999993</v>
      </c>
      <c r="O1249" s="8" t="str">
        <f>vw_scenario_analysis_dataset[[#This Row],[reporter_name]] &amp; "-" &amp; vw_scenario_analysis_dataset[[#This Row],[reference_year]]</f>
        <v>Portugal-2020</v>
      </c>
    </row>
    <row r="1250" spans="1:15" x14ac:dyDescent="0.3">
      <c r="A1250" s="8" t="s">
        <v>292</v>
      </c>
      <c r="B1250" s="8" t="s">
        <v>293</v>
      </c>
      <c r="C1250" s="8">
        <v>2021</v>
      </c>
      <c r="D1250" s="8">
        <v>150485533788.13086</v>
      </c>
      <c r="E1250" s="8">
        <v>256000000000</v>
      </c>
      <c r="F1250" s="8">
        <v>10361831</v>
      </c>
      <c r="G1250" s="8">
        <v>5.558756721</v>
      </c>
      <c r="H1250" s="8">
        <v>85.873545210000003</v>
      </c>
      <c r="I1250" s="8">
        <v>14523.06</v>
      </c>
      <c r="J1250" s="8">
        <v>24706.06</v>
      </c>
      <c r="K1250" s="8">
        <v>58.78</v>
      </c>
      <c r="L1250" s="8">
        <v>40</v>
      </c>
      <c r="M1250" s="8">
        <v>122800524321.33701</v>
      </c>
      <c r="N1250" s="8">
        <v>22.54</v>
      </c>
      <c r="O1250" s="8" t="str">
        <f>vw_scenario_analysis_dataset[[#This Row],[reporter_name]] &amp; "-" &amp; vw_scenario_analysis_dataset[[#This Row],[reference_year]]</f>
        <v>Portugal-2021</v>
      </c>
    </row>
    <row r="1251" spans="1:15" x14ac:dyDescent="0.3">
      <c r="A1251" s="8" t="s">
        <v>292</v>
      </c>
      <c r="B1251" s="8" t="s">
        <v>293</v>
      </c>
      <c r="C1251" s="8">
        <v>2022</v>
      </c>
      <c r="D1251" s="8">
        <v>166033562348.99399</v>
      </c>
      <c r="E1251" s="8">
        <v>257000000000</v>
      </c>
      <c r="F1251" s="8">
        <v>10434332</v>
      </c>
      <c r="G1251" s="8">
        <v>6.9858413759999998</v>
      </c>
      <c r="H1251" s="8">
        <v>101.3641465</v>
      </c>
      <c r="I1251" s="8">
        <v>15912.24</v>
      </c>
      <c r="J1251" s="8">
        <v>24630.23</v>
      </c>
      <c r="K1251" s="8">
        <v>64.599999999999994</v>
      </c>
      <c r="L1251" s="8">
        <v>40</v>
      </c>
      <c r="M1251" s="8">
        <v>150485533788.13086</v>
      </c>
      <c r="N1251" s="8">
        <v>10.33</v>
      </c>
      <c r="O1251" s="8" t="str">
        <f>vw_scenario_analysis_dataset[[#This Row],[reporter_name]] &amp; "-" &amp; vw_scenario_analysis_dataset[[#This Row],[reference_year]]</f>
        <v>Portugal-2022</v>
      </c>
    </row>
    <row r="1252" spans="1:15" x14ac:dyDescent="0.3">
      <c r="A1252" s="8" t="s">
        <v>292</v>
      </c>
      <c r="B1252" s="8" t="s">
        <v>293</v>
      </c>
      <c r="C1252" s="8">
        <v>2023</v>
      </c>
      <c r="D1252" s="8">
        <v>167249764715.82495</v>
      </c>
      <c r="E1252" s="8">
        <v>292000000000</v>
      </c>
      <c r="F1252" s="8">
        <v>10578174</v>
      </c>
      <c r="G1252" s="8">
        <v>3.0999874589999998</v>
      </c>
      <c r="H1252" s="8">
        <v>93.135853710000006</v>
      </c>
      <c r="I1252" s="8">
        <v>15810.84</v>
      </c>
      <c r="J1252" s="8">
        <v>27604.01</v>
      </c>
      <c r="K1252" s="8">
        <v>57.28</v>
      </c>
      <c r="L1252" s="8">
        <v>38</v>
      </c>
      <c r="M1252" s="8">
        <v>166033562348.99399</v>
      </c>
      <c r="N1252" s="8">
        <v>0.73</v>
      </c>
      <c r="O1252" s="8" t="str">
        <f>vw_scenario_analysis_dataset[[#This Row],[reporter_name]] &amp; "-" &amp; vw_scenario_analysis_dataset[[#This Row],[reference_year]]</f>
        <v>Portugal-2023</v>
      </c>
    </row>
    <row r="1253" spans="1:15" x14ac:dyDescent="0.3">
      <c r="A1253" s="8" t="s">
        <v>292</v>
      </c>
      <c r="B1253" s="8" t="s">
        <v>293</v>
      </c>
      <c r="C1253" s="8">
        <v>2024</v>
      </c>
      <c r="D1253" s="8">
        <v>165341104494.81</v>
      </c>
      <c r="E1253" s="8">
        <v>314000000000</v>
      </c>
      <c r="F1253" s="8">
        <v>10694681</v>
      </c>
      <c r="G1253" s="8">
        <v>2.2145923230000002</v>
      </c>
      <c r="H1253" s="8">
        <v>89.661563709999996</v>
      </c>
      <c r="I1253" s="8">
        <v>15460.12</v>
      </c>
      <c r="J1253" s="8">
        <v>29360.39</v>
      </c>
      <c r="K1253" s="8">
        <v>52.66</v>
      </c>
      <c r="L1253" s="8">
        <v>35</v>
      </c>
      <c r="M1253" s="8">
        <v>167249764715.82495</v>
      </c>
      <c r="N1253" s="8">
        <v>-1.1399999999999999</v>
      </c>
      <c r="O1253" s="8" t="str">
        <f>vw_scenario_analysis_dataset[[#This Row],[reporter_name]] &amp; "-" &amp; vw_scenario_analysis_dataset[[#This Row],[reference_year]]</f>
        <v>Portugal-2024</v>
      </c>
    </row>
    <row r="1254" spans="1:15" x14ac:dyDescent="0.3">
      <c r="A1254" s="8" t="s">
        <v>294</v>
      </c>
      <c r="B1254" s="8" t="s">
        <v>295</v>
      </c>
      <c r="C1254" s="8">
        <v>2015</v>
      </c>
      <c r="D1254" s="8">
        <v>16655092582</v>
      </c>
      <c r="E1254" s="8">
        <v>36211447840</v>
      </c>
      <c r="F1254" s="8">
        <v>6159103</v>
      </c>
      <c r="G1254" s="8">
        <v>2.9571516839999998</v>
      </c>
      <c r="H1254" s="8">
        <v>66.915065530000007</v>
      </c>
      <c r="I1254" s="8">
        <v>2704.14</v>
      </c>
      <c r="J1254" s="8">
        <v>5879.34</v>
      </c>
      <c r="K1254" s="8">
        <v>45.99</v>
      </c>
      <c r="L1254" s="8">
        <v>86</v>
      </c>
      <c r="M1254" s="8"/>
      <c r="N1254" s="8"/>
      <c r="O1254" s="8" t="str">
        <f>vw_scenario_analysis_dataset[[#This Row],[reporter_name]] &amp; "-" &amp; vw_scenario_analysis_dataset[[#This Row],[reference_year]]</f>
        <v>Paraguay-2015</v>
      </c>
    </row>
    <row r="1255" spans="1:15" x14ac:dyDescent="0.3">
      <c r="A1255" s="8" t="s">
        <v>294</v>
      </c>
      <c r="B1255" s="8" t="s">
        <v>295</v>
      </c>
      <c r="C1255" s="8">
        <v>2016</v>
      </c>
      <c r="D1255" s="8">
        <v>17002315172.100002</v>
      </c>
      <c r="E1255" s="8">
        <v>36089700223</v>
      </c>
      <c r="F1255" s="8">
        <v>6249126</v>
      </c>
      <c r="G1255" s="8">
        <v>4.2680258330000003</v>
      </c>
      <c r="H1255" s="8">
        <v>67.759315229999999</v>
      </c>
      <c r="I1255" s="8">
        <v>2720.75</v>
      </c>
      <c r="J1255" s="8">
        <v>5775.16</v>
      </c>
      <c r="K1255" s="8">
        <v>47.11</v>
      </c>
      <c r="L1255" s="8">
        <v>83</v>
      </c>
      <c r="M1255" s="8">
        <v>16655092582</v>
      </c>
      <c r="N1255" s="8">
        <v>2.08</v>
      </c>
      <c r="O1255" s="8" t="str">
        <f>vw_scenario_analysis_dataset[[#This Row],[reporter_name]] &amp; "-" &amp; vw_scenario_analysis_dataset[[#This Row],[reference_year]]</f>
        <v>Paraguay-2016</v>
      </c>
    </row>
    <row r="1256" spans="1:15" x14ac:dyDescent="0.3">
      <c r="A1256" s="8" t="s">
        <v>294</v>
      </c>
      <c r="B1256" s="8" t="s">
        <v>295</v>
      </c>
      <c r="C1256" s="8">
        <v>2017</v>
      </c>
      <c r="D1256" s="8">
        <v>17359666090</v>
      </c>
      <c r="E1256" s="8">
        <v>38997129474</v>
      </c>
      <c r="F1256" s="8">
        <v>6338660</v>
      </c>
      <c r="G1256" s="8">
        <v>4.8100788559999996</v>
      </c>
      <c r="H1256" s="8">
        <v>71.080134400000006</v>
      </c>
      <c r="I1256" s="8">
        <v>2738.7</v>
      </c>
      <c r="J1256" s="8">
        <v>6152.27</v>
      </c>
      <c r="K1256" s="8">
        <v>44.52</v>
      </c>
      <c r="L1256" s="8">
        <v>84</v>
      </c>
      <c r="M1256" s="8">
        <v>17002315172.100002</v>
      </c>
      <c r="N1256" s="8">
        <v>2.1</v>
      </c>
      <c r="O1256" s="8" t="str">
        <f>vw_scenario_analysis_dataset[[#This Row],[reporter_name]] &amp; "-" &amp; vw_scenario_analysis_dataset[[#This Row],[reference_year]]</f>
        <v>Paraguay-2017</v>
      </c>
    </row>
    <row r="1257" spans="1:15" x14ac:dyDescent="0.3">
      <c r="A1257" s="8" t="s">
        <v>294</v>
      </c>
      <c r="B1257" s="8" t="s">
        <v>295</v>
      </c>
      <c r="C1257" s="8">
        <v>2018</v>
      </c>
      <c r="D1257" s="8">
        <v>18084281360</v>
      </c>
      <c r="E1257" s="8">
        <v>40225448341</v>
      </c>
      <c r="F1257" s="8">
        <v>6427382</v>
      </c>
      <c r="G1257" s="8">
        <v>3.2042503409999998</v>
      </c>
      <c r="H1257" s="8">
        <v>72.069223629999996</v>
      </c>
      <c r="I1257" s="8">
        <v>2813.63</v>
      </c>
      <c r="J1257" s="8">
        <v>6258.45</v>
      </c>
      <c r="K1257" s="8">
        <v>44.96</v>
      </c>
      <c r="L1257" s="8">
        <v>84</v>
      </c>
      <c r="M1257" s="8">
        <v>17359666090</v>
      </c>
      <c r="N1257" s="8">
        <v>4.17</v>
      </c>
      <c r="O1257" s="8" t="str">
        <f>vw_scenario_analysis_dataset[[#This Row],[reporter_name]] &amp; "-" &amp; vw_scenario_analysis_dataset[[#This Row],[reference_year]]</f>
        <v>Paraguay-2018</v>
      </c>
    </row>
    <row r="1258" spans="1:15" x14ac:dyDescent="0.3">
      <c r="A1258" s="8" t="s">
        <v>294</v>
      </c>
      <c r="B1258" s="8" t="s">
        <v>295</v>
      </c>
      <c r="C1258" s="8">
        <v>2019</v>
      </c>
      <c r="D1258" s="8">
        <v>15935610060</v>
      </c>
      <c r="E1258" s="8">
        <v>37925338329</v>
      </c>
      <c r="F1258" s="8">
        <v>6515058</v>
      </c>
      <c r="G1258" s="8">
        <v>-0.40185510099999999</v>
      </c>
      <c r="H1258" s="8">
        <v>71.222161729999996</v>
      </c>
      <c r="I1258" s="8">
        <v>2445.9699999999998</v>
      </c>
      <c r="J1258" s="8">
        <v>5821.18</v>
      </c>
      <c r="K1258" s="8">
        <v>42.02</v>
      </c>
      <c r="L1258" s="8">
        <v>84</v>
      </c>
      <c r="M1258" s="8">
        <v>18084281360</v>
      </c>
      <c r="N1258" s="8">
        <v>-11.88</v>
      </c>
      <c r="O1258" s="8" t="str">
        <f>vw_scenario_analysis_dataset[[#This Row],[reporter_name]] &amp; "-" &amp; vw_scenario_analysis_dataset[[#This Row],[reference_year]]</f>
        <v>Paraguay-2019</v>
      </c>
    </row>
    <row r="1259" spans="1:15" x14ac:dyDescent="0.3">
      <c r="A1259" s="8" t="s">
        <v>294</v>
      </c>
      <c r="B1259" s="8" t="s">
        <v>295</v>
      </c>
      <c r="C1259" s="8">
        <v>2020</v>
      </c>
      <c r="D1259" s="8">
        <v>17035782768</v>
      </c>
      <c r="E1259" s="8">
        <v>35432178068</v>
      </c>
      <c r="F1259" s="8">
        <v>6603739</v>
      </c>
      <c r="G1259" s="8">
        <v>-0.81978539100000003</v>
      </c>
      <c r="H1259" s="8">
        <v>62.760217470000001</v>
      </c>
      <c r="I1259" s="8">
        <v>2579.7199999999998</v>
      </c>
      <c r="J1259" s="8">
        <v>5365.47</v>
      </c>
      <c r="K1259" s="8">
        <v>48.08</v>
      </c>
      <c r="L1259" s="8">
        <v>80</v>
      </c>
      <c r="M1259" s="8">
        <v>15935610060</v>
      </c>
      <c r="N1259" s="8">
        <v>6.9</v>
      </c>
      <c r="O1259" s="8" t="str">
        <f>vw_scenario_analysis_dataset[[#This Row],[reporter_name]] &amp; "-" &amp; vw_scenario_analysis_dataset[[#This Row],[reference_year]]</f>
        <v>Paraguay-2020</v>
      </c>
    </row>
    <row r="1260" spans="1:15" x14ac:dyDescent="0.3">
      <c r="A1260" s="8" t="s">
        <v>294</v>
      </c>
      <c r="B1260" s="8" t="s">
        <v>295</v>
      </c>
      <c r="C1260" s="8">
        <v>2021</v>
      </c>
      <c r="D1260" s="8">
        <v>21141939736</v>
      </c>
      <c r="E1260" s="8">
        <v>39937357256</v>
      </c>
      <c r="F1260" s="8">
        <v>6684182</v>
      </c>
      <c r="G1260" s="8">
        <v>3.994615107</v>
      </c>
      <c r="H1260" s="8">
        <v>69.732012679999997</v>
      </c>
      <c r="I1260" s="8">
        <v>3162.98</v>
      </c>
      <c r="J1260" s="8">
        <v>5974.91</v>
      </c>
      <c r="K1260" s="8">
        <v>52.94</v>
      </c>
      <c r="L1260" s="8">
        <v>82</v>
      </c>
      <c r="M1260" s="8">
        <v>17035782768</v>
      </c>
      <c r="N1260" s="8">
        <v>24.1</v>
      </c>
      <c r="O1260" s="8" t="str">
        <f>vw_scenario_analysis_dataset[[#This Row],[reporter_name]] &amp; "-" &amp; vw_scenario_analysis_dataset[[#This Row],[reference_year]]</f>
        <v>Paraguay-2021</v>
      </c>
    </row>
    <row r="1261" spans="1:15" x14ac:dyDescent="0.3">
      <c r="A1261" s="8" t="s">
        <v>294</v>
      </c>
      <c r="B1261" s="8" t="s">
        <v>295</v>
      </c>
      <c r="C1261" s="8">
        <v>2022</v>
      </c>
      <c r="D1261" s="8">
        <v>19896572728.007999</v>
      </c>
      <c r="E1261" s="8">
        <v>41841201627</v>
      </c>
      <c r="F1261" s="8">
        <v>6760464</v>
      </c>
      <c r="G1261" s="8">
        <v>-2.8077172000000001E-2</v>
      </c>
      <c r="H1261" s="8">
        <v>73.873631140000001</v>
      </c>
      <c r="I1261" s="8">
        <v>2943.08</v>
      </c>
      <c r="J1261" s="8">
        <v>6189.1</v>
      </c>
      <c r="K1261" s="8">
        <v>47.55</v>
      </c>
      <c r="L1261" s="8">
        <v>86</v>
      </c>
      <c r="M1261" s="8">
        <v>21141939736</v>
      </c>
      <c r="N1261" s="8">
        <v>-5.89</v>
      </c>
      <c r="O1261" s="8" t="str">
        <f>vw_scenario_analysis_dataset[[#This Row],[reporter_name]] &amp; "-" &amp; vw_scenario_analysis_dataset[[#This Row],[reference_year]]</f>
        <v>Paraguay-2022</v>
      </c>
    </row>
    <row r="1262" spans="1:15" x14ac:dyDescent="0.3">
      <c r="A1262" s="8" t="s">
        <v>294</v>
      </c>
      <c r="B1262" s="8" t="s">
        <v>295</v>
      </c>
      <c r="C1262" s="8">
        <v>2023</v>
      </c>
      <c r="D1262" s="8">
        <v>23738132327.720005</v>
      </c>
      <c r="E1262" s="8">
        <v>43140465596</v>
      </c>
      <c r="F1262" s="8">
        <v>6844146</v>
      </c>
      <c r="G1262" s="8">
        <v>5.2858458500000003</v>
      </c>
      <c r="H1262" s="8">
        <v>82.577725229999999</v>
      </c>
      <c r="I1262" s="8">
        <v>3468.38</v>
      </c>
      <c r="J1262" s="8">
        <v>6303.26</v>
      </c>
      <c r="K1262" s="8">
        <v>55.03</v>
      </c>
      <c r="L1262" s="8">
        <v>79</v>
      </c>
      <c r="M1262" s="8">
        <v>19896572728.007999</v>
      </c>
      <c r="N1262" s="8">
        <v>19.309999999999999</v>
      </c>
      <c r="O1262" s="8" t="str">
        <f>vw_scenario_analysis_dataset[[#This Row],[reporter_name]] &amp; "-" &amp; vw_scenario_analysis_dataset[[#This Row],[reference_year]]</f>
        <v>Paraguay-2023</v>
      </c>
    </row>
    <row r="1263" spans="1:15" x14ac:dyDescent="0.3">
      <c r="A1263" s="8" t="s">
        <v>294</v>
      </c>
      <c r="B1263" s="8" t="s">
        <v>295</v>
      </c>
      <c r="C1263" s="8">
        <v>2024</v>
      </c>
      <c r="D1263" s="8">
        <v>21828803450.97002</v>
      </c>
      <c r="E1263" s="8">
        <v>44738819362</v>
      </c>
      <c r="F1263" s="8">
        <v>6929153</v>
      </c>
      <c r="G1263" s="8">
        <v>4.66914578</v>
      </c>
      <c r="H1263" s="8">
        <v>77.094438449999998</v>
      </c>
      <c r="I1263" s="8">
        <v>3150.28</v>
      </c>
      <c r="J1263" s="8">
        <v>6456.61</v>
      </c>
      <c r="K1263" s="8">
        <v>48.79</v>
      </c>
      <c r="L1263" s="8">
        <v>78</v>
      </c>
      <c r="M1263" s="8">
        <v>23738132327.720005</v>
      </c>
      <c r="N1263" s="8">
        <v>-8.0399999999999991</v>
      </c>
      <c r="O1263" s="8" t="str">
        <f>vw_scenario_analysis_dataset[[#This Row],[reporter_name]] &amp; "-" &amp; vw_scenario_analysis_dataset[[#This Row],[reference_year]]</f>
        <v>Paraguay-2024</v>
      </c>
    </row>
    <row r="1264" spans="1:15" x14ac:dyDescent="0.3">
      <c r="A1264" s="8" t="s">
        <v>296</v>
      </c>
      <c r="B1264" s="8" t="s">
        <v>297</v>
      </c>
      <c r="C1264" s="8">
        <v>2015</v>
      </c>
      <c r="D1264" s="8">
        <v>1915621739</v>
      </c>
      <c r="E1264" s="8">
        <v>13972400000</v>
      </c>
      <c r="F1264" s="8">
        <v>4270092</v>
      </c>
      <c r="G1264" s="8">
        <v>3.7212996710000001</v>
      </c>
      <c r="H1264" s="8">
        <v>70.780968189999996</v>
      </c>
      <c r="I1264" s="8">
        <v>448.61</v>
      </c>
      <c r="J1264" s="8">
        <v>3272.15</v>
      </c>
      <c r="K1264" s="8">
        <v>13.71</v>
      </c>
      <c r="L1264" s="8">
        <v>131</v>
      </c>
      <c r="M1264" s="8"/>
      <c r="N1264" s="8"/>
      <c r="O1264" s="8" t="str">
        <f>vw_scenario_analysis_dataset[[#This Row],[reporter_name]] &amp; "-" &amp; vw_scenario_analysis_dataset[[#This Row],[reference_year]]</f>
        <v>State of Palestine-2015</v>
      </c>
    </row>
    <row r="1265" spans="1:15" x14ac:dyDescent="0.3">
      <c r="A1265" s="8" t="s">
        <v>296</v>
      </c>
      <c r="B1265" s="8" t="s">
        <v>297</v>
      </c>
      <c r="C1265" s="8">
        <v>2016</v>
      </c>
      <c r="D1265" s="8">
        <v>1852997955</v>
      </c>
      <c r="E1265" s="8">
        <v>15405400000</v>
      </c>
      <c r="F1265" s="8">
        <v>4367088</v>
      </c>
      <c r="G1265" s="8">
        <v>8.8646188200000005</v>
      </c>
      <c r="H1265" s="8">
        <v>65.422514179999993</v>
      </c>
      <c r="I1265" s="8">
        <v>424.31</v>
      </c>
      <c r="J1265" s="8">
        <v>3527.61</v>
      </c>
      <c r="K1265" s="8">
        <v>12.03</v>
      </c>
      <c r="L1265" s="8">
        <v>132</v>
      </c>
      <c r="M1265" s="8">
        <v>1915621739</v>
      </c>
      <c r="N1265" s="8">
        <v>-3.27</v>
      </c>
      <c r="O1265" s="8" t="str">
        <f>vw_scenario_analysis_dataset[[#This Row],[reporter_name]] &amp; "-" &amp; vw_scenario_analysis_dataset[[#This Row],[reference_year]]</f>
        <v>State of Palestine-2016</v>
      </c>
    </row>
    <row r="1266" spans="1:15" x14ac:dyDescent="0.3">
      <c r="A1266" s="8" t="s">
        <v>296</v>
      </c>
      <c r="B1266" s="8" t="s">
        <v>297</v>
      </c>
      <c r="C1266" s="8">
        <v>2017</v>
      </c>
      <c r="D1266" s="8">
        <v>2129768277.5250001</v>
      </c>
      <c r="E1266" s="8">
        <v>16128000000</v>
      </c>
      <c r="F1266" s="8">
        <v>4454805</v>
      </c>
      <c r="G1266" s="8">
        <v>1.419367563</v>
      </c>
      <c r="H1266" s="8">
        <v>68.448660709999999</v>
      </c>
      <c r="I1266" s="8">
        <v>478.08</v>
      </c>
      <c r="J1266" s="8">
        <v>3620.36</v>
      </c>
      <c r="K1266" s="8">
        <v>13.21</v>
      </c>
      <c r="L1266" s="8">
        <v>130</v>
      </c>
      <c r="M1266" s="8">
        <v>1852997955</v>
      </c>
      <c r="N1266" s="8">
        <v>14.94</v>
      </c>
      <c r="O1266" s="8" t="str">
        <f>vw_scenario_analysis_dataset[[#This Row],[reporter_name]] &amp; "-" &amp; vw_scenario_analysis_dataset[[#This Row],[reference_year]]</f>
        <v>State of Palestine-2017</v>
      </c>
    </row>
    <row r="1267" spans="1:15" x14ac:dyDescent="0.3">
      <c r="A1267" s="8" t="s">
        <v>296</v>
      </c>
      <c r="B1267" s="8" t="s">
        <v>297</v>
      </c>
      <c r="C1267" s="8">
        <v>2018</v>
      </c>
      <c r="D1267" s="8">
        <v>2311268099.3929996</v>
      </c>
      <c r="E1267" s="8">
        <v>16276600000</v>
      </c>
      <c r="F1267" s="8">
        <v>4569087</v>
      </c>
      <c r="G1267" s="8">
        <v>1.2270773779999999</v>
      </c>
      <c r="H1267" s="8">
        <v>71.40127545</v>
      </c>
      <c r="I1267" s="8">
        <v>505.85</v>
      </c>
      <c r="J1267" s="8">
        <v>3562.33</v>
      </c>
      <c r="K1267" s="8">
        <v>14.2</v>
      </c>
      <c r="L1267" s="8">
        <v>128</v>
      </c>
      <c r="M1267" s="8">
        <v>2129768277.5250001</v>
      </c>
      <c r="N1267" s="8">
        <v>8.52</v>
      </c>
      <c r="O1267" s="8" t="str">
        <f>vw_scenario_analysis_dataset[[#This Row],[reporter_name]] &amp; "-" &amp; vw_scenario_analysis_dataset[[#This Row],[reference_year]]</f>
        <v>State of Palestine-2018</v>
      </c>
    </row>
    <row r="1268" spans="1:15" x14ac:dyDescent="0.3">
      <c r="A1268" s="8" t="s">
        <v>296</v>
      </c>
      <c r="B1268" s="8" t="s">
        <v>297</v>
      </c>
      <c r="C1268" s="8">
        <v>2019</v>
      </c>
      <c r="D1268" s="8">
        <v>2207616663.8799996</v>
      </c>
      <c r="E1268" s="8">
        <v>17133500000</v>
      </c>
      <c r="F1268" s="8">
        <v>4685306</v>
      </c>
      <c r="G1268" s="8">
        <v>1.3626874659999999</v>
      </c>
      <c r="H1268" s="8">
        <v>68.993492279999998</v>
      </c>
      <c r="I1268" s="8">
        <v>471.18</v>
      </c>
      <c r="J1268" s="8">
        <v>3656.86</v>
      </c>
      <c r="K1268" s="8">
        <v>12.88</v>
      </c>
      <c r="L1268" s="8">
        <v>128</v>
      </c>
      <c r="M1268" s="8">
        <v>2311268099.3929996</v>
      </c>
      <c r="N1268" s="8">
        <v>-4.4800000000000004</v>
      </c>
      <c r="O1268" s="8" t="str">
        <f>vw_scenario_analysis_dataset[[#This Row],[reporter_name]] &amp; "-" &amp; vw_scenario_analysis_dataset[[#This Row],[reference_year]]</f>
        <v>State of Palestine-2019</v>
      </c>
    </row>
    <row r="1269" spans="1:15" x14ac:dyDescent="0.3">
      <c r="A1269" s="8" t="s">
        <v>296</v>
      </c>
      <c r="B1269" s="8" t="s">
        <v>297</v>
      </c>
      <c r="C1269" s="8">
        <v>2020</v>
      </c>
      <c r="D1269" s="8">
        <v>2109241688.3200009</v>
      </c>
      <c r="E1269" s="8">
        <v>15531700000</v>
      </c>
      <c r="F1269" s="8">
        <v>4803269</v>
      </c>
      <c r="G1269" s="8">
        <v>-11.318466109999999</v>
      </c>
      <c r="H1269" s="8">
        <v>67.288191249999997</v>
      </c>
      <c r="I1269" s="8">
        <v>439.13</v>
      </c>
      <c r="J1269" s="8">
        <v>3233.57</v>
      </c>
      <c r="K1269" s="8">
        <v>13.58</v>
      </c>
      <c r="L1269" s="8">
        <v>126</v>
      </c>
      <c r="M1269" s="8">
        <v>2207616663.8799996</v>
      </c>
      <c r="N1269" s="8">
        <v>-4.46</v>
      </c>
      <c r="O1269" s="8" t="str">
        <f>vw_scenario_analysis_dataset[[#This Row],[reporter_name]] &amp; "-" &amp; vw_scenario_analysis_dataset[[#This Row],[reference_year]]</f>
        <v>State of Palestine-2020</v>
      </c>
    </row>
    <row r="1270" spans="1:15" x14ac:dyDescent="0.3">
      <c r="A1270" s="8" t="s">
        <v>296</v>
      </c>
      <c r="B1270" s="8" t="s">
        <v>297</v>
      </c>
      <c r="C1270" s="8">
        <v>2021</v>
      </c>
      <c r="D1270" s="8">
        <v>2715280058.3400002</v>
      </c>
      <c r="E1270" s="8">
        <v>18109000000</v>
      </c>
      <c r="F1270" s="8">
        <v>4922749</v>
      </c>
      <c r="G1270" s="8">
        <v>7.0119822760000003</v>
      </c>
      <c r="H1270" s="8">
        <v>73.083549619999999</v>
      </c>
      <c r="I1270" s="8">
        <v>551.58000000000004</v>
      </c>
      <c r="J1270" s="8">
        <v>3678.64</v>
      </c>
      <c r="K1270" s="8">
        <v>14.99</v>
      </c>
      <c r="L1270" s="8">
        <v>131</v>
      </c>
      <c r="M1270" s="8">
        <v>2109241688.3200009</v>
      </c>
      <c r="N1270" s="8">
        <v>28.73</v>
      </c>
      <c r="O1270" s="8" t="str">
        <f>vw_scenario_analysis_dataset[[#This Row],[reporter_name]] &amp; "-" &amp; vw_scenario_analysis_dataset[[#This Row],[reference_year]]</f>
        <v>State of Palestine-2021</v>
      </c>
    </row>
    <row r="1271" spans="1:15" x14ac:dyDescent="0.3">
      <c r="A1271" s="8" t="s">
        <v>296</v>
      </c>
      <c r="B1271" s="8" t="s">
        <v>297</v>
      </c>
      <c r="C1271" s="8">
        <v>2022</v>
      </c>
      <c r="D1271" s="8">
        <v>3050317692.9110003</v>
      </c>
      <c r="E1271" s="8">
        <v>19165500000</v>
      </c>
      <c r="F1271" s="8">
        <v>5043612</v>
      </c>
      <c r="G1271" s="8">
        <v>4.0827602729999999</v>
      </c>
      <c r="H1271" s="8">
        <v>82.394928390000004</v>
      </c>
      <c r="I1271" s="8">
        <v>604.79</v>
      </c>
      <c r="J1271" s="8">
        <v>3799.96</v>
      </c>
      <c r="K1271" s="8">
        <v>15.92</v>
      </c>
      <c r="L1271" s="8">
        <v>126</v>
      </c>
      <c r="M1271" s="8">
        <v>2715280058.3400002</v>
      </c>
      <c r="N1271" s="8">
        <v>12.34</v>
      </c>
      <c r="O1271" s="8" t="str">
        <f>vw_scenario_analysis_dataset[[#This Row],[reporter_name]] &amp; "-" &amp; vw_scenario_analysis_dataset[[#This Row],[reference_year]]</f>
        <v>State of Palestine-2022</v>
      </c>
    </row>
    <row r="1272" spans="1:15" x14ac:dyDescent="0.3">
      <c r="A1272" s="8" t="s">
        <v>296</v>
      </c>
      <c r="B1272" s="8" t="s">
        <v>297</v>
      </c>
      <c r="C1272" s="8">
        <v>2023</v>
      </c>
      <c r="D1272" s="8">
        <v>3042775839.2410002</v>
      </c>
      <c r="E1272" s="8">
        <v>18635100000</v>
      </c>
      <c r="F1272" s="8">
        <v>5165775</v>
      </c>
      <c r="G1272" s="8">
        <v>-0.97217780600000003</v>
      </c>
      <c r="H1272" s="8">
        <v>76.17345761</v>
      </c>
      <c r="I1272" s="8">
        <v>589.03</v>
      </c>
      <c r="J1272" s="8">
        <v>3607.42</v>
      </c>
      <c r="K1272" s="8">
        <v>16.329999999999998</v>
      </c>
      <c r="L1272" s="8">
        <v>123</v>
      </c>
      <c r="M1272" s="8">
        <v>3050317692.9110003</v>
      </c>
      <c r="N1272" s="8">
        <v>-0.25</v>
      </c>
      <c r="O1272" s="8" t="str">
        <f>vw_scenario_analysis_dataset[[#This Row],[reporter_name]] &amp; "-" &amp; vw_scenario_analysis_dataset[[#This Row],[reference_year]]</f>
        <v>State of Palestine-2023</v>
      </c>
    </row>
    <row r="1273" spans="1:15" x14ac:dyDescent="0.3">
      <c r="A1273" s="8" t="s">
        <v>298</v>
      </c>
      <c r="B1273" s="8" t="s">
        <v>299</v>
      </c>
      <c r="C1273" s="8">
        <v>2015</v>
      </c>
      <c r="D1273" s="8">
        <v>154180525440.12512</v>
      </c>
      <c r="E1273" s="8">
        <v>162000000000</v>
      </c>
      <c r="F1273" s="8">
        <v>2344557</v>
      </c>
      <c r="G1273" s="8">
        <v>4.7533457239999999</v>
      </c>
      <c r="H1273" s="8">
        <v>93.707604169999996</v>
      </c>
      <c r="I1273" s="8">
        <v>65761.05</v>
      </c>
      <c r="J1273" s="8">
        <v>69096.210000000006</v>
      </c>
      <c r="K1273" s="8">
        <v>95.17</v>
      </c>
      <c r="L1273" s="8">
        <v>34</v>
      </c>
      <c r="M1273" s="8"/>
      <c r="N1273" s="8"/>
      <c r="O1273" s="8" t="str">
        <f>vw_scenario_analysis_dataset[[#This Row],[reporter_name]] &amp; "-" &amp; vw_scenario_analysis_dataset[[#This Row],[reference_year]]</f>
        <v>Qatar-2015</v>
      </c>
    </row>
    <row r="1274" spans="1:15" x14ac:dyDescent="0.3">
      <c r="A1274" s="8" t="s">
        <v>298</v>
      </c>
      <c r="B1274" s="8" t="s">
        <v>299</v>
      </c>
      <c r="C1274" s="8">
        <v>2016</v>
      </c>
      <c r="D1274" s="8">
        <v>114617269187.46399</v>
      </c>
      <c r="E1274" s="8">
        <v>152000000000</v>
      </c>
      <c r="F1274" s="8">
        <v>2477113</v>
      </c>
      <c r="G1274" s="8">
        <v>3.064191884</v>
      </c>
      <c r="H1274" s="8">
        <v>89.547600119999998</v>
      </c>
      <c r="I1274" s="8">
        <v>46270.5</v>
      </c>
      <c r="J1274" s="8">
        <v>61361.75</v>
      </c>
      <c r="K1274" s="8">
        <v>75.41</v>
      </c>
      <c r="L1274" s="8">
        <v>41</v>
      </c>
      <c r="M1274" s="8">
        <v>154180525440.12512</v>
      </c>
      <c r="N1274" s="8">
        <v>-25.66</v>
      </c>
      <c r="O1274" s="8" t="str">
        <f>vw_scenario_analysis_dataset[[#This Row],[reporter_name]] &amp; "-" &amp; vw_scenario_analysis_dataset[[#This Row],[reference_year]]</f>
        <v>Qatar-2016</v>
      </c>
    </row>
    <row r="1275" spans="1:15" x14ac:dyDescent="0.3">
      <c r="A1275" s="8" t="s">
        <v>298</v>
      </c>
      <c r="B1275" s="8" t="s">
        <v>299</v>
      </c>
      <c r="C1275" s="8">
        <v>2017</v>
      </c>
      <c r="D1275" s="8">
        <v>134996211703.83394</v>
      </c>
      <c r="E1275" s="8">
        <v>161000000000</v>
      </c>
      <c r="F1275" s="8">
        <v>2545820</v>
      </c>
      <c r="G1275" s="8">
        <v>-1.4976047020000001</v>
      </c>
      <c r="H1275" s="8">
        <v>91.494587920000001</v>
      </c>
      <c r="I1275" s="8">
        <v>53026.61</v>
      </c>
      <c r="J1275" s="8">
        <v>63240.92</v>
      </c>
      <c r="K1275" s="8">
        <v>83.85</v>
      </c>
      <c r="L1275" s="8">
        <v>39</v>
      </c>
      <c r="M1275" s="8">
        <v>114617269187.46399</v>
      </c>
      <c r="N1275" s="8">
        <v>17.78</v>
      </c>
      <c r="O1275" s="8" t="str">
        <f>vw_scenario_analysis_dataset[[#This Row],[reporter_name]] &amp; "-" &amp; vw_scenario_analysis_dataset[[#This Row],[reference_year]]</f>
        <v>Qatar-2017</v>
      </c>
    </row>
    <row r="1276" spans="1:15" x14ac:dyDescent="0.3">
      <c r="A1276" s="8" t="s">
        <v>298</v>
      </c>
      <c r="B1276" s="8" t="s">
        <v>299</v>
      </c>
      <c r="C1276" s="8">
        <v>2018</v>
      </c>
      <c r="D1276" s="8">
        <v>168576918250.64713</v>
      </c>
      <c r="E1276" s="8">
        <v>183000000000</v>
      </c>
      <c r="F1276" s="8">
        <v>2580734</v>
      </c>
      <c r="G1276" s="8">
        <v>1.234872202</v>
      </c>
      <c r="H1276" s="8">
        <v>91.838448979999995</v>
      </c>
      <c r="I1276" s="8">
        <v>65321.31</v>
      </c>
      <c r="J1276" s="8">
        <v>70910.06</v>
      </c>
      <c r="K1276" s="8">
        <v>92.12</v>
      </c>
      <c r="L1276" s="8">
        <v>36</v>
      </c>
      <c r="M1276" s="8">
        <v>134996211703.83394</v>
      </c>
      <c r="N1276" s="8">
        <v>24.88</v>
      </c>
      <c r="O1276" s="8" t="str">
        <f>vw_scenario_analysis_dataset[[#This Row],[reporter_name]] &amp; "-" &amp; vw_scenario_analysis_dataset[[#This Row],[reference_year]]</f>
        <v>Qatar-2018</v>
      </c>
    </row>
    <row r="1277" spans="1:15" x14ac:dyDescent="0.3">
      <c r="A1277" s="8" t="s">
        <v>298</v>
      </c>
      <c r="B1277" s="8" t="s">
        <v>299</v>
      </c>
      <c r="C1277" s="8">
        <v>2019</v>
      </c>
      <c r="D1277" s="8">
        <v>145869912586.306</v>
      </c>
      <c r="E1277" s="8">
        <v>176000000000</v>
      </c>
      <c r="F1277" s="8">
        <v>2638657</v>
      </c>
      <c r="G1277" s="8">
        <v>0.68824095500000004</v>
      </c>
      <c r="H1277" s="8">
        <v>90.046375549999993</v>
      </c>
      <c r="I1277" s="8">
        <v>55281.88</v>
      </c>
      <c r="J1277" s="8">
        <v>66700.600000000006</v>
      </c>
      <c r="K1277" s="8">
        <v>82.88</v>
      </c>
      <c r="L1277" s="8">
        <v>36</v>
      </c>
      <c r="M1277" s="8">
        <v>168576918250.64713</v>
      </c>
      <c r="N1277" s="8">
        <v>-13.47</v>
      </c>
      <c r="O1277" s="8" t="str">
        <f>vw_scenario_analysis_dataset[[#This Row],[reporter_name]] &amp; "-" &amp; vw_scenario_analysis_dataset[[#This Row],[reference_year]]</f>
        <v>Qatar-2019</v>
      </c>
    </row>
    <row r="1278" spans="1:15" x14ac:dyDescent="0.3">
      <c r="A1278" s="8" t="s">
        <v>298</v>
      </c>
      <c r="B1278" s="8" t="s">
        <v>299</v>
      </c>
      <c r="C1278" s="8">
        <v>2020</v>
      </c>
      <c r="D1278" s="8">
        <v>103008316115.49899</v>
      </c>
      <c r="E1278" s="8">
        <v>144000000000</v>
      </c>
      <c r="F1278" s="8">
        <v>2794148</v>
      </c>
      <c r="G1278" s="8">
        <v>-3.55760399</v>
      </c>
      <c r="H1278" s="8">
        <v>90.019094879999997</v>
      </c>
      <c r="I1278" s="8">
        <v>36865.730000000003</v>
      </c>
      <c r="J1278" s="8">
        <v>51536.28</v>
      </c>
      <c r="K1278" s="8">
        <v>71.53</v>
      </c>
      <c r="L1278" s="8">
        <v>41</v>
      </c>
      <c r="M1278" s="8">
        <v>145869912586.306</v>
      </c>
      <c r="N1278" s="8">
        <v>-29.38</v>
      </c>
      <c r="O1278" s="8" t="str">
        <f>vw_scenario_analysis_dataset[[#This Row],[reporter_name]] &amp; "-" &amp; vw_scenario_analysis_dataset[[#This Row],[reference_year]]</f>
        <v>Qatar-2020</v>
      </c>
    </row>
    <row r="1279" spans="1:15" x14ac:dyDescent="0.3">
      <c r="A1279" s="8" t="s">
        <v>298</v>
      </c>
      <c r="B1279" s="8" t="s">
        <v>299</v>
      </c>
      <c r="C1279" s="8">
        <v>2021</v>
      </c>
      <c r="D1279" s="8">
        <v>174406582377.73798</v>
      </c>
      <c r="E1279" s="8">
        <v>180000000000</v>
      </c>
      <c r="F1279" s="8">
        <v>2504910</v>
      </c>
      <c r="G1279" s="8">
        <v>1.626846719</v>
      </c>
      <c r="H1279" s="8">
        <v>92.779158570000007</v>
      </c>
      <c r="I1279" s="8">
        <v>69625.89</v>
      </c>
      <c r="J1279" s="8">
        <v>71858.87</v>
      </c>
      <c r="K1279" s="8">
        <v>96.89</v>
      </c>
      <c r="L1279" s="8">
        <v>37</v>
      </c>
      <c r="M1279" s="8">
        <v>103008316115.49899</v>
      </c>
      <c r="N1279" s="8">
        <v>69.31</v>
      </c>
      <c r="O1279" s="8" t="str">
        <f>vw_scenario_analysis_dataset[[#This Row],[reporter_name]] &amp; "-" &amp; vw_scenario_analysis_dataset[[#This Row],[reference_year]]</f>
        <v>Qatar-2021</v>
      </c>
    </row>
    <row r="1280" spans="1:15" x14ac:dyDescent="0.3">
      <c r="A1280" s="8" t="s">
        <v>298</v>
      </c>
      <c r="B1280" s="8" t="s">
        <v>299</v>
      </c>
      <c r="C1280" s="8">
        <v>2022</v>
      </c>
      <c r="D1280" s="8">
        <v>261928945148.53586</v>
      </c>
      <c r="E1280" s="8">
        <v>236000000000</v>
      </c>
      <c r="F1280" s="8">
        <v>2657333</v>
      </c>
      <c r="G1280" s="8">
        <v>4.1850097100000001</v>
      </c>
      <c r="H1280" s="8">
        <v>100.2136472</v>
      </c>
      <c r="I1280" s="8">
        <v>98568.36</v>
      </c>
      <c r="J1280" s="8">
        <v>88810.85</v>
      </c>
      <c r="K1280" s="8">
        <v>110.99</v>
      </c>
      <c r="L1280" s="8">
        <v>31</v>
      </c>
      <c r="M1280" s="8">
        <v>174406582377.73798</v>
      </c>
      <c r="N1280" s="8">
        <v>50.18</v>
      </c>
      <c r="O1280" s="8" t="str">
        <f>vw_scenario_analysis_dataset[[#This Row],[reporter_name]] &amp; "-" &amp; vw_scenario_analysis_dataset[[#This Row],[reference_year]]</f>
        <v>Qatar-2022</v>
      </c>
    </row>
    <row r="1281" spans="1:15" x14ac:dyDescent="0.3">
      <c r="A1281" s="8" t="s">
        <v>298</v>
      </c>
      <c r="B1281" s="8" t="s">
        <v>299</v>
      </c>
      <c r="C1281" s="8">
        <v>2023</v>
      </c>
      <c r="D1281" s="8">
        <v>195502987992.14188</v>
      </c>
      <c r="E1281" s="8">
        <v>213000000000</v>
      </c>
      <c r="F1281" s="8">
        <v>2656032</v>
      </c>
      <c r="G1281" s="8">
        <v>1.1871599159999999</v>
      </c>
      <c r="H1281" s="8"/>
      <c r="I1281" s="8">
        <v>73607.17</v>
      </c>
      <c r="J1281" s="8">
        <v>80194.820000000007</v>
      </c>
      <c r="K1281" s="8">
        <v>91.79</v>
      </c>
      <c r="L1281" s="8">
        <v>35</v>
      </c>
      <c r="M1281" s="8">
        <v>261928945148.53586</v>
      </c>
      <c r="N1281" s="8">
        <v>-25.36</v>
      </c>
      <c r="O1281" s="8" t="str">
        <f>vw_scenario_analysis_dataset[[#This Row],[reporter_name]] &amp; "-" &amp; vw_scenario_analysis_dataset[[#This Row],[reference_year]]</f>
        <v>Qatar-2023</v>
      </c>
    </row>
    <row r="1282" spans="1:15" x14ac:dyDescent="0.3">
      <c r="A1282" s="8" t="s">
        <v>298</v>
      </c>
      <c r="B1282" s="8" t="s">
        <v>299</v>
      </c>
      <c r="C1282" s="8">
        <v>2024</v>
      </c>
      <c r="D1282" s="8">
        <v>190087953261.80209</v>
      </c>
      <c r="E1282" s="8">
        <v>216000000000</v>
      </c>
      <c r="F1282" s="8">
        <v>2857822</v>
      </c>
      <c r="G1282" s="8">
        <v>3.109632832</v>
      </c>
      <c r="H1282" s="8"/>
      <c r="I1282" s="8">
        <v>66514.97</v>
      </c>
      <c r="J1282" s="8">
        <v>75582.03</v>
      </c>
      <c r="K1282" s="8">
        <v>88</v>
      </c>
      <c r="L1282" s="8">
        <v>34</v>
      </c>
      <c r="M1282" s="8">
        <v>195502987992.14188</v>
      </c>
      <c r="N1282" s="8">
        <v>-2.77</v>
      </c>
      <c r="O1282" s="8" t="str">
        <f>vw_scenario_analysis_dataset[[#This Row],[reporter_name]] &amp; "-" &amp; vw_scenario_analysis_dataset[[#This Row],[reference_year]]</f>
        <v>Qatar-2024</v>
      </c>
    </row>
    <row r="1283" spans="1:15" x14ac:dyDescent="0.3">
      <c r="A1283" s="8" t="s">
        <v>300</v>
      </c>
      <c r="B1283" s="8" t="s">
        <v>301</v>
      </c>
      <c r="C1283" s="8">
        <v>2015</v>
      </c>
      <c r="D1283" s="8">
        <v>121210095333</v>
      </c>
      <c r="E1283" s="8">
        <v>178000000000</v>
      </c>
      <c r="F1283" s="8">
        <v>19815616</v>
      </c>
      <c r="G1283" s="8">
        <v>3.1570360540000002</v>
      </c>
      <c r="H1283" s="8">
        <v>83.520576700000007</v>
      </c>
      <c r="I1283" s="8">
        <v>6116.9</v>
      </c>
      <c r="J1283" s="8">
        <v>8982.81</v>
      </c>
      <c r="K1283" s="8">
        <v>68.099999999999994</v>
      </c>
      <c r="L1283" s="8">
        <v>38</v>
      </c>
      <c r="M1283" s="8"/>
      <c r="N1283" s="8"/>
      <c r="O1283" s="8" t="str">
        <f>vw_scenario_analysis_dataset[[#This Row],[reporter_name]] &amp; "-" &amp; vw_scenario_analysis_dataset[[#This Row],[reference_year]]</f>
        <v>Romania-2015</v>
      </c>
    </row>
    <row r="1284" spans="1:15" x14ac:dyDescent="0.3">
      <c r="A1284" s="8" t="s">
        <v>300</v>
      </c>
      <c r="B1284" s="8" t="s">
        <v>301</v>
      </c>
      <c r="C1284" s="8">
        <v>2016</v>
      </c>
      <c r="D1284" s="8">
        <v>127162008695</v>
      </c>
      <c r="E1284" s="8">
        <v>185000000000</v>
      </c>
      <c r="F1284" s="8">
        <v>19702267</v>
      </c>
      <c r="G1284" s="8">
        <v>2.8599325229999999</v>
      </c>
      <c r="H1284" s="8">
        <v>85.892528290000001</v>
      </c>
      <c r="I1284" s="8">
        <v>6454.18</v>
      </c>
      <c r="J1284" s="8">
        <v>9389.7800000000007</v>
      </c>
      <c r="K1284" s="8">
        <v>68.739999999999995</v>
      </c>
      <c r="L1284" s="8">
        <v>36</v>
      </c>
      <c r="M1284" s="8">
        <v>121210095333</v>
      </c>
      <c r="N1284" s="8">
        <v>4.91</v>
      </c>
      <c r="O1284" s="8" t="str">
        <f>vw_scenario_analysis_dataset[[#This Row],[reporter_name]] &amp; "-" &amp; vw_scenario_analysis_dataset[[#This Row],[reference_year]]</f>
        <v>Romania-2016</v>
      </c>
    </row>
    <row r="1285" spans="1:15" x14ac:dyDescent="0.3">
      <c r="A1285" s="8" t="s">
        <v>300</v>
      </c>
      <c r="B1285" s="8" t="s">
        <v>301</v>
      </c>
      <c r="C1285" s="8">
        <v>2017</v>
      </c>
      <c r="D1285" s="8">
        <v>141253774999.95999</v>
      </c>
      <c r="E1285" s="8">
        <v>210000000000</v>
      </c>
      <c r="F1285" s="8">
        <v>19588715</v>
      </c>
      <c r="G1285" s="8">
        <v>8.1954782660000003</v>
      </c>
      <c r="H1285" s="8">
        <v>87.156064569999998</v>
      </c>
      <c r="I1285" s="8">
        <v>7210.98</v>
      </c>
      <c r="J1285" s="8">
        <v>10720.46</v>
      </c>
      <c r="K1285" s="8">
        <v>67.260000000000005</v>
      </c>
      <c r="L1285" s="8">
        <v>36</v>
      </c>
      <c r="M1285" s="8">
        <v>127162008695</v>
      </c>
      <c r="N1285" s="8">
        <v>11.08</v>
      </c>
      <c r="O1285" s="8" t="str">
        <f>vw_scenario_analysis_dataset[[#This Row],[reporter_name]] &amp; "-" &amp; vw_scenario_analysis_dataset[[#This Row],[reference_year]]</f>
        <v>Romania-2017</v>
      </c>
    </row>
    <row r="1286" spans="1:15" x14ac:dyDescent="0.3">
      <c r="A1286" s="8" t="s">
        <v>300</v>
      </c>
      <c r="B1286" s="8" t="s">
        <v>301</v>
      </c>
      <c r="C1286" s="8">
        <v>2018</v>
      </c>
      <c r="D1286" s="8">
        <v>160155212533.76004</v>
      </c>
      <c r="E1286" s="8">
        <v>242000000000</v>
      </c>
      <c r="F1286" s="8">
        <v>19473970</v>
      </c>
      <c r="G1286" s="8">
        <v>5.3945222819999996</v>
      </c>
      <c r="H1286" s="8">
        <v>87.091170109999993</v>
      </c>
      <c r="I1286" s="8">
        <v>8224.07</v>
      </c>
      <c r="J1286" s="8">
        <v>12426.84</v>
      </c>
      <c r="K1286" s="8">
        <v>66.180000000000007</v>
      </c>
      <c r="L1286" s="8">
        <v>37</v>
      </c>
      <c r="M1286" s="8">
        <v>141253774999.95999</v>
      </c>
      <c r="N1286" s="8">
        <v>13.38</v>
      </c>
      <c r="O1286" s="8" t="str">
        <f>vw_scenario_analysis_dataset[[#This Row],[reporter_name]] &amp; "-" &amp; vw_scenario_analysis_dataset[[#This Row],[reference_year]]</f>
        <v>Romania-2018</v>
      </c>
    </row>
    <row r="1287" spans="1:15" x14ac:dyDescent="0.3">
      <c r="A1287" s="8" t="s">
        <v>300</v>
      </c>
      <c r="B1287" s="8" t="s">
        <v>301</v>
      </c>
      <c r="C1287" s="8">
        <v>2019</v>
      </c>
      <c r="D1287" s="8">
        <v>154597496874.88007</v>
      </c>
      <c r="E1287" s="8">
        <v>250000000000</v>
      </c>
      <c r="F1287" s="8">
        <v>19371648</v>
      </c>
      <c r="G1287" s="8">
        <v>3.9602895849999999</v>
      </c>
      <c r="H1287" s="8">
        <v>84.906363060000004</v>
      </c>
      <c r="I1287" s="8">
        <v>7980.61</v>
      </c>
      <c r="J1287" s="8">
        <v>12905.46</v>
      </c>
      <c r="K1287" s="8">
        <v>61.84</v>
      </c>
      <c r="L1287" s="8">
        <v>35</v>
      </c>
      <c r="M1287" s="8">
        <v>160155212533.76004</v>
      </c>
      <c r="N1287" s="8">
        <v>-3.47</v>
      </c>
      <c r="O1287" s="8" t="str">
        <f>vw_scenario_analysis_dataset[[#This Row],[reporter_name]] &amp; "-" &amp; vw_scenario_analysis_dataset[[#This Row],[reference_year]]</f>
        <v>Romania-2019</v>
      </c>
    </row>
    <row r="1288" spans="1:15" x14ac:dyDescent="0.3">
      <c r="A1288" s="8" t="s">
        <v>300</v>
      </c>
      <c r="B1288" s="8" t="s">
        <v>301</v>
      </c>
      <c r="C1288" s="8">
        <v>2020</v>
      </c>
      <c r="D1288" s="8">
        <v>142092797568.20004</v>
      </c>
      <c r="E1288" s="8">
        <v>251000000000</v>
      </c>
      <c r="F1288" s="8">
        <v>19265250</v>
      </c>
      <c r="G1288" s="8">
        <v>-3.5980254600000001</v>
      </c>
      <c r="H1288" s="8">
        <v>78.361646359999995</v>
      </c>
      <c r="I1288" s="8">
        <v>7375.6</v>
      </c>
      <c r="J1288" s="8">
        <v>13028.64</v>
      </c>
      <c r="K1288" s="8">
        <v>56.61</v>
      </c>
      <c r="L1288" s="8">
        <v>36</v>
      </c>
      <c r="M1288" s="8">
        <v>154597496874.88007</v>
      </c>
      <c r="N1288" s="8">
        <v>-8.09</v>
      </c>
      <c r="O1288" s="8" t="str">
        <f>vw_scenario_analysis_dataset[[#This Row],[reporter_name]] &amp; "-" &amp; vw_scenario_analysis_dataset[[#This Row],[reference_year]]</f>
        <v>Romania-2020</v>
      </c>
    </row>
    <row r="1289" spans="1:15" x14ac:dyDescent="0.3">
      <c r="A1289" s="8" t="s">
        <v>300</v>
      </c>
      <c r="B1289" s="8" t="s">
        <v>301</v>
      </c>
      <c r="C1289" s="8">
        <v>2021</v>
      </c>
      <c r="D1289" s="8">
        <v>176779457941.82007</v>
      </c>
      <c r="E1289" s="8">
        <v>285000000000</v>
      </c>
      <c r="F1289" s="8">
        <v>19122059</v>
      </c>
      <c r="G1289" s="8">
        <v>5.5873507250000003</v>
      </c>
      <c r="H1289" s="8">
        <v>87.071196549999996</v>
      </c>
      <c r="I1289" s="8">
        <v>9244.7900000000009</v>
      </c>
      <c r="J1289" s="8">
        <v>14904.25</v>
      </c>
      <c r="K1289" s="8">
        <v>62.03</v>
      </c>
      <c r="L1289" s="8">
        <v>36</v>
      </c>
      <c r="M1289" s="8">
        <v>142092797568.20004</v>
      </c>
      <c r="N1289" s="8">
        <v>24.41</v>
      </c>
      <c r="O1289" s="8" t="str">
        <f>vw_scenario_analysis_dataset[[#This Row],[reporter_name]] &amp; "-" &amp; vw_scenario_analysis_dataset[[#This Row],[reference_year]]</f>
        <v>Romania-2021</v>
      </c>
    </row>
    <row r="1290" spans="1:15" x14ac:dyDescent="0.3">
      <c r="A1290" s="8" t="s">
        <v>300</v>
      </c>
      <c r="B1290" s="8" t="s">
        <v>301</v>
      </c>
      <c r="C1290" s="8">
        <v>2022</v>
      </c>
      <c r="D1290" s="8">
        <v>193659203340.59988</v>
      </c>
      <c r="E1290" s="8">
        <v>295000000000</v>
      </c>
      <c r="F1290" s="8">
        <v>19048502</v>
      </c>
      <c r="G1290" s="8">
        <v>4.1877130510000002</v>
      </c>
      <c r="H1290" s="8">
        <v>93.949650939999998</v>
      </c>
      <c r="I1290" s="8">
        <v>10166.64</v>
      </c>
      <c r="J1290" s="8">
        <v>15486.78</v>
      </c>
      <c r="K1290" s="8">
        <v>65.650000000000006</v>
      </c>
      <c r="L1290" s="8">
        <v>37</v>
      </c>
      <c r="M1290" s="8">
        <v>176779457941.82007</v>
      </c>
      <c r="N1290" s="8">
        <v>9.5500000000000007</v>
      </c>
      <c r="O1290" s="8" t="str">
        <f>vw_scenario_analysis_dataset[[#This Row],[reporter_name]] &amp; "-" &amp; vw_scenario_analysis_dataset[[#This Row],[reference_year]]</f>
        <v>Romania-2022</v>
      </c>
    </row>
    <row r="1291" spans="1:15" x14ac:dyDescent="0.3">
      <c r="A1291" s="8" t="s">
        <v>300</v>
      </c>
      <c r="B1291" s="8" t="s">
        <v>301</v>
      </c>
      <c r="C1291" s="8">
        <v>2023</v>
      </c>
      <c r="D1291" s="8">
        <v>201284925352.81998</v>
      </c>
      <c r="E1291" s="8">
        <v>348000000000</v>
      </c>
      <c r="F1291" s="8">
        <v>19061062</v>
      </c>
      <c r="G1291" s="8">
        <v>2.2577341660000001</v>
      </c>
      <c r="H1291" s="8">
        <v>83.375332409999999</v>
      </c>
      <c r="I1291" s="8">
        <v>10560.01</v>
      </c>
      <c r="J1291" s="8">
        <v>18257.11</v>
      </c>
      <c r="K1291" s="8">
        <v>57.84</v>
      </c>
      <c r="L1291" s="8">
        <v>34</v>
      </c>
      <c r="M1291" s="8">
        <v>193659203340.59988</v>
      </c>
      <c r="N1291" s="8">
        <v>3.94</v>
      </c>
      <c r="O1291" s="8" t="str">
        <f>vw_scenario_analysis_dataset[[#This Row],[reporter_name]] &amp; "-" &amp; vw_scenario_analysis_dataset[[#This Row],[reference_year]]</f>
        <v>Romania-2023</v>
      </c>
    </row>
    <row r="1292" spans="1:15" x14ac:dyDescent="0.3">
      <c r="A1292" s="8" t="s">
        <v>300</v>
      </c>
      <c r="B1292" s="8" t="s">
        <v>301</v>
      </c>
      <c r="C1292" s="8">
        <v>2024</v>
      </c>
      <c r="D1292" s="8">
        <v>200741763372.20013</v>
      </c>
      <c r="E1292" s="8">
        <v>383000000000</v>
      </c>
      <c r="F1292" s="8">
        <v>19051804</v>
      </c>
      <c r="G1292" s="8">
        <v>0.91600376400000005</v>
      </c>
      <c r="H1292" s="8">
        <v>77.214983790000005</v>
      </c>
      <c r="I1292" s="8">
        <v>10536.63</v>
      </c>
      <c r="J1292" s="8">
        <v>20103.080000000002</v>
      </c>
      <c r="K1292" s="8">
        <v>52.41</v>
      </c>
      <c r="L1292" s="8">
        <v>32</v>
      </c>
      <c r="M1292" s="8">
        <v>201284925352.81998</v>
      </c>
      <c r="N1292" s="8">
        <v>-0.27</v>
      </c>
      <c r="O1292" s="8" t="str">
        <f>vw_scenario_analysis_dataset[[#This Row],[reporter_name]] &amp; "-" &amp; vw_scenario_analysis_dataset[[#This Row],[reference_year]]</f>
        <v>Romania-2024</v>
      </c>
    </row>
    <row r="1293" spans="1:15" x14ac:dyDescent="0.3">
      <c r="A1293" s="8" t="s">
        <v>302</v>
      </c>
      <c r="B1293" s="8" t="s">
        <v>303</v>
      </c>
      <c r="C1293" s="8">
        <v>2015</v>
      </c>
      <c r="D1293" s="8">
        <v>687815303656</v>
      </c>
      <c r="E1293" s="8">
        <v>1360000000000</v>
      </c>
      <c r="F1293" s="8">
        <v>144640716</v>
      </c>
      <c r="G1293" s="8">
        <v>-1.9727192259999999</v>
      </c>
      <c r="H1293" s="8">
        <v>49.359349309999999</v>
      </c>
      <c r="I1293" s="8">
        <v>4755.34</v>
      </c>
      <c r="J1293" s="8">
        <v>9402.61</v>
      </c>
      <c r="K1293" s="8">
        <v>50.57</v>
      </c>
      <c r="L1293" s="8">
        <v>13</v>
      </c>
      <c r="M1293" s="8"/>
      <c r="N1293" s="8"/>
      <c r="O1293" s="8" t="str">
        <f>vw_scenario_analysis_dataset[[#This Row],[reporter_name]] &amp; "-" &amp; vw_scenario_analysis_dataset[[#This Row],[reference_year]]</f>
        <v>Russian Federation-2015</v>
      </c>
    </row>
    <row r="1294" spans="1:15" x14ac:dyDescent="0.3">
      <c r="A1294" s="8" t="s">
        <v>302</v>
      </c>
      <c r="B1294" s="8" t="s">
        <v>303</v>
      </c>
      <c r="C1294" s="8">
        <v>2016</v>
      </c>
      <c r="D1294" s="8">
        <v>603560886772.87952</v>
      </c>
      <c r="E1294" s="8">
        <v>1280000000000</v>
      </c>
      <c r="F1294" s="8">
        <v>145015460</v>
      </c>
      <c r="G1294" s="8">
        <v>0.193671131</v>
      </c>
      <c r="H1294" s="8">
        <v>46.518119839999997</v>
      </c>
      <c r="I1294" s="8">
        <v>4162.05</v>
      </c>
      <c r="J1294" s="8">
        <v>8826.65</v>
      </c>
      <c r="K1294" s="8">
        <v>47.15</v>
      </c>
      <c r="L1294" s="8">
        <v>13</v>
      </c>
      <c r="M1294" s="8">
        <v>687815303656</v>
      </c>
      <c r="N1294" s="8">
        <v>-12.25</v>
      </c>
      <c r="O1294" s="8" t="str">
        <f>vw_scenario_analysis_dataset[[#This Row],[reporter_name]] &amp; "-" &amp; vw_scenario_analysis_dataset[[#This Row],[reference_year]]</f>
        <v>Russian Federation-2016</v>
      </c>
    </row>
    <row r="1295" spans="1:15" x14ac:dyDescent="0.3">
      <c r="A1295" s="8" t="s">
        <v>302</v>
      </c>
      <c r="B1295" s="8" t="s">
        <v>303</v>
      </c>
      <c r="C1295" s="8">
        <v>2017</v>
      </c>
      <c r="D1295" s="8">
        <v>758413212037.22046</v>
      </c>
      <c r="E1295" s="8">
        <v>1570000000000</v>
      </c>
      <c r="F1295" s="8">
        <v>145293260</v>
      </c>
      <c r="G1295" s="8">
        <v>1.8267052749999999</v>
      </c>
      <c r="H1295" s="8">
        <v>46.876524340000003</v>
      </c>
      <c r="I1295" s="8">
        <v>5219.88</v>
      </c>
      <c r="J1295" s="8">
        <v>10805.73</v>
      </c>
      <c r="K1295" s="8">
        <v>48.31</v>
      </c>
      <c r="L1295" s="8">
        <v>12</v>
      </c>
      <c r="M1295" s="8">
        <v>603560886772.87952</v>
      </c>
      <c r="N1295" s="8">
        <v>25.66</v>
      </c>
      <c r="O1295" s="8" t="str">
        <f>vw_scenario_analysis_dataset[[#This Row],[reporter_name]] &amp; "-" &amp; vw_scenario_analysis_dataset[[#This Row],[reference_year]]</f>
        <v>Russian Federation-2017</v>
      </c>
    </row>
    <row r="1296" spans="1:15" x14ac:dyDescent="0.3">
      <c r="A1296" s="8" t="s">
        <v>302</v>
      </c>
      <c r="B1296" s="8" t="s">
        <v>303</v>
      </c>
      <c r="C1296" s="8">
        <v>2018</v>
      </c>
      <c r="D1296" s="8">
        <v>902989656346.33972</v>
      </c>
      <c r="E1296" s="8">
        <v>1660000000000</v>
      </c>
      <c r="F1296" s="8">
        <v>145398106</v>
      </c>
      <c r="G1296" s="8">
        <v>2.80634082</v>
      </c>
      <c r="H1296" s="8">
        <v>51.580900370000002</v>
      </c>
      <c r="I1296" s="8">
        <v>6210.46</v>
      </c>
      <c r="J1296" s="8">
        <v>11416.93</v>
      </c>
      <c r="K1296" s="8">
        <v>54.4</v>
      </c>
      <c r="L1296" s="8">
        <v>10</v>
      </c>
      <c r="M1296" s="8">
        <v>758413212037.22046</v>
      </c>
      <c r="N1296" s="8">
        <v>19.059999999999999</v>
      </c>
      <c r="O1296" s="8" t="str">
        <f>vw_scenario_analysis_dataset[[#This Row],[reporter_name]] &amp; "-" &amp; vw_scenario_analysis_dataset[[#This Row],[reference_year]]</f>
        <v>Russian Federation-2018</v>
      </c>
    </row>
    <row r="1297" spans="1:15" x14ac:dyDescent="0.3">
      <c r="A1297" s="8" t="s">
        <v>302</v>
      </c>
      <c r="B1297" s="8" t="s">
        <v>303</v>
      </c>
      <c r="C1297" s="8">
        <v>2019</v>
      </c>
      <c r="D1297" s="8">
        <v>853440665320.34058</v>
      </c>
      <c r="E1297" s="8">
        <v>1690000000000</v>
      </c>
      <c r="F1297" s="8">
        <v>145453291</v>
      </c>
      <c r="G1297" s="8">
        <v>2.1980757139999998</v>
      </c>
      <c r="H1297" s="8">
        <v>49.228753660000002</v>
      </c>
      <c r="I1297" s="8">
        <v>5867.46</v>
      </c>
      <c r="J1297" s="8">
        <v>11618.85</v>
      </c>
      <c r="K1297" s="8">
        <v>50.5</v>
      </c>
      <c r="L1297" s="8">
        <v>12</v>
      </c>
      <c r="M1297" s="8">
        <v>902989656346.33972</v>
      </c>
      <c r="N1297" s="8">
        <v>-5.49</v>
      </c>
      <c r="O1297" s="8" t="str">
        <f>vw_scenario_analysis_dataset[[#This Row],[reporter_name]] &amp; "-" &amp; vw_scenario_analysis_dataset[[#This Row],[reference_year]]</f>
        <v>Russian Federation-2019</v>
      </c>
    </row>
    <row r="1298" spans="1:15" x14ac:dyDescent="0.3">
      <c r="A1298" s="8" t="s">
        <v>302</v>
      </c>
      <c r="B1298" s="8" t="s">
        <v>303</v>
      </c>
      <c r="C1298" s="8">
        <v>2020</v>
      </c>
      <c r="D1298" s="8">
        <v>674207939286.12195</v>
      </c>
      <c r="E1298" s="8">
        <v>1490000000000</v>
      </c>
      <c r="F1298" s="8">
        <v>145245148</v>
      </c>
      <c r="G1298" s="8">
        <v>-2.6536544969999998</v>
      </c>
      <c r="H1298" s="8">
        <v>45.966908199999999</v>
      </c>
      <c r="I1298" s="8">
        <v>4641.8599999999997</v>
      </c>
      <c r="J1298" s="8">
        <v>10258.52</v>
      </c>
      <c r="K1298" s="8">
        <v>45.25</v>
      </c>
      <c r="L1298" s="8">
        <v>13</v>
      </c>
      <c r="M1298" s="8">
        <v>853440665320.34058</v>
      </c>
      <c r="N1298" s="8">
        <v>-21</v>
      </c>
      <c r="O1298" s="8" t="str">
        <f>vw_scenario_analysis_dataset[[#This Row],[reporter_name]] &amp; "-" &amp; vw_scenario_analysis_dataset[[#This Row],[reference_year]]</f>
        <v>Russian Federation-2020</v>
      </c>
    </row>
    <row r="1299" spans="1:15" x14ac:dyDescent="0.3">
      <c r="A1299" s="8" t="s">
        <v>302</v>
      </c>
      <c r="B1299" s="8" t="s">
        <v>303</v>
      </c>
      <c r="C1299" s="8">
        <v>2021</v>
      </c>
      <c r="D1299" s="8">
        <v>984627581393.3064</v>
      </c>
      <c r="E1299" s="8">
        <v>1830000000000</v>
      </c>
      <c r="F1299" s="8">
        <v>144746762</v>
      </c>
      <c r="G1299" s="8">
        <v>5.8664917729999999</v>
      </c>
      <c r="H1299" s="8">
        <v>50.586195459999999</v>
      </c>
      <c r="I1299" s="8">
        <v>6802.42</v>
      </c>
      <c r="J1299" s="8">
        <v>12642.77</v>
      </c>
      <c r="K1299" s="8">
        <v>53.8</v>
      </c>
      <c r="L1299" s="8">
        <v>11</v>
      </c>
      <c r="M1299" s="8">
        <v>674207939286.12195</v>
      </c>
      <c r="N1299" s="8">
        <v>46.04</v>
      </c>
      <c r="O1299" s="8" t="str">
        <f>vw_scenario_analysis_dataset[[#This Row],[reporter_name]] &amp; "-" &amp; vw_scenario_analysis_dataset[[#This Row],[reference_year]]</f>
        <v>Russian Federation-2021</v>
      </c>
    </row>
    <row r="1300" spans="1:15" x14ac:dyDescent="0.3">
      <c r="A1300" s="8" t="s">
        <v>304</v>
      </c>
      <c r="B1300" s="8" t="s">
        <v>305</v>
      </c>
      <c r="C1300" s="8">
        <v>2015</v>
      </c>
      <c r="D1300" s="8">
        <v>1187248300.1629996</v>
      </c>
      <c r="E1300" s="8">
        <v>8447064079</v>
      </c>
      <c r="F1300" s="8">
        <v>11640022</v>
      </c>
      <c r="G1300" s="8">
        <v>8.8703675289999993</v>
      </c>
      <c r="H1300" s="8">
        <v>45.73486758</v>
      </c>
      <c r="I1300" s="8">
        <v>102</v>
      </c>
      <c r="J1300" s="8">
        <v>725.69</v>
      </c>
      <c r="K1300" s="8">
        <v>14.06</v>
      </c>
      <c r="L1300" s="8">
        <v>138</v>
      </c>
      <c r="M1300" s="8"/>
      <c r="N1300" s="8"/>
      <c r="O1300" s="8" t="str">
        <f>vw_scenario_analysis_dataset[[#This Row],[reporter_name]] &amp; "-" &amp; vw_scenario_analysis_dataset[[#This Row],[reference_year]]</f>
        <v>Rwanda-2015</v>
      </c>
    </row>
    <row r="1301" spans="1:15" x14ac:dyDescent="0.3">
      <c r="A1301" s="8" t="s">
        <v>304</v>
      </c>
      <c r="B1301" s="8" t="s">
        <v>305</v>
      </c>
      <c r="C1301" s="8">
        <v>2016</v>
      </c>
      <c r="D1301" s="8">
        <v>1226147343.0219996</v>
      </c>
      <c r="E1301" s="8">
        <v>8596812241</v>
      </c>
      <c r="F1301" s="8">
        <v>11919183</v>
      </c>
      <c r="G1301" s="8">
        <v>5.6587458420000001</v>
      </c>
      <c r="H1301" s="8">
        <v>50.089736569999999</v>
      </c>
      <c r="I1301" s="8">
        <v>102.87</v>
      </c>
      <c r="J1301" s="8">
        <v>721.26</v>
      </c>
      <c r="K1301" s="8">
        <v>14.26</v>
      </c>
      <c r="L1301" s="8">
        <v>139</v>
      </c>
      <c r="M1301" s="8">
        <v>1187248300.1629996</v>
      </c>
      <c r="N1301" s="8">
        <v>3.28</v>
      </c>
      <c r="O1301" s="8" t="str">
        <f>vw_scenario_analysis_dataset[[#This Row],[reporter_name]] &amp; "-" &amp; vw_scenario_analysis_dataset[[#This Row],[reference_year]]</f>
        <v>Rwanda-2016</v>
      </c>
    </row>
    <row r="1302" spans="1:15" x14ac:dyDescent="0.3">
      <c r="A1302" s="8" t="s">
        <v>304</v>
      </c>
      <c r="B1302" s="8" t="s">
        <v>305</v>
      </c>
      <c r="C1302" s="8">
        <v>2017</v>
      </c>
      <c r="D1302" s="8">
        <v>1885302503.944001</v>
      </c>
      <c r="E1302" s="8">
        <v>9164345443</v>
      </c>
      <c r="F1302" s="8">
        <v>12202060</v>
      </c>
      <c r="G1302" s="8">
        <v>4.7039343980000003</v>
      </c>
      <c r="H1302" s="8">
        <v>54.207965659999999</v>
      </c>
      <c r="I1302" s="8">
        <v>154.51</v>
      </c>
      <c r="J1302" s="8">
        <v>751.05</v>
      </c>
      <c r="K1302" s="8">
        <v>20.57</v>
      </c>
      <c r="L1302" s="8">
        <v>134</v>
      </c>
      <c r="M1302" s="8">
        <v>1226147343.0219996</v>
      </c>
      <c r="N1302" s="8">
        <v>53.76</v>
      </c>
      <c r="O1302" s="8" t="str">
        <f>vw_scenario_analysis_dataset[[#This Row],[reporter_name]] &amp; "-" &amp; vw_scenario_analysis_dataset[[#This Row],[reference_year]]</f>
        <v>Rwanda-2017</v>
      </c>
    </row>
    <row r="1303" spans="1:15" x14ac:dyDescent="0.3">
      <c r="A1303" s="8" t="s">
        <v>304</v>
      </c>
      <c r="B1303" s="8" t="s">
        <v>305</v>
      </c>
      <c r="C1303" s="8">
        <v>2018</v>
      </c>
      <c r="D1303" s="8">
        <v>2008402338.7010009</v>
      </c>
      <c r="E1303" s="8">
        <v>9650161136</v>
      </c>
      <c r="F1303" s="8">
        <v>12487996</v>
      </c>
      <c r="G1303" s="8">
        <v>8.0708425459999997</v>
      </c>
      <c r="H1303" s="8">
        <v>47.983057870000003</v>
      </c>
      <c r="I1303" s="8">
        <v>160.83000000000001</v>
      </c>
      <c r="J1303" s="8">
        <v>772.75</v>
      </c>
      <c r="K1303" s="8">
        <v>20.81</v>
      </c>
      <c r="L1303" s="8">
        <v>132</v>
      </c>
      <c r="M1303" s="8">
        <v>1885302503.944001</v>
      </c>
      <c r="N1303" s="8">
        <v>6.53</v>
      </c>
      <c r="O1303" s="8" t="str">
        <f>vw_scenario_analysis_dataset[[#This Row],[reporter_name]] &amp; "-" &amp; vw_scenario_analysis_dataset[[#This Row],[reference_year]]</f>
        <v>Rwanda-2018</v>
      </c>
    </row>
    <row r="1304" spans="1:15" x14ac:dyDescent="0.3">
      <c r="A1304" s="8" t="s">
        <v>304</v>
      </c>
      <c r="B1304" s="8" t="s">
        <v>305</v>
      </c>
      <c r="C1304" s="8">
        <v>2019</v>
      </c>
      <c r="D1304" s="8">
        <v>2263912134.7600002</v>
      </c>
      <c r="E1304" s="8">
        <v>10519272170</v>
      </c>
      <c r="F1304" s="8">
        <v>12776103</v>
      </c>
      <c r="G1304" s="8">
        <v>9.2861338750000009</v>
      </c>
      <c r="H1304" s="8">
        <v>48.892715029999998</v>
      </c>
      <c r="I1304" s="8">
        <v>177.2</v>
      </c>
      <c r="J1304" s="8">
        <v>823.36</v>
      </c>
      <c r="K1304" s="8">
        <v>21.52</v>
      </c>
      <c r="L1304" s="8">
        <v>127</v>
      </c>
      <c r="M1304" s="8">
        <v>2008402338.7010009</v>
      </c>
      <c r="N1304" s="8">
        <v>12.72</v>
      </c>
      <c r="O1304" s="8" t="str">
        <f>vw_scenario_analysis_dataset[[#This Row],[reporter_name]] &amp; "-" &amp; vw_scenario_analysis_dataset[[#This Row],[reference_year]]</f>
        <v>Rwanda-2019</v>
      </c>
    </row>
    <row r="1305" spans="1:15" x14ac:dyDescent="0.3">
      <c r="A1305" s="8" t="s">
        <v>304</v>
      </c>
      <c r="B1305" s="8" t="s">
        <v>305</v>
      </c>
      <c r="C1305" s="8">
        <v>2020</v>
      </c>
      <c r="D1305" s="8">
        <v>2862352625.1200004</v>
      </c>
      <c r="E1305" s="8">
        <v>10487146253</v>
      </c>
      <c r="F1305" s="8">
        <v>13065837</v>
      </c>
      <c r="G1305" s="8">
        <v>-2.7771048550000001</v>
      </c>
      <c r="H1305" s="8">
        <v>44.351184060000001</v>
      </c>
      <c r="I1305" s="8">
        <v>219.07</v>
      </c>
      <c r="J1305" s="8">
        <v>802.64</v>
      </c>
      <c r="K1305" s="8">
        <v>27.29</v>
      </c>
      <c r="L1305" s="8">
        <v>124</v>
      </c>
      <c r="M1305" s="8">
        <v>2263912134.7600002</v>
      </c>
      <c r="N1305" s="8">
        <v>26.43</v>
      </c>
      <c r="O1305" s="8" t="str">
        <f>vw_scenario_analysis_dataset[[#This Row],[reporter_name]] &amp; "-" &amp; vw_scenario_analysis_dataset[[#This Row],[reference_year]]</f>
        <v>Rwanda-2020</v>
      </c>
    </row>
    <row r="1306" spans="1:15" x14ac:dyDescent="0.3">
      <c r="A1306" s="8" t="s">
        <v>304</v>
      </c>
      <c r="B1306" s="8" t="s">
        <v>305</v>
      </c>
      <c r="C1306" s="8">
        <v>2021</v>
      </c>
      <c r="D1306" s="8">
        <v>3125008965.3999996</v>
      </c>
      <c r="E1306" s="8">
        <v>11252894910</v>
      </c>
      <c r="F1306" s="8">
        <v>13355260</v>
      </c>
      <c r="G1306" s="8">
        <v>8.4114044860000003</v>
      </c>
      <c r="H1306" s="8">
        <v>59.800799390000002</v>
      </c>
      <c r="I1306" s="8">
        <v>233.99</v>
      </c>
      <c r="J1306" s="8">
        <v>842.58</v>
      </c>
      <c r="K1306" s="8">
        <v>27.77</v>
      </c>
      <c r="L1306" s="8">
        <v>127</v>
      </c>
      <c r="M1306" s="8">
        <v>2862352625.1200004</v>
      </c>
      <c r="N1306" s="8">
        <v>9.18</v>
      </c>
      <c r="O1306" s="8" t="str">
        <f>vw_scenario_analysis_dataset[[#This Row],[reporter_name]] &amp; "-" &amp; vw_scenario_analysis_dataset[[#This Row],[reference_year]]</f>
        <v>Rwanda-2021</v>
      </c>
    </row>
    <row r="1307" spans="1:15" x14ac:dyDescent="0.3">
      <c r="A1307" s="8" t="s">
        <v>304</v>
      </c>
      <c r="B1307" s="8" t="s">
        <v>305</v>
      </c>
      <c r="C1307" s="8">
        <v>2022</v>
      </c>
      <c r="D1307" s="8">
        <v>4038539603.8800011</v>
      </c>
      <c r="E1307" s="8">
        <v>13747404814</v>
      </c>
      <c r="F1307" s="8">
        <v>13651030</v>
      </c>
      <c r="G1307" s="8">
        <v>9.8249739470000002</v>
      </c>
      <c r="H1307" s="8">
        <v>60.95917094</v>
      </c>
      <c r="I1307" s="8">
        <v>295.83999999999997</v>
      </c>
      <c r="J1307" s="8">
        <v>1007.06</v>
      </c>
      <c r="K1307" s="8">
        <v>29.38</v>
      </c>
      <c r="L1307" s="8">
        <v>121</v>
      </c>
      <c r="M1307" s="8">
        <v>3125008965.3999996</v>
      </c>
      <c r="N1307" s="8">
        <v>29.23</v>
      </c>
      <c r="O1307" s="8" t="str">
        <f>vw_scenario_analysis_dataset[[#This Row],[reporter_name]] &amp; "-" &amp; vw_scenario_analysis_dataset[[#This Row],[reference_year]]</f>
        <v>Rwanda-2022</v>
      </c>
    </row>
    <row r="1308" spans="1:15" x14ac:dyDescent="0.3">
      <c r="A1308" s="8" t="s">
        <v>306</v>
      </c>
      <c r="B1308" s="8" t="s">
        <v>307</v>
      </c>
      <c r="C1308" s="8">
        <v>2015</v>
      </c>
      <c r="D1308" s="8">
        <v>407377605122.02594</v>
      </c>
      <c r="E1308" s="8">
        <v>693000000000</v>
      </c>
      <c r="F1308" s="8">
        <v>29816382</v>
      </c>
      <c r="G1308" s="8">
        <v>4.6551231670000002</v>
      </c>
      <c r="H1308" s="8">
        <v>67.105269230000005</v>
      </c>
      <c r="I1308" s="8">
        <v>13662.88</v>
      </c>
      <c r="J1308" s="8">
        <v>23242.26</v>
      </c>
      <c r="K1308" s="8">
        <v>58.78</v>
      </c>
      <c r="L1308" s="8">
        <v>19</v>
      </c>
      <c r="M1308" s="8"/>
      <c r="N1308" s="8"/>
      <c r="O1308" s="8" t="str">
        <f>vw_scenario_analysis_dataset[[#This Row],[reporter_name]] &amp; "-" &amp; vw_scenario_analysis_dataset[[#This Row],[reference_year]]</f>
        <v>Saudi Arabia-2015</v>
      </c>
    </row>
    <row r="1309" spans="1:15" x14ac:dyDescent="0.3">
      <c r="A1309" s="8" t="s">
        <v>306</v>
      </c>
      <c r="B1309" s="8" t="s">
        <v>307</v>
      </c>
      <c r="C1309" s="8">
        <v>2016</v>
      </c>
      <c r="D1309" s="8">
        <v>367208573066.01123</v>
      </c>
      <c r="E1309" s="8">
        <v>689000000000</v>
      </c>
      <c r="F1309" s="8">
        <v>30954198</v>
      </c>
      <c r="G1309" s="8">
        <v>1.7040473920000001</v>
      </c>
      <c r="H1309" s="8">
        <v>57.921663510000002</v>
      </c>
      <c r="I1309" s="8">
        <v>11862.97</v>
      </c>
      <c r="J1309" s="8">
        <v>22258.69</v>
      </c>
      <c r="K1309" s="8">
        <v>53.3</v>
      </c>
      <c r="L1309" s="8">
        <v>22</v>
      </c>
      <c r="M1309" s="8">
        <v>407377605122.02594</v>
      </c>
      <c r="N1309" s="8">
        <v>-9.86</v>
      </c>
      <c r="O1309" s="8" t="str">
        <f>vw_scenario_analysis_dataset[[#This Row],[reporter_name]] &amp; "-" &amp; vw_scenario_analysis_dataset[[#This Row],[reference_year]]</f>
        <v>Saudi Arabia-2016</v>
      </c>
    </row>
    <row r="1310" spans="1:15" x14ac:dyDescent="0.3">
      <c r="A1310" s="8" t="s">
        <v>306</v>
      </c>
      <c r="B1310" s="8" t="s">
        <v>307</v>
      </c>
      <c r="C1310" s="8">
        <v>2017</v>
      </c>
      <c r="D1310" s="8">
        <v>443670125547.6311</v>
      </c>
      <c r="E1310" s="8">
        <v>741000000000</v>
      </c>
      <c r="F1310" s="8">
        <v>30977355</v>
      </c>
      <c r="G1310" s="8">
        <v>1.182107059</v>
      </c>
      <c r="H1310" s="8">
        <v>59.531979159999999</v>
      </c>
      <c r="I1310" s="8">
        <v>14322.4</v>
      </c>
      <c r="J1310" s="8">
        <v>23920.7</v>
      </c>
      <c r="K1310" s="8">
        <v>59.87</v>
      </c>
      <c r="L1310" s="8">
        <v>20</v>
      </c>
      <c r="M1310" s="8">
        <v>367208573066.01123</v>
      </c>
      <c r="N1310" s="8">
        <v>20.82</v>
      </c>
      <c r="O1310" s="8" t="str">
        <f>vw_scenario_analysis_dataset[[#This Row],[reporter_name]] &amp; "-" &amp; vw_scenario_analysis_dataset[[#This Row],[reference_year]]</f>
        <v>Saudi Arabia-2017</v>
      </c>
    </row>
    <row r="1311" spans="1:15" x14ac:dyDescent="0.3">
      <c r="A1311" s="8" t="s">
        <v>306</v>
      </c>
      <c r="B1311" s="8" t="s">
        <v>307</v>
      </c>
      <c r="C1311" s="8">
        <v>2018</v>
      </c>
      <c r="D1311" s="8">
        <v>588743143454.75684</v>
      </c>
      <c r="E1311" s="8">
        <v>887000000000</v>
      </c>
      <c r="F1311" s="8">
        <v>30196281</v>
      </c>
      <c r="G1311" s="8">
        <v>3.2269508899999999</v>
      </c>
      <c r="H1311" s="8">
        <v>59.102910469999998</v>
      </c>
      <c r="I1311" s="8">
        <v>19497.21</v>
      </c>
      <c r="J1311" s="8">
        <v>29374.48</v>
      </c>
      <c r="K1311" s="8">
        <v>66.37</v>
      </c>
      <c r="L1311" s="8">
        <v>18</v>
      </c>
      <c r="M1311" s="8">
        <v>443670125547.6311</v>
      </c>
      <c r="N1311" s="8">
        <v>32.700000000000003</v>
      </c>
      <c r="O1311" s="8" t="str">
        <f>vw_scenario_analysis_dataset[[#This Row],[reporter_name]] &amp; "-" &amp; vw_scenario_analysis_dataset[[#This Row],[reference_year]]</f>
        <v>Saudi Arabia-2018</v>
      </c>
    </row>
    <row r="1312" spans="1:15" x14ac:dyDescent="0.3">
      <c r="A1312" s="8" t="s">
        <v>306</v>
      </c>
      <c r="B1312" s="8" t="s">
        <v>307</v>
      </c>
      <c r="C1312" s="8">
        <v>2019</v>
      </c>
      <c r="D1312" s="8">
        <v>523206580689.96777</v>
      </c>
      <c r="E1312" s="8">
        <v>889000000000</v>
      </c>
      <c r="F1312" s="8">
        <v>30063799</v>
      </c>
      <c r="G1312" s="8">
        <v>1.6515892560000001</v>
      </c>
      <c r="H1312" s="8">
        <v>56.793820490000002</v>
      </c>
      <c r="I1312" s="8">
        <v>17403.21</v>
      </c>
      <c r="J1312" s="8">
        <v>29570.45</v>
      </c>
      <c r="K1312" s="8">
        <v>58.85</v>
      </c>
      <c r="L1312" s="8">
        <v>20</v>
      </c>
      <c r="M1312" s="8">
        <v>588743143454.75684</v>
      </c>
      <c r="N1312" s="8">
        <v>-11.13</v>
      </c>
      <c r="O1312" s="8" t="str">
        <f>vw_scenario_analysis_dataset[[#This Row],[reporter_name]] &amp; "-" &amp; vw_scenario_analysis_dataset[[#This Row],[reference_year]]</f>
        <v>Saudi Arabia-2019</v>
      </c>
    </row>
    <row r="1313" spans="1:15" x14ac:dyDescent="0.3">
      <c r="A1313" s="8" t="s">
        <v>306</v>
      </c>
      <c r="B1313" s="8" t="s">
        <v>307</v>
      </c>
      <c r="C1313" s="8">
        <v>2020</v>
      </c>
      <c r="D1313" s="8">
        <v>347707704739.30518</v>
      </c>
      <c r="E1313" s="8">
        <v>768000000000</v>
      </c>
      <c r="F1313" s="8">
        <v>31552510</v>
      </c>
      <c r="G1313" s="8">
        <v>-3.8047890199999999</v>
      </c>
      <c r="H1313" s="8">
        <v>47.533159230000003</v>
      </c>
      <c r="I1313" s="8">
        <v>11019.97</v>
      </c>
      <c r="J1313" s="8">
        <v>24340.38</v>
      </c>
      <c r="K1313" s="8">
        <v>45.27</v>
      </c>
      <c r="L1313" s="8">
        <v>26</v>
      </c>
      <c r="M1313" s="8">
        <v>523206580689.96777</v>
      </c>
      <c r="N1313" s="8">
        <v>-33.54</v>
      </c>
      <c r="O1313" s="8" t="str">
        <f>vw_scenario_analysis_dataset[[#This Row],[reporter_name]] &amp; "-" &amp; vw_scenario_analysis_dataset[[#This Row],[reference_year]]</f>
        <v>Saudi Arabia-2020</v>
      </c>
    </row>
    <row r="1314" spans="1:15" x14ac:dyDescent="0.3">
      <c r="A1314" s="8" t="s">
        <v>306</v>
      </c>
      <c r="B1314" s="8" t="s">
        <v>307</v>
      </c>
      <c r="C1314" s="8">
        <v>2021</v>
      </c>
      <c r="D1314" s="8">
        <v>552358173243.84375</v>
      </c>
      <c r="E1314" s="8">
        <v>983000000000</v>
      </c>
      <c r="F1314" s="8">
        <v>30784383</v>
      </c>
      <c r="G1314" s="8">
        <v>6.5195969829999996</v>
      </c>
      <c r="H1314" s="8">
        <v>50.883926340000002</v>
      </c>
      <c r="I1314" s="8">
        <v>17942.8</v>
      </c>
      <c r="J1314" s="8">
        <v>31931.78</v>
      </c>
      <c r="K1314" s="8">
        <v>56.19</v>
      </c>
      <c r="L1314" s="8">
        <v>23</v>
      </c>
      <c r="M1314" s="8">
        <v>347707704739.30518</v>
      </c>
      <c r="N1314" s="8">
        <v>58.86</v>
      </c>
      <c r="O1314" s="8" t="str">
        <f>vw_scenario_analysis_dataset[[#This Row],[reporter_name]] &amp; "-" &amp; vw_scenario_analysis_dataset[[#This Row],[reference_year]]</f>
        <v>Saudi Arabia-2021</v>
      </c>
    </row>
    <row r="1315" spans="1:15" x14ac:dyDescent="0.3">
      <c r="A1315" s="8" t="s">
        <v>306</v>
      </c>
      <c r="B1315" s="8" t="s">
        <v>307</v>
      </c>
      <c r="C1315" s="8">
        <v>2022</v>
      </c>
      <c r="D1315" s="8">
        <v>822368439681.85645</v>
      </c>
      <c r="E1315" s="8">
        <v>1240000000000</v>
      </c>
      <c r="F1315" s="8">
        <v>32175224</v>
      </c>
      <c r="G1315" s="8">
        <v>12.00058748</v>
      </c>
      <c r="H1315" s="8">
        <v>56.824164770000003</v>
      </c>
      <c r="I1315" s="8">
        <v>25559.06</v>
      </c>
      <c r="J1315" s="8">
        <v>38538.97</v>
      </c>
      <c r="K1315" s="8">
        <v>66.319999999999993</v>
      </c>
      <c r="L1315" s="8">
        <v>17</v>
      </c>
      <c r="M1315" s="8">
        <v>552358173243.84375</v>
      </c>
      <c r="N1315" s="8">
        <v>48.88</v>
      </c>
      <c r="O1315" s="8" t="str">
        <f>vw_scenario_analysis_dataset[[#This Row],[reporter_name]] &amp; "-" &amp; vw_scenario_analysis_dataset[[#This Row],[reference_year]]</f>
        <v>Saudi Arabia-2022</v>
      </c>
    </row>
    <row r="1316" spans="1:15" x14ac:dyDescent="0.3">
      <c r="A1316" s="8" t="s">
        <v>306</v>
      </c>
      <c r="B1316" s="8" t="s">
        <v>307</v>
      </c>
      <c r="C1316" s="8">
        <v>2023</v>
      </c>
      <c r="D1316" s="8">
        <v>640036853458.28003</v>
      </c>
      <c r="E1316" s="8">
        <v>1220000000000</v>
      </c>
      <c r="F1316" s="8">
        <v>33702731</v>
      </c>
      <c r="G1316" s="8">
        <v>0.54259243899999998</v>
      </c>
      <c r="H1316" s="8">
        <v>55.79746823</v>
      </c>
      <c r="I1316" s="8">
        <v>18990.650000000001</v>
      </c>
      <c r="J1316" s="8">
        <v>36198.85</v>
      </c>
      <c r="K1316" s="8">
        <v>52.46</v>
      </c>
      <c r="L1316" s="8">
        <v>21</v>
      </c>
      <c r="M1316" s="8">
        <v>822368439681.85645</v>
      </c>
      <c r="N1316" s="8">
        <v>-22.17</v>
      </c>
      <c r="O1316" s="8" t="str">
        <f>vw_scenario_analysis_dataset[[#This Row],[reporter_name]] &amp; "-" &amp; vw_scenario_analysis_dataset[[#This Row],[reference_year]]</f>
        <v>Saudi Arabia-2023</v>
      </c>
    </row>
    <row r="1317" spans="1:15" x14ac:dyDescent="0.3">
      <c r="A1317" s="8" t="s">
        <v>306</v>
      </c>
      <c r="B1317" s="8" t="s">
        <v>307</v>
      </c>
      <c r="C1317" s="8">
        <v>2024</v>
      </c>
      <c r="D1317" s="8">
        <v>610998774713.83032</v>
      </c>
      <c r="E1317" s="8">
        <v>1250000000000</v>
      </c>
      <c r="F1317" s="8">
        <v>35300280</v>
      </c>
      <c r="G1317" s="8">
        <v>2.6489306830000001</v>
      </c>
      <c r="H1317" s="8">
        <v>56.404937410000002</v>
      </c>
      <c r="I1317" s="8">
        <v>17308.61</v>
      </c>
      <c r="J1317" s="8">
        <v>35410.480000000003</v>
      </c>
      <c r="K1317" s="8">
        <v>48.88</v>
      </c>
      <c r="L1317" s="8">
        <v>20</v>
      </c>
      <c r="M1317" s="8">
        <v>640036853458.28003</v>
      </c>
      <c r="N1317" s="8">
        <v>-4.54</v>
      </c>
      <c r="O1317" s="8" t="str">
        <f>vw_scenario_analysis_dataset[[#This Row],[reporter_name]] &amp; "-" &amp; vw_scenario_analysis_dataset[[#This Row],[reference_year]]</f>
        <v>Saudi Arabia-2024</v>
      </c>
    </row>
    <row r="1318" spans="1:15" x14ac:dyDescent="0.3">
      <c r="A1318" s="8" t="s">
        <v>308</v>
      </c>
      <c r="B1318" s="8" t="s">
        <v>309</v>
      </c>
      <c r="C1318" s="8">
        <v>2015</v>
      </c>
      <c r="D1318" s="8">
        <v>11175033830</v>
      </c>
      <c r="E1318" s="8">
        <v>51726758677</v>
      </c>
      <c r="F1318" s="8">
        <v>40024431</v>
      </c>
      <c r="G1318" s="8">
        <v>1.9101768910000001</v>
      </c>
      <c r="H1318" s="8">
        <v>18.378272849999998</v>
      </c>
      <c r="I1318" s="8">
        <v>279.20999999999998</v>
      </c>
      <c r="J1318" s="8">
        <v>1292.3800000000001</v>
      </c>
      <c r="K1318" s="8">
        <v>21.6</v>
      </c>
      <c r="L1318" s="8">
        <v>94</v>
      </c>
      <c r="M1318" s="8"/>
      <c r="N1318" s="8"/>
      <c r="O1318" s="8" t="str">
        <f>vw_scenario_analysis_dataset[[#This Row],[reporter_name]] &amp; "-" &amp; vw_scenario_analysis_dataset[[#This Row],[reference_year]]</f>
        <v>Sudan-2015</v>
      </c>
    </row>
    <row r="1319" spans="1:15" x14ac:dyDescent="0.3">
      <c r="A1319" s="8" t="s">
        <v>308</v>
      </c>
      <c r="B1319" s="8" t="s">
        <v>309</v>
      </c>
      <c r="C1319" s="8">
        <v>2016</v>
      </c>
      <c r="D1319" s="8">
        <v>7986979702</v>
      </c>
      <c r="E1319" s="8">
        <v>42630376000</v>
      </c>
      <c r="F1319" s="8">
        <v>41259892</v>
      </c>
      <c r="G1319" s="8">
        <v>3.4676421839999998</v>
      </c>
      <c r="H1319" s="8">
        <v>15.28166989</v>
      </c>
      <c r="I1319" s="8">
        <v>193.58</v>
      </c>
      <c r="J1319" s="8">
        <v>1033.22</v>
      </c>
      <c r="K1319" s="8">
        <v>18.739999999999998</v>
      </c>
      <c r="L1319" s="8">
        <v>104</v>
      </c>
      <c r="M1319" s="8">
        <v>11175033830</v>
      </c>
      <c r="N1319" s="8">
        <v>-28.53</v>
      </c>
      <c r="O1319" s="8" t="str">
        <f>vw_scenario_analysis_dataset[[#This Row],[reporter_name]] &amp; "-" &amp; vw_scenario_analysis_dataset[[#This Row],[reference_year]]</f>
        <v>Sudan-2016</v>
      </c>
    </row>
    <row r="1320" spans="1:15" x14ac:dyDescent="0.3">
      <c r="A1320" s="8" t="s">
        <v>308</v>
      </c>
      <c r="B1320" s="8" t="s">
        <v>309</v>
      </c>
      <c r="C1320" s="8">
        <v>2017</v>
      </c>
      <c r="D1320" s="8">
        <v>8481285333.7600002</v>
      </c>
      <c r="E1320" s="8">
        <v>41283617976</v>
      </c>
      <c r="F1320" s="8">
        <v>42714306</v>
      </c>
      <c r="G1320" s="8">
        <v>0.70925628500000004</v>
      </c>
      <c r="H1320" s="8">
        <v>17.831389829999999</v>
      </c>
      <c r="I1320" s="8">
        <v>198.56</v>
      </c>
      <c r="J1320" s="8">
        <v>966.51</v>
      </c>
      <c r="K1320" s="8">
        <v>20.54</v>
      </c>
      <c r="L1320" s="8">
        <v>104</v>
      </c>
      <c r="M1320" s="8">
        <v>7986979702</v>
      </c>
      <c r="N1320" s="8">
        <v>6.19</v>
      </c>
      <c r="O1320" s="8" t="str">
        <f>vw_scenario_analysis_dataset[[#This Row],[reporter_name]] &amp; "-" &amp; vw_scenario_analysis_dataset[[#This Row],[reference_year]]</f>
        <v>Sudan-2017</v>
      </c>
    </row>
    <row r="1321" spans="1:15" x14ac:dyDescent="0.3">
      <c r="A1321" s="8" t="s">
        <v>308</v>
      </c>
      <c r="B1321" s="8" t="s">
        <v>309</v>
      </c>
      <c r="C1321" s="8">
        <v>2018</v>
      </c>
      <c r="D1321" s="8">
        <v>7238503008</v>
      </c>
      <c r="E1321" s="8">
        <v>32333780383</v>
      </c>
      <c r="F1321" s="8">
        <v>44230596</v>
      </c>
      <c r="G1321" s="8">
        <v>-2.6809305499999998</v>
      </c>
      <c r="H1321" s="8">
        <v>21.86791873</v>
      </c>
      <c r="I1321" s="8">
        <v>163.65</v>
      </c>
      <c r="J1321" s="8">
        <v>731.03</v>
      </c>
      <c r="K1321" s="8">
        <v>22.39</v>
      </c>
      <c r="L1321" s="8">
        <v>110</v>
      </c>
      <c r="M1321" s="8">
        <v>8481285333.7600002</v>
      </c>
      <c r="N1321" s="8">
        <v>-14.65</v>
      </c>
      <c r="O1321" s="8" t="str">
        <f>vw_scenario_analysis_dataset[[#This Row],[reporter_name]] &amp; "-" &amp; vw_scenario_analysis_dataset[[#This Row],[reference_year]]</f>
        <v>Sudan-2018</v>
      </c>
    </row>
    <row r="1322" spans="1:15" x14ac:dyDescent="0.3">
      <c r="A1322" s="8" t="s">
        <v>310</v>
      </c>
      <c r="B1322" s="8" t="s">
        <v>311</v>
      </c>
      <c r="C1322" s="8">
        <v>2015</v>
      </c>
      <c r="D1322" s="8">
        <v>5223343934</v>
      </c>
      <c r="E1322" s="8">
        <v>17774766696</v>
      </c>
      <c r="F1322" s="8">
        <v>14593331</v>
      </c>
      <c r="G1322" s="8">
        <v>6.3670436510000004</v>
      </c>
      <c r="H1322" s="8">
        <v>58.11033767</v>
      </c>
      <c r="I1322" s="8">
        <v>357.93</v>
      </c>
      <c r="J1322" s="8">
        <v>1218.01</v>
      </c>
      <c r="K1322" s="8">
        <v>29.39</v>
      </c>
      <c r="L1322" s="8">
        <v>110</v>
      </c>
      <c r="M1322" s="8"/>
      <c r="N1322" s="8"/>
      <c r="O1322" s="8" t="str">
        <f>vw_scenario_analysis_dataset[[#This Row],[reporter_name]] &amp; "-" &amp; vw_scenario_analysis_dataset[[#This Row],[reference_year]]</f>
        <v>Senegal-2015</v>
      </c>
    </row>
    <row r="1323" spans="1:15" x14ac:dyDescent="0.3">
      <c r="A1323" s="8" t="s">
        <v>310</v>
      </c>
      <c r="B1323" s="8" t="s">
        <v>311</v>
      </c>
      <c r="C1323" s="8">
        <v>2016</v>
      </c>
      <c r="D1323" s="8">
        <v>5280553841</v>
      </c>
      <c r="E1323" s="8">
        <v>19040312333</v>
      </c>
      <c r="F1323" s="8">
        <v>15034521</v>
      </c>
      <c r="G1323" s="8">
        <v>6.3560685719999999</v>
      </c>
      <c r="H1323" s="8">
        <v>54.10816921</v>
      </c>
      <c r="I1323" s="8">
        <v>351.23</v>
      </c>
      <c r="J1323" s="8">
        <v>1266.44</v>
      </c>
      <c r="K1323" s="8">
        <v>27.73</v>
      </c>
      <c r="L1323" s="8">
        <v>111</v>
      </c>
      <c r="M1323" s="8">
        <v>5223343934</v>
      </c>
      <c r="N1323" s="8">
        <v>1.1000000000000001</v>
      </c>
      <c r="O1323" s="8" t="str">
        <f>vw_scenario_analysis_dataset[[#This Row],[reporter_name]] &amp; "-" &amp; vw_scenario_analysis_dataset[[#This Row],[reference_year]]</f>
        <v>Senegal-2016</v>
      </c>
    </row>
    <row r="1324" spans="1:15" x14ac:dyDescent="0.3">
      <c r="A1324" s="8" t="s">
        <v>310</v>
      </c>
      <c r="B1324" s="8" t="s">
        <v>311</v>
      </c>
      <c r="C1324" s="8">
        <v>2017</v>
      </c>
      <c r="D1324" s="8">
        <v>5991771617.243001</v>
      </c>
      <c r="E1324" s="8">
        <v>20965069573</v>
      </c>
      <c r="F1324" s="8">
        <v>15475002</v>
      </c>
      <c r="G1324" s="8">
        <v>7.4074861859999999</v>
      </c>
      <c r="H1324" s="8">
        <v>57.816567810000002</v>
      </c>
      <c r="I1324" s="8">
        <v>387.19</v>
      </c>
      <c r="J1324" s="8">
        <v>1354.77</v>
      </c>
      <c r="K1324" s="8">
        <v>28.58</v>
      </c>
      <c r="L1324" s="8">
        <v>112</v>
      </c>
      <c r="M1324" s="8">
        <v>5280553841</v>
      </c>
      <c r="N1324" s="8">
        <v>13.47</v>
      </c>
      <c r="O1324" s="8" t="str">
        <f>vw_scenario_analysis_dataset[[#This Row],[reporter_name]] &amp; "-" &amp; vw_scenario_analysis_dataset[[#This Row],[reference_year]]</f>
        <v>Senegal-2017</v>
      </c>
    </row>
    <row r="1325" spans="1:15" x14ac:dyDescent="0.3">
      <c r="A1325" s="8" t="s">
        <v>310</v>
      </c>
      <c r="B1325" s="8" t="s">
        <v>311</v>
      </c>
      <c r="C1325" s="8">
        <v>2018</v>
      </c>
      <c r="D1325" s="8">
        <v>7246485899.2019968</v>
      </c>
      <c r="E1325" s="8">
        <v>23116701556</v>
      </c>
      <c r="F1325" s="8">
        <v>15914498</v>
      </c>
      <c r="G1325" s="8">
        <v>6.2092410339999997</v>
      </c>
      <c r="H1325" s="8">
        <v>61.789839479999998</v>
      </c>
      <c r="I1325" s="8">
        <v>455.34</v>
      </c>
      <c r="J1325" s="8">
        <v>1452.56</v>
      </c>
      <c r="K1325" s="8">
        <v>31.35</v>
      </c>
      <c r="L1325" s="8">
        <v>109</v>
      </c>
      <c r="M1325" s="8">
        <v>5991771617.243001</v>
      </c>
      <c r="N1325" s="8">
        <v>20.94</v>
      </c>
      <c r="O1325" s="8" t="str">
        <f>vw_scenario_analysis_dataset[[#This Row],[reporter_name]] &amp; "-" &amp; vw_scenario_analysis_dataset[[#This Row],[reference_year]]</f>
        <v>Senegal-2018</v>
      </c>
    </row>
    <row r="1326" spans="1:15" x14ac:dyDescent="0.3">
      <c r="A1326" s="8" t="s">
        <v>310</v>
      </c>
      <c r="B1326" s="8" t="s">
        <v>311</v>
      </c>
      <c r="C1326" s="8">
        <v>2019</v>
      </c>
      <c r="D1326" s="8">
        <v>8357029349.019002</v>
      </c>
      <c r="E1326" s="8">
        <v>23403995992</v>
      </c>
      <c r="F1326" s="8">
        <v>16352922</v>
      </c>
      <c r="G1326" s="8">
        <v>4.6136280980000004</v>
      </c>
      <c r="H1326" s="8">
        <v>64.236250609999999</v>
      </c>
      <c r="I1326" s="8">
        <v>511.04</v>
      </c>
      <c r="J1326" s="8">
        <v>1431.18</v>
      </c>
      <c r="K1326" s="8">
        <v>35.71</v>
      </c>
      <c r="L1326" s="8">
        <v>104</v>
      </c>
      <c r="M1326" s="8">
        <v>7246485899.2019968</v>
      </c>
      <c r="N1326" s="8">
        <v>15.33</v>
      </c>
      <c r="O1326" s="8" t="str">
        <f>vw_scenario_analysis_dataset[[#This Row],[reporter_name]] &amp; "-" &amp; vw_scenario_analysis_dataset[[#This Row],[reference_year]]</f>
        <v>Senegal-2019</v>
      </c>
    </row>
    <row r="1327" spans="1:15" x14ac:dyDescent="0.3">
      <c r="A1327" s="8" t="s">
        <v>310</v>
      </c>
      <c r="B1327" s="8" t="s">
        <v>311</v>
      </c>
      <c r="C1327" s="8">
        <v>2020</v>
      </c>
      <c r="D1327" s="8">
        <v>7858720276.9960003</v>
      </c>
      <c r="E1327" s="8">
        <v>24530513038</v>
      </c>
      <c r="F1327" s="8">
        <v>16789219</v>
      </c>
      <c r="G1327" s="8">
        <v>1.3420737730000001</v>
      </c>
      <c r="H1327" s="8">
        <v>60.046871609999997</v>
      </c>
      <c r="I1327" s="8">
        <v>468.08</v>
      </c>
      <c r="J1327" s="8">
        <v>1461.09</v>
      </c>
      <c r="K1327" s="8">
        <v>32.04</v>
      </c>
      <c r="L1327" s="8">
        <v>105</v>
      </c>
      <c r="M1327" s="8">
        <v>8357029349.019002</v>
      </c>
      <c r="N1327" s="8">
        <v>-5.96</v>
      </c>
      <c r="O1327" s="8" t="str">
        <f>vw_scenario_analysis_dataset[[#This Row],[reporter_name]] &amp; "-" &amp; vw_scenario_analysis_dataset[[#This Row],[reference_year]]</f>
        <v>Senegal-2020</v>
      </c>
    </row>
    <row r="1328" spans="1:15" x14ac:dyDescent="0.3">
      <c r="A1328" s="8" t="s">
        <v>310</v>
      </c>
      <c r="B1328" s="8" t="s">
        <v>311</v>
      </c>
      <c r="C1328" s="8">
        <v>2021</v>
      </c>
      <c r="D1328" s="8">
        <v>10404443179.264</v>
      </c>
      <c r="E1328" s="8">
        <v>27520784130</v>
      </c>
      <c r="F1328" s="8">
        <v>17220867</v>
      </c>
      <c r="G1328" s="8">
        <v>6.5440010989999999</v>
      </c>
      <c r="H1328" s="8">
        <v>69.375993989999998</v>
      </c>
      <c r="I1328" s="8">
        <v>604.17999999999995</v>
      </c>
      <c r="J1328" s="8">
        <v>1598.11</v>
      </c>
      <c r="K1328" s="8">
        <v>37.81</v>
      </c>
      <c r="L1328" s="8">
        <v>101</v>
      </c>
      <c r="M1328" s="8">
        <v>7858720276.9960003</v>
      </c>
      <c r="N1328" s="8">
        <v>32.39</v>
      </c>
      <c r="O1328" s="8" t="str">
        <f>vw_scenario_analysis_dataset[[#This Row],[reporter_name]] &amp; "-" &amp; vw_scenario_analysis_dataset[[#This Row],[reference_year]]</f>
        <v>Senegal-2021</v>
      </c>
    </row>
    <row r="1329" spans="1:15" x14ac:dyDescent="0.3">
      <c r="A1329" s="8" t="s">
        <v>310</v>
      </c>
      <c r="B1329" s="8" t="s">
        <v>311</v>
      </c>
      <c r="C1329" s="8">
        <v>2022</v>
      </c>
      <c r="D1329" s="8">
        <v>11420583846.695999</v>
      </c>
      <c r="E1329" s="8">
        <v>27783332223</v>
      </c>
      <c r="F1329" s="8">
        <v>17651103</v>
      </c>
      <c r="G1329" s="8">
        <v>3.8504319379999998</v>
      </c>
      <c r="H1329" s="8">
        <v>79.397422019999993</v>
      </c>
      <c r="I1329" s="8">
        <v>647.02</v>
      </c>
      <c r="J1329" s="8">
        <v>1574.03</v>
      </c>
      <c r="K1329" s="8">
        <v>41.11</v>
      </c>
      <c r="L1329" s="8">
        <v>101</v>
      </c>
      <c r="M1329" s="8">
        <v>10404443179.264</v>
      </c>
      <c r="N1329" s="8">
        <v>9.77</v>
      </c>
      <c r="O1329" s="8" t="str">
        <f>vw_scenario_analysis_dataset[[#This Row],[reporter_name]] &amp; "-" &amp; vw_scenario_analysis_dataset[[#This Row],[reference_year]]</f>
        <v>Senegal-2022</v>
      </c>
    </row>
    <row r="1330" spans="1:15" x14ac:dyDescent="0.3">
      <c r="A1330" s="8" t="s">
        <v>310</v>
      </c>
      <c r="B1330" s="8" t="s">
        <v>311</v>
      </c>
      <c r="C1330" s="8">
        <v>2023</v>
      </c>
      <c r="D1330" s="8">
        <v>10633785667.796999</v>
      </c>
      <c r="E1330" s="8">
        <v>30696331296</v>
      </c>
      <c r="F1330" s="8">
        <v>18077573</v>
      </c>
      <c r="G1330" s="8">
        <v>4.2574308329999999</v>
      </c>
      <c r="H1330" s="8">
        <v>71.594281580000001</v>
      </c>
      <c r="I1330" s="8">
        <v>588.23</v>
      </c>
      <c r="J1330" s="8">
        <v>1698.03</v>
      </c>
      <c r="K1330" s="8">
        <v>34.64</v>
      </c>
      <c r="L1330" s="8">
        <v>104</v>
      </c>
      <c r="M1330" s="8">
        <v>11420583846.695999</v>
      </c>
      <c r="N1330" s="8">
        <v>-6.89</v>
      </c>
      <c r="O1330" s="8" t="str">
        <f>vw_scenario_analysis_dataset[[#This Row],[reporter_name]] &amp; "-" &amp; vw_scenario_analysis_dataset[[#This Row],[reference_year]]</f>
        <v>Senegal-2023</v>
      </c>
    </row>
    <row r="1331" spans="1:15" x14ac:dyDescent="0.3">
      <c r="A1331" s="8" t="s">
        <v>310</v>
      </c>
      <c r="B1331" s="8" t="s">
        <v>311</v>
      </c>
      <c r="C1331" s="8">
        <v>2024</v>
      </c>
      <c r="D1331" s="8">
        <v>12620965360.603001</v>
      </c>
      <c r="E1331" s="8">
        <v>32169996052</v>
      </c>
      <c r="F1331" s="8">
        <v>18501984</v>
      </c>
      <c r="G1331" s="8">
        <v>6.4622057740000001</v>
      </c>
      <c r="H1331" s="8">
        <v>68.236351029999994</v>
      </c>
      <c r="I1331" s="8">
        <v>682.14</v>
      </c>
      <c r="J1331" s="8">
        <v>1738.73</v>
      </c>
      <c r="K1331" s="8">
        <v>39.229999999999997</v>
      </c>
      <c r="L1331" s="8">
        <v>95</v>
      </c>
      <c r="M1331" s="8">
        <v>10633785667.796999</v>
      </c>
      <c r="N1331" s="8">
        <v>18.690000000000001</v>
      </c>
      <c r="O1331" s="8" t="str">
        <f>vw_scenario_analysis_dataset[[#This Row],[reporter_name]] &amp; "-" &amp; vw_scenario_analysis_dataset[[#This Row],[reference_year]]</f>
        <v>Senegal-2024</v>
      </c>
    </row>
    <row r="1332" spans="1:15" x14ac:dyDescent="0.3">
      <c r="A1332" s="8" t="s">
        <v>312</v>
      </c>
      <c r="B1332" s="8" t="s">
        <v>313</v>
      </c>
      <c r="C1332" s="8">
        <v>2015</v>
      </c>
      <c r="D1332" s="8">
        <v>715882457738.34558</v>
      </c>
      <c r="E1332" s="8">
        <v>308000000000</v>
      </c>
      <c r="F1332" s="8">
        <v>5535002</v>
      </c>
      <c r="G1332" s="8">
        <v>2.9767993160000001</v>
      </c>
      <c r="H1332" s="8">
        <v>329.4713989</v>
      </c>
      <c r="I1332" s="8">
        <v>129337.34</v>
      </c>
      <c r="J1332" s="8">
        <v>55645.87</v>
      </c>
      <c r="K1332" s="8">
        <v>232.43</v>
      </c>
      <c r="L1332" s="8">
        <v>12</v>
      </c>
      <c r="M1332" s="8"/>
      <c r="N1332" s="8"/>
      <c r="O1332" s="8" t="str">
        <f>vw_scenario_analysis_dataset[[#This Row],[reporter_name]] &amp; "-" &amp; vw_scenario_analysis_dataset[[#This Row],[reference_year]]</f>
        <v>Singapore-2015</v>
      </c>
    </row>
    <row r="1333" spans="1:15" x14ac:dyDescent="0.3">
      <c r="A1333" s="8" t="s">
        <v>312</v>
      </c>
      <c r="B1333" s="8" t="s">
        <v>313</v>
      </c>
      <c r="C1333" s="8">
        <v>2016</v>
      </c>
      <c r="D1333" s="8">
        <v>676163940907.5061</v>
      </c>
      <c r="E1333" s="8">
        <v>321000000000</v>
      </c>
      <c r="F1333" s="8">
        <v>5607283</v>
      </c>
      <c r="G1333" s="8">
        <v>3.910953063</v>
      </c>
      <c r="H1333" s="8">
        <v>301.33886619999998</v>
      </c>
      <c r="I1333" s="8">
        <v>120586.73</v>
      </c>
      <c r="J1333" s="8">
        <v>57246.98</v>
      </c>
      <c r="K1333" s="8">
        <v>210.64</v>
      </c>
      <c r="L1333" s="8">
        <v>12</v>
      </c>
      <c r="M1333" s="8">
        <v>715882457738.34558</v>
      </c>
      <c r="N1333" s="8">
        <v>-5.55</v>
      </c>
      <c r="O1333" s="8" t="str">
        <f>vw_scenario_analysis_dataset[[#This Row],[reporter_name]] &amp; "-" &amp; vw_scenario_analysis_dataset[[#This Row],[reference_year]]</f>
        <v>Singapore-2016</v>
      </c>
    </row>
    <row r="1334" spans="1:15" x14ac:dyDescent="0.3">
      <c r="A1334" s="8" t="s">
        <v>312</v>
      </c>
      <c r="B1334" s="8" t="s">
        <v>313</v>
      </c>
      <c r="C1334" s="8">
        <v>2017</v>
      </c>
      <c r="D1334" s="8">
        <v>746144972340.32239</v>
      </c>
      <c r="E1334" s="8">
        <v>345000000000</v>
      </c>
      <c r="F1334" s="8">
        <v>5612253</v>
      </c>
      <c r="G1334" s="8">
        <v>4.3267937080000003</v>
      </c>
      <c r="H1334" s="8">
        <v>315.4014335</v>
      </c>
      <c r="I1334" s="8">
        <v>132949.28</v>
      </c>
      <c r="J1334" s="8">
        <v>61472.639999999999</v>
      </c>
      <c r="K1334" s="8">
        <v>216.27</v>
      </c>
      <c r="L1334" s="8">
        <v>13</v>
      </c>
      <c r="M1334" s="8">
        <v>676163940907.5061</v>
      </c>
      <c r="N1334" s="8">
        <v>10.35</v>
      </c>
      <c r="O1334" s="8" t="str">
        <f>vw_scenario_analysis_dataset[[#This Row],[reporter_name]] &amp; "-" &amp; vw_scenario_analysis_dataset[[#This Row],[reference_year]]</f>
        <v>Singapore-2017</v>
      </c>
    </row>
    <row r="1335" spans="1:15" x14ac:dyDescent="0.3">
      <c r="A1335" s="8" t="s">
        <v>312</v>
      </c>
      <c r="B1335" s="8" t="s">
        <v>313</v>
      </c>
      <c r="C1335" s="8">
        <v>2018</v>
      </c>
      <c r="D1335" s="8">
        <v>823486587494.97034</v>
      </c>
      <c r="E1335" s="8">
        <v>378000000000</v>
      </c>
      <c r="F1335" s="8">
        <v>5638676</v>
      </c>
      <c r="G1335" s="8">
        <v>3.1866084849999998</v>
      </c>
      <c r="H1335" s="8">
        <v>325.72581000000002</v>
      </c>
      <c r="I1335" s="8">
        <v>146042.54</v>
      </c>
      <c r="J1335" s="8">
        <v>67037.009999999995</v>
      </c>
      <c r="K1335" s="8">
        <v>217.85</v>
      </c>
      <c r="L1335" s="8">
        <v>13</v>
      </c>
      <c r="M1335" s="8">
        <v>746144972340.32239</v>
      </c>
      <c r="N1335" s="8">
        <v>10.37</v>
      </c>
      <c r="O1335" s="8" t="str">
        <f>vw_scenario_analysis_dataset[[#This Row],[reporter_name]] &amp; "-" &amp; vw_scenario_analysis_dataset[[#This Row],[reference_year]]</f>
        <v>Singapore-2018</v>
      </c>
    </row>
    <row r="1336" spans="1:15" x14ac:dyDescent="0.3">
      <c r="A1336" s="8" t="s">
        <v>312</v>
      </c>
      <c r="B1336" s="8" t="s">
        <v>313</v>
      </c>
      <c r="C1336" s="8">
        <v>2019</v>
      </c>
      <c r="D1336" s="8">
        <v>780663514748.82483</v>
      </c>
      <c r="E1336" s="8">
        <v>377000000000</v>
      </c>
      <c r="F1336" s="8">
        <v>5703569</v>
      </c>
      <c r="G1336" s="8">
        <v>1.1587794730000001</v>
      </c>
      <c r="H1336" s="8">
        <v>324.27008860000001</v>
      </c>
      <c r="I1336" s="8">
        <v>136872.81</v>
      </c>
      <c r="J1336" s="8">
        <v>66098.960000000006</v>
      </c>
      <c r="K1336" s="8">
        <v>207.07</v>
      </c>
      <c r="L1336" s="8">
        <v>13</v>
      </c>
      <c r="M1336" s="8">
        <v>823486587494.97034</v>
      </c>
      <c r="N1336" s="8">
        <v>-5.2</v>
      </c>
      <c r="O1336" s="8" t="str">
        <f>vw_scenario_analysis_dataset[[#This Row],[reporter_name]] &amp; "-" &amp; vw_scenario_analysis_dataset[[#This Row],[reference_year]]</f>
        <v>Singapore-2019</v>
      </c>
    </row>
    <row r="1337" spans="1:15" x14ac:dyDescent="0.3">
      <c r="A1337" s="8" t="s">
        <v>312</v>
      </c>
      <c r="B1337" s="8" t="s">
        <v>313</v>
      </c>
      <c r="C1337" s="8">
        <v>2020</v>
      </c>
      <c r="D1337" s="8">
        <v>747367460112.14197</v>
      </c>
      <c r="E1337" s="8">
        <v>351000000000</v>
      </c>
      <c r="F1337" s="8">
        <v>5685807</v>
      </c>
      <c r="G1337" s="8">
        <v>-3.610842817</v>
      </c>
      <c r="H1337" s="8">
        <v>331.08055680000001</v>
      </c>
      <c r="I1337" s="8">
        <v>131444.39000000001</v>
      </c>
      <c r="J1337" s="8">
        <v>61732.66</v>
      </c>
      <c r="K1337" s="8">
        <v>212.93</v>
      </c>
      <c r="L1337" s="8">
        <v>12</v>
      </c>
      <c r="M1337" s="8">
        <v>780663514748.82483</v>
      </c>
      <c r="N1337" s="8">
        <v>-4.2699999999999996</v>
      </c>
      <c r="O1337" s="8" t="str">
        <f>vw_scenario_analysis_dataset[[#This Row],[reporter_name]] &amp; "-" &amp; vw_scenario_analysis_dataset[[#This Row],[reference_year]]</f>
        <v>Singapore-2020</v>
      </c>
    </row>
    <row r="1338" spans="1:15" x14ac:dyDescent="0.3">
      <c r="A1338" s="8" t="s">
        <v>312</v>
      </c>
      <c r="B1338" s="8" t="s">
        <v>313</v>
      </c>
      <c r="C1338" s="8">
        <v>2021</v>
      </c>
      <c r="D1338" s="8">
        <v>914162566563.08838</v>
      </c>
      <c r="E1338" s="8">
        <v>441000000000</v>
      </c>
      <c r="F1338" s="8">
        <v>5453566</v>
      </c>
      <c r="G1338" s="8">
        <v>10.14108452</v>
      </c>
      <c r="H1338" s="8">
        <v>326.53325460000002</v>
      </c>
      <c r="I1338" s="8">
        <v>167626.57</v>
      </c>
      <c r="J1338" s="8">
        <v>80864.52</v>
      </c>
      <c r="K1338" s="8">
        <v>207.29</v>
      </c>
      <c r="L1338" s="8">
        <v>13</v>
      </c>
      <c r="M1338" s="8">
        <v>747367460112.14197</v>
      </c>
      <c r="N1338" s="8">
        <v>22.32</v>
      </c>
      <c r="O1338" s="8" t="str">
        <f>vw_scenario_analysis_dataset[[#This Row],[reporter_name]] &amp; "-" &amp; vw_scenario_analysis_dataset[[#This Row],[reference_year]]</f>
        <v>Singapore-2021</v>
      </c>
    </row>
    <row r="1339" spans="1:15" x14ac:dyDescent="0.3">
      <c r="A1339" s="8" t="s">
        <v>312</v>
      </c>
      <c r="B1339" s="8" t="s">
        <v>313</v>
      </c>
      <c r="C1339" s="8">
        <v>2022</v>
      </c>
      <c r="D1339" s="8">
        <v>1029932254010.4399</v>
      </c>
      <c r="E1339" s="8">
        <v>514000000000</v>
      </c>
      <c r="F1339" s="8">
        <v>5637022</v>
      </c>
      <c r="G1339" s="8">
        <v>4.0102788450000002</v>
      </c>
      <c r="H1339" s="8">
        <v>330.24691710000002</v>
      </c>
      <c r="I1339" s="8">
        <v>182708.57</v>
      </c>
      <c r="J1339" s="8">
        <v>91182.9</v>
      </c>
      <c r="K1339" s="8">
        <v>200.38</v>
      </c>
      <c r="L1339" s="8">
        <v>13</v>
      </c>
      <c r="M1339" s="8">
        <v>914162566563.08838</v>
      </c>
      <c r="N1339" s="8">
        <v>12.66</v>
      </c>
      <c r="O1339" s="8" t="str">
        <f>vw_scenario_analysis_dataset[[#This Row],[reporter_name]] &amp; "-" &amp; vw_scenario_analysis_dataset[[#This Row],[reference_year]]</f>
        <v>Singapore-2022</v>
      </c>
    </row>
    <row r="1340" spans="1:15" x14ac:dyDescent="0.3">
      <c r="A1340" s="8" t="s">
        <v>312</v>
      </c>
      <c r="B1340" s="8" t="s">
        <v>313</v>
      </c>
      <c r="C1340" s="8">
        <v>2023</v>
      </c>
      <c r="D1340" s="8">
        <v>950697082253.58093</v>
      </c>
      <c r="E1340" s="8">
        <v>511000000000</v>
      </c>
      <c r="F1340" s="8">
        <v>5917648</v>
      </c>
      <c r="G1340" s="8">
        <v>1.4502677589999999</v>
      </c>
      <c r="H1340" s="8">
        <v>323.70121999999998</v>
      </c>
      <c r="I1340" s="8">
        <v>160654.54999999999</v>
      </c>
      <c r="J1340" s="8">
        <v>86351.87</v>
      </c>
      <c r="K1340" s="8">
        <v>186.05</v>
      </c>
      <c r="L1340" s="8">
        <v>13</v>
      </c>
      <c r="M1340" s="8">
        <v>1029932254010.4399</v>
      </c>
      <c r="N1340" s="8">
        <v>-7.69</v>
      </c>
      <c r="O1340" s="8" t="str">
        <f>vw_scenario_analysis_dataset[[#This Row],[reporter_name]] &amp; "-" &amp; vw_scenario_analysis_dataset[[#This Row],[reference_year]]</f>
        <v>Singapore-2023</v>
      </c>
    </row>
    <row r="1341" spans="1:15" x14ac:dyDescent="0.3">
      <c r="A1341" s="8" t="s">
        <v>312</v>
      </c>
      <c r="B1341" s="8" t="s">
        <v>313</v>
      </c>
      <c r="C1341" s="8">
        <v>2024</v>
      </c>
      <c r="D1341" s="8">
        <v>1009561742960.3375</v>
      </c>
      <c r="E1341" s="8">
        <v>573000000000</v>
      </c>
      <c r="F1341" s="8">
        <v>6036860</v>
      </c>
      <c r="G1341" s="8">
        <v>5.3435120190000003</v>
      </c>
      <c r="H1341" s="8">
        <v>313.29937719999998</v>
      </c>
      <c r="I1341" s="8">
        <v>167232.92000000001</v>
      </c>
      <c r="J1341" s="8">
        <v>94916.89</v>
      </c>
      <c r="K1341" s="8">
        <v>176.19</v>
      </c>
      <c r="L1341" s="8">
        <v>12</v>
      </c>
      <c r="M1341" s="8">
        <v>950697082253.58093</v>
      </c>
      <c r="N1341" s="8">
        <v>6.19</v>
      </c>
      <c r="O1341" s="8" t="str">
        <f>vw_scenario_analysis_dataset[[#This Row],[reporter_name]] &amp; "-" &amp; vw_scenario_analysis_dataset[[#This Row],[reference_year]]</f>
        <v>Singapore-2024</v>
      </c>
    </row>
    <row r="1342" spans="1:15" x14ac:dyDescent="0.3">
      <c r="A1342" s="8" t="s">
        <v>314</v>
      </c>
      <c r="B1342" s="8" t="s">
        <v>315</v>
      </c>
      <c r="C1342" s="8">
        <v>2015</v>
      </c>
      <c r="D1342" s="8">
        <v>800801181</v>
      </c>
      <c r="E1342" s="8">
        <v>1307908814</v>
      </c>
      <c r="F1342" s="8">
        <v>639415</v>
      </c>
      <c r="G1342" s="8">
        <v>1.6757861199999999</v>
      </c>
      <c r="H1342" s="8">
        <v>88.188485909999997</v>
      </c>
      <c r="I1342" s="8">
        <v>1252.4000000000001</v>
      </c>
      <c r="J1342" s="8">
        <v>2045.48</v>
      </c>
      <c r="K1342" s="8">
        <v>61.23</v>
      </c>
      <c r="L1342" s="8">
        <v>145</v>
      </c>
      <c r="M1342" s="8"/>
      <c r="N1342" s="8"/>
      <c r="O1342" s="8" t="str">
        <f>vw_scenario_analysis_dataset[[#This Row],[reporter_name]] &amp; "-" &amp; vw_scenario_analysis_dataset[[#This Row],[reference_year]]</f>
        <v>Solomon Isds-2015</v>
      </c>
    </row>
    <row r="1343" spans="1:15" x14ac:dyDescent="0.3">
      <c r="A1343" s="8" t="s">
        <v>314</v>
      </c>
      <c r="B1343" s="8" t="s">
        <v>315</v>
      </c>
      <c r="C1343" s="8">
        <v>2016</v>
      </c>
      <c r="D1343" s="8">
        <v>874606149</v>
      </c>
      <c r="E1343" s="8">
        <v>1379486291</v>
      </c>
      <c r="F1343" s="8">
        <v>662379</v>
      </c>
      <c r="G1343" s="8">
        <v>5.5549434829999997</v>
      </c>
      <c r="H1343" s="8">
        <v>85.549845779999998</v>
      </c>
      <c r="I1343" s="8">
        <v>1320.4</v>
      </c>
      <c r="J1343" s="8">
        <v>2082.62</v>
      </c>
      <c r="K1343" s="8">
        <v>63.4</v>
      </c>
      <c r="L1343" s="8">
        <v>145</v>
      </c>
      <c r="M1343" s="8">
        <v>800801181</v>
      </c>
      <c r="N1343" s="8">
        <v>9.2200000000000006</v>
      </c>
      <c r="O1343" s="8" t="str">
        <f>vw_scenario_analysis_dataset[[#This Row],[reporter_name]] &amp; "-" &amp; vw_scenario_analysis_dataset[[#This Row],[reference_year]]</f>
        <v>Solomon Isds-2016</v>
      </c>
    </row>
    <row r="1344" spans="1:15" x14ac:dyDescent="0.3">
      <c r="A1344" s="8" t="s">
        <v>314</v>
      </c>
      <c r="B1344" s="8" t="s">
        <v>315</v>
      </c>
      <c r="C1344" s="8">
        <v>2017</v>
      </c>
      <c r="D1344" s="8">
        <v>999429366.94100058</v>
      </c>
      <c r="E1344" s="8">
        <v>1469790526</v>
      </c>
      <c r="F1344" s="8">
        <v>685672</v>
      </c>
      <c r="G1344" s="8">
        <v>3.0754617610000001</v>
      </c>
      <c r="H1344" s="8">
        <v>82.197492199999999</v>
      </c>
      <c r="I1344" s="8">
        <v>1457.59</v>
      </c>
      <c r="J1344" s="8">
        <v>2143.58</v>
      </c>
      <c r="K1344" s="8">
        <v>68</v>
      </c>
      <c r="L1344" s="8">
        <v>143</v>
      </c>
      <c r="M1344" s="8">
        <v>874606149</v>
      </c>
      <c r="N1344" s="8">
        <v>14.27</v>
      </c>
      <c r="O1344" s="8" t="str">
        <f>vw_scenario_analysis_dataset[[#This Row],[reporter_name]] &amp; "-" &amp; vw_scenario_analysis_dataset[[#This Row],[reference_year]]</f>
        <v>Solomon Isds-2017</v>
      </c>
    </row>
    <row r="1345" spans="1:15" x14ac:dyDescent="0.3">
      <c r="A1345" s="8" t="s">
        <v>314</v>
      </c>
      <c r="B1345" s="8" t="s">
        <v>315</v>
      </c>
      <c r="C1345" s="8">
        <v>2018</v>
      </c>
      <c r="D1345" s="8">
        <v>1138224016.9479995</v>
      </c>
      <c r="E1345" s="8">
        <v>1615473250</v>
      </c>
      <c r="F1345" s="8">
        <v>709101</v>
      </c>
      <c r="G1345" s="8">
        <v>2.7458524479999999</v>
      </c>
      <c r="H1345" s="8">
        <v>88.494961470000007</v>
      </c>
      <c r="I1345" s="8">
        <v>1605.16</v>
      </c>
      <c r="J1345" s="8">
        <v>2278.1999999999998</v>
      </c>
      <c r="K1345" s="8">
        <v>70.459999999999994</v>
      </c>
      <c r="L1345" s="8">
        <v>141</v>
      </c>
      <c r="M1345" s="8">
        <v>999429366.94100058</v>
      </c>
      <c r="N1345" s="8">
        <v>13.89</v>
      </c>
      <c r="O1345" s="8" t="str">
        <f>vw_scenario_analysis_dataset[[#This Row],[reporter_name]] &amp; "-" &amp; vw_scenario_analysis_dataset[[#This Row],[reference_year]]</f>
        <v>Solomon Isds-2018</v>
      </c>
    </row>
    <row r="1346" spans="1:15" x14ac:dyDescent="0.3">
      <c r="A1346" s="8" t="s">
        <v>316</v>
      </c>
      <c r="B1346" s="8" t="s">
        <v>317</v>
      </c>
      <c r="C1346" s="8">
        <v>2015</v>
      </c>
      <c r="D1346" s="8">
        <v>186515098</v>
      </c>
      <c r="E1346" s="8">
        <v>6788352975</v>
      </c>
      <c r="F1346" s="8">
        <v>7037655</v>
      </c>
      <c r="G1346" s="8">
        <v>-4.3633326209999996</v>
      </c>
      <c r="H1346" s="8">
        <v>36.482395820000001</v>
      </c>
      <c r="I1346" s="8">
        <v>26.5</v>
      </c>
      <c r="J1346" s="8">
        <v>964.58</v>
      </c>
      <c r="K1346" s="8">
        <v>2.75</v>
      </c>
      <c r="L1346" s="8">
        <v>154</v>
      </c>
      <c r="M1346" s="8"/>
      <c r="N1346" s="8"/>
      <c r="O1346" s="8" t="str">
        <f>vw_scenario_analysis_dataset[[#This Row],[reporter_name]] &amp; "-" &amp; vw_scenario_analysis_dataset[[#This Row],[reference_year]]</f>
        <v>Sierra Leone-2015</v>
      </c>
    </row>
    <row r="1347" spans="1:15" x14ac:dyDescent="0.3">
      <c r="A1347" s="8" t="s">
        <v>316</v>
      </c>
      <c r="B1347" s="8" t="s">
        <v>317</v>
      </c>
      <c r="C1347" s="8">
        <v>2016</v>
      </c>
      <c r="D1347" s="8">
        <v>931190465</v>
      </c>
      <c r="E1347" s="8">
        <v>6084297211</v>
      </c>
      <c r="F1347" s="8">
        <v>7205328</v>
      </c>
      <c r="G1347" s="8">
        <v>6.4374365280000001</v>
      </c>
      <c r="H1347" s="8">
        <v>43.067212699999999</v>
      </c>
      <c r="I1347" s="8">
        <v>129.24</v>
      </c>
      <c r="J1347" s="8">
        <v>844.42</v>
      </c>
      <c r="K1347" s="8">
        <v>15.3</v>
      </c>
      <c r="L1347" s="8">
        <v>144</v>
      </c>
      <c r="M1347" s="8">
        <v>186515098</v>
      </c>
      <c r="N1347" s="8">
        <v>399.26</v>
      </c>
      <c r="O1347" s="8" t="str">
        <f>vw_scenario_analysis_dataset[[#This Row],[reporter_name]] &amp; "-" &amp; vw_scenario_analysis_dataset[[#This Row],[reference_year]]</f>
        <v>Sierra Leone-2016</v>
      </c>
    </row>
    <row r="1348" spans="1:15" x14ac:dyDescent="0.3">
      <c r="A1348" s="8" t="s">
        <v>316</v>
      </c>
      <c r="B1348" s="8" t="s">
        <v>317</v>
      </c>
      <c r="C1348" s="8">
        <v>2017</v>
      </c>
      <c r="D1348" s="8">
        <v>205303177.64199996</v>
      </c>
      <c r="E1348" s="8">
        <v>5749846528</v>
      </c>
      <c r="F1348" s="8">
        <v>7379299</v>
      </c>
      <c r="G1348" s="8">
        <v>3.2078608769999999</v>
      </c>
      <c r="H1348" s="8">
        <v>41.521378230000003</v>
      </c>
      <c r="I1348" s="8">
        <v>27.82</v>
      </c>
      <c r="J1348" s="8">
        <v>779.19</v>
      </c>
      <c r="K1348" s="8">
        <v>3.57</v>
      </c>
      <c r="L1348" s="8">
        <v>158</v>
      </c>
      <c r="M1348" s="8">
        <v>931190465</v>
      </c>
      <c r="N1348" s="8">
        <v>-77.95</v>
      </c>
      <c r="O1348" s="8" t="str">
        <f>vw_scenario_analysis_dataset[[#This Row],[reporter_name]] &amp; "-" &amp; vw_scenario_analysis_dataset[[#This Row],[reference_year]]</f>
        <v>Sierra Leone-2017</v>
      </c>
    </row>
    <row r="1349" spans="1:15" x14ac:dyDescent="0.3">
      <c r="A1349" s="8" t="s">
        <v>316</v>
      </c>
      <c r="B1349" s="8" t="s">
        <v>317</v>
      </c>
      <c r="C1349" s="8">
        <v>2018</v>
      </c>
      <c r="D1349" s="8">
        <v>410736568.55199999</v>
      </c>
      <c r="E1349" s="8">
        <v>6390514689</v>
      </c>
      <c r="F1349" s="8">
        <v>7554563</v>
      </c>
      <c r="G1349" s="8">
        <v>2.8938564119999999</v>
      </c>
      <c r="H1349" s="8">
        <v>37.377460309999996</v>
      </c>
      <c r="I1349" s="8">
        <v>54.37</v>
      </c>
      <c r="J1349" s="8">
        <v>845.91</v>
      </c>
      <c r="K1349" s="8">
        <v>6.43</v>
      </c>
      <c r="L1349" s="8">
        <v>148</v>
      </c>
      <c r="M1349" s="8">
        <v>205303177.64199996</v>
      </c>
      <c r="N1349" s="8">
        <v>100.06</v>
      </c>
      <c r="O1349" s="8" t="str">
        <f>vw_scenario_analysis_dataset[[#This Row],[reporter_name]] &amp; "-" &amp; vw_scenario_analysis_dataset[[#This Row],[reference_year]]</f>
        <v>Sierra Leone-2018</v>
      </c>
    </row>
    <row r="1350" spans="1:15" x14ac:dyDescent="0.3">
      <c r="A1350" s="8" t="s">
        <v>318</v>
      </c>
      <c r="B1350" s="8" t="s">
        <v>319</v>
      </c>
      <c r="C1350" s="8">
        <v>2015</v>
      </c>
      <c r="D1350" s="8">
        <v>11018095380.139999</v>
      </c>
      <c r="E1350" s="8">
        <v>23438240000</v>
      </c>
      <c r="F1350" s="8">
        <v>6183676</v>
      </c>
      <c r="G1350" s="8">
        <v>2.4000000890000002</v>
      </c>
      <c r="H1350" s="8">
        <v>76.560270740000007</v>
      </c>
      <c r="I1350" s="8">
        <v>1781.8</v>
      </c>
      <c r="J1350" s="8">
        <v>3790.34</v>
      </c>
      <c r="K1350" s="8">
        <v>47.01</v>
      </c>
      <c r="L1350" s="8">
        <v>95</v>
      </c>
      <c r="M1350" s="8"/>
      <c r="N1350" s="8"/>
      <c r="O1350" s="8" t="str">
        <f>vw_scenario_analysis_dataset[[#This Row],[reporter_name]] &amp; "-" &amp; vw_scenario_analysis_dataset[[#This Row],[reference_year]]</f>
        <v>El Salvador-2015</v>
      </c>
    </row>
    <row r="1351" spans="1:15" x14ac:dyDescent="0.3">
      <c r="A1351" s="8" t="s">
        <v>318</v>
      </c>
      <c r="B1351" s="8" t="s">
        <v>319</v>
      </c>
      <c r="C1351" s="8">
        <v>2016</v>
      </c>
      <c r="D1351" s="8">
        <v>10840265794.560003</v>
      </c>
      <c r="E1351" s="8">
        <v>24191430000</v>
      </c>
      <c r="F1351" s="8">
        <v>6200800</v>
      </c>
      <c r="G1351" s="8">
        <v>2.5390624110000002</v>
      </c>
      <c r="H1351" s="8">
        <v>72.819093370000004</v>
      </c>
      <c r="I1351" s="8">
        <v>1748.2</v>
      </c>
      <c r="J1351" s="8">
        <v>3901.34</v>
      </c>
      <c r="K1351" s="8">
        <v>44.81</v>
      </c>
      <c r="L1351" s="8">
        <v>93</v>
      </c>
      <c r="M1351" s="8">
        <v>11018095380.139999</v>
      </c>
      <c r="N1351" s="8">
        <v>-1.61</v>
      </c>
      <c r="O1351" s="8" t="str">
        <f>vw_scenario_analysis_dataset[[#This Row],[reporter_name]] &amp; "-" &amp; vw_scenario_analysis_dataset[[#This Row],[reference_year]]</f>
        <v>El Salvador-2016</v>
      </c>
    </row>
    <row r="1352" spans="1:15" x14ac:dyDescent="0.3">
      <c r="A1352" s="8" t="s">
        <v>318</v>
      </c>
      <c r="B1352" s="8" t="s">
        <v>319</v>
      </c>
      <c r="C1352" s="8">
        <v>2017</v>
      </c>
      <c r="D1352" s="8">
        <v>11520030414.58</v>
      </c>
      <c r="E1352" s="8">
        <v>24979190000</v>
      </c>
      <c r="F1352" s="8">
        <v>6213533</v>
      </c>
      <c r="G1352" s="8">
        <v>2.2476190809999999</v>
      </c>
      <c r="H1352" s="8">
        <v>74.304651190000001</v>
      </c>
      <c r="I1352" s="8">
        <v>1854.02</v>
      </c>
      <c r="J1352" s="8">
        <v>4020.13</v>
      </c>
      <c r="K1352" s="8">
        <v>46.12</v>
      </c>
      <c r="L1352" s="8">
        <v>94</v>
      </c>
      <c r="M1352" s="8">
        <v>10840265794.560003</v>
      </c>
      <c r="N1352" s="8">
        <v>6.27</v>
      </c>
      <c r="O1352" s="8" t="str">
        <f>vw_scenario_analysis_dataset[[#This Row],[reporter_name]] &amp; "-" &amp; vw_scenario_analysis_dataset[[#This Row],[reference_year]]</f>
        <v>El Salvador-2017</v>
      </c>
    </row>
    <row r="1353" spans="1:15" x14ac:dyDescent="0.3">
      <c r="A1353" s="8" t="s">
        <v>318</v>
      </c>
      <c r="B1353" s="8" t="s">
        <v>319</v>
      </c>
      <c r="C1353" s="8">
        <v>2018</v>
      </c>
      <c r="D1353" s="8">
        <v>11810822421.859999</v>
      </c>
      <c r="E1353" s="8">
        <v>26020850000</v>
      </c>
      <c r="F1353" s="8">
        <v>6219807</v>
      </c>
      <c r="G1353" s="8">
        <v>2.4124442240000001</v>
      </c>
      <c r="H1353" s="8">
        <v>75.633616889999999</v>
      </c>
      <c r="I1353" s="8">
        <v>1898.9</v>
      </c>
      <c r="J1353" s="8">
        <v>4183.55</v>
      </c>
      <c r="K1353" s="8">
        <v>45.39</v>
      </c>
      <c r="L1353" s="8">
        <v>97</v>
      </c>
      <c r="M1353" s="8">
        <v>11520030414.58</v>
      </c>
      <c r="N1353" s="8">
        <v>2.52</v>
      </c>
      <c r="O1353" s="8" t="str">
        <f>vw_scenario_analysis_dataset[[#This Row],[reporter_name]] &amp; "-" &amp; vw_scenario_analysis_dataset[[#This Row],[reference_year]]</f>
        <v>El Salvador-2018</v>
      </c>
    </row>
    <row r="1354" spans="1:15" x14ac:dyDescent="0.3">
      <c r="A1354" s="8" t="s">
        <v>318</v>
      </c>
      <c r="B1354" s="8" t="s">
        <v>319</v>
      </c>
      <c r="C1354" s="8">
        <v>2019</v>
      </c>
      <c r="D1354" s="8">
        <v>11809912847.020002</v>
      </c>
      <c r="E1354" s="8">
        <v>26881140000</v>
      </c>
      <c r="F1354" s="8">
        <v>6222318</v>
      </c>
      <c r="G1354" s="8">
        <v>2.437471591</v>
      </c>
      <c r="H1354" s="8">
        <v>76.042013100000005</v>
      </c>
      <c r="I1354" s="8">
        <v>1897.99</v>
      </c>
      <c r="J1354" s="8">
        <v>4320.12</v>
      </c>
      <c r="K1354" s="8">
        <v>43.93</v>
      </c>
      <c r="L1354" s="8">
        <v>93</v>
      </c>
      <c r="M1354" s="8">
        <v>11810822421.859999</v>
      </c>
      <c r="N1354" s="8">
        <v>-0.01</v>
      </c>
      <c r="O1354" s="8" t="str">
        <f>vw_scenario_analysis_dataset[[#This Row],[reporter_name]] &amp; "-" &amp; vw_scenario_analysis_dataset[[#This Row],[reference_year]]</f>
        <v>El Salvador-2019</v>
      </c>
    </row>
    <row r="1355" spans="1:15" x14ac:dyDescent="0.3">
      <c r="A1355" s="8" t="s">
        <v>318</v>
      </c>
      <c r="B1355" s="8" t="s">
        <v>319</v>
      </c>
      <c r="C1355" s="8">
        <v>2020</v>
      </c>
      <c r="D1355" s="8">
        <v>9610899009.3600006</v>
      </c>
      <c r="E1355" s="8">
        <v>24921190000</v>
      </c>
      <c r="F1355" s="8">
        <v>6234673</v>
      </c>
      <c r="G1355" s="8">
        <v>-7.8931013600000002</v>
      </c>
      <c r="H1355" s="8">
        <v>66.459506950000005</v>
      </c>
      <c r="I1355" s="8">
        <v>1541.52</v>
      </c>
      <c r="J1355" s="8">
        <v>3997.19</v>
      </c>
      <c r="K1355" s="8">
        <v>38.57</v>
      </c>
      <c r="L1355" s="8">
        <v>97</v>
      </c>
      <c r="M1355" s="8">
        <v>11809912847.020002</v>
      </c>
      <c r="N1355" s="8">
        <v>-18.62</v>
      </c>
      <c r="O1355" s="8" t="str">
        <f>vw_scenario_analysis_dataset[[#This Row],[reporter_name]] &amp; "-" &amp; vw_scenario_analysis_dataset[[#This Row],[reference_year]]</f>
        <v>El Salvador-2020</v>
      </c>
    </row>
    <row r="1356" spans="1:15" x14ac:dyDescent="0.3">
      <c r="A1356" s="8" t="s">
        <v>318</v>
      </c>
      <c r="B1356" s="8" t="s">
        <v>319</v>
      </c>
      <c r="C1356" s="8">
        <v>2021</v>
      </c>
      <c r="D1356" s="8">
        <v>12789777831.819998</v>
      </c>
      <c r="E1356" s="8">
        <v>29043140000</v>
      </c>
      <c r="F1356" s="8">
        <v>6255782</v>
      </c>
      <c r="G1356" s="8">
        <v>11.9047617</v>
      </c>
      <c r="H1356" s="8">
        <v>81.845075980000004</v>
      </c>
      <c r="I1356" s="8">
        <v>2044.47</v>
      </c>
      <c r="J1356" s="8">
        <v>4642.6099999999997</v>
      </c>
      <c r="K1356" s="8">
        <v>44.04</v>
      </c>
      <c r="L1356" s="8">
        <v>96</v>
      </c>
      <c r="M1356" s="8">
        <v>9610899009.3600006</v>
      </c>
      <c r="N1356" s="8">
        <v>33.08</v>
      </c>
      <c r="O1356" s="8" t="str">
        <f>vw_scenario_analysis_dataset[[#This Row],[reporter_name]] &amp; "-" &amp; vw_scenario_analysis_dataset[[#This Row],[reference_year]]</f>
        <v>El Salvador-2021</v>
      </c>
    </row>
    <row r="1357" spans="1:15" x14ac:dyDescent="0.3">
      <c r="A1357" s="8" t="s">
        <v>318</v>
      </c>
      <c r="B1357" s="8" t="s">
        <v>319</v>
      </c>
      <c r="C1357" s="8">
        <v>2022</v>
      </c>
      <c r="D1357" s="8">
        <v>14230210487.360001</v>
      </c>
      <c r="E1357" s="8">
        <v>31870110000</v>
      </c>
      <c r="F1357" s="8">
        <v>6280319</v>
      </c>
      <c r="G1357" s="8">
        <v>2.9546041089999999</v>
      </c>
      <c r="H1357" s="8">
        <v>88.701137209999999</v>
      </c>
      <c r="I1357" s="8">
        <v>2265.84</v>
      </c>
      <c r="J1357" s="8">
        <v>5074.6000000000004</v>
      </c>
      <c r="K1357" s="8">
        <v>44.65</v>
      </c>
      <c r="L1357" s="8">
        <v>97</v>
      </c>
      <c r="M1357" s="8">
        <v>12789777831.819998</v>
      </c>
      <c r="N1357" s="8">
        <v>11.26</v>
      </c>
      <c r="O1357" s="8" t="str">
        <f>vw_scenario_analysis_dataset[[#This Row],[reporter_name]] &amp; "-" &amp; vw_scenario_analysis_dataset[[#This Row],[reference_year]]</f>
        <v>El Salvador-2022</v>
      </c>
    </row>
    <row r="1358" spans="1:15" x14ac:dyDescent="0.3">
      <c r="A1358" s="8" t="s">
        <v>318</v>
      </c>
      <c r="B1358" s="8" t="s">
        <v>319</v>
      </c>
      <c r="C1358" s="8">
        <v>2023</v>
      </c>
      <c r="D1358" s="8">
        <v>12996184484</v>
      </c>
      <c r="E1358" s="8">
        <v>33565430000</v>
      </c>
      <c r="F1358" s="8">
        <v>6309624</v>
      </c>
      <c r="G1358" s="8">
        <v>3.3550872159999998</v>
      </c>
      <c r="H1358" s="8">
        <v>79.812265179999997</v>
      </c>
      <c r="I1358" s="8">
        <v>2059.7399999999998</v>
      </c>
      <c r="J1358" s="8">
        <v>5319.72</v>
      </c>
      <c r="K1358" s="8">
        <v>38.72</v>
      </c>
      <c r="L1358" s="8">
        <v>98</v>
      </c>
      <c r="M1358" s="8">
        <v>14230210487.360001</v>
      </c>
      <c r="N1358" s="8">
        <v>-8.67</v>
      </c>
      <c r="O1358" s="8" t="str">
        <f>vw_scenario_analysis_dataset[[#This Row],[reporter_name]] &amp; "-" &amp; vw_scenario_analysis_dataset[[#This Row],[reference_year]]</f>
        <v>El Salvador-2023</v>
      </c>
    </row>
    <row r="1359" spans="1:15" x14ac:dyDescent="0.3">
      <c r="A1359" s="8" t="s">
        <v>318</v>
      </c>
      <c r="B1359" s="8" t="s">
        <v>319</v>
      </c>
      <c r="C1359" s="8">
        <v>2024</v>
      </c>
      <c r="D1359" s="8">
        <v>12622927603.640011</v>
      </c>
      <c r="E1359" s="8">
        <v>34879730000</v>
      </c>
      <c r="F1359" s="8">
        <v>6338193</v>
      </c>
      <c r="G1359" s="8">
        <v>2.5904637109999999</v>
      </c>
      <c r="H1359" s="8">
        <v>85.682572660000005</v>
      </c>
      <c r="I1359" s="8">
        <v>1991.57</v>
      </c>
      <c r="J1359" s="8">
        <v>5503.1</v>
      </c>
      <c r="K1359" s="8">
        <v>36.19</v>
      </c>
      <c r="L1359" s="8">
        <v>94</v>
      </c>
      <c r="M1359" s="8">
        <v>12996184484</v>
      </c>
      <c r="N1359" s="8">
        <v>-2.87</v>
      </c>
      <c r="O1359" s="8" t="str">
        <f>vw_scenario_analysis_dataset[[#This Row],[reporter_name]] &amp; "-" &amp; vw_scenario_analysis_dataset[[#This Row],[reference_year]]</f>
        <v>El Salvador-2024</v>
      </c>
    </row>
    <row r="1360" spans="1:15" x14ac:dyDescent="0.3">
      <c r="A1360" s="8" t="s">
        <v>320</v>
      </c>
      <c r="B1360" s="8" t="s">
        <v>321</v>
      </c>
      <c r="C1360" s="8">
        <v>2015</v>
      </c>
      <c r="D1360" s="8">
        <v>26757867596</v>
      </c>
      <c r="E1360" s="8">
        <v>41297410635</v>
      </c>
      <c r="F1360" s="8">
        <v>7095383</v>
      </c>
      <c r="G1360" s="8">
        <v>1.295738635</v>
      </c>
      <c r="H1360" s="8">
        <v>93.528147770000004</v>
      </c>
      <c r="I1360" s="8">
        <v>3771.17</v>
      </c>
      <c r="J1360" s="8">
        <v>5820.32</v>
      </c>
      <c r="K1360" s="8">
        <v>64.790000000000006</v>
      </c>
      <c r="L1360" s="8">
        <v>69</v>
      </c>
      <c r="M1360" s="8"/>
      <c r="N1360" s="8"/>
      <c r="O1360" s="8" t="str">
        <f>vw_scenario_analysis_dataset[[#This Row],[reporter_name]] &amp; "-" &amp; vw_scenario_analysis_dataset[[#This Row],[reference_year]]</f>
        <v>Serbia-2015</v>
      </c>
    </row>
    <row r="1361" spans="1:15" x14ac:dyDescent="0.3">
      <c r="A1361" s="8" t="s">
        <v>320</v>
      </c>
      <c r="B1361" s="8" t="s">
        <v>321</v>
      </c>
      <c r="C1361" s="8">
        <v>2016</v>
      </c>
      <c r="D1361" s="8">
        <v>29703554258</v>
      </c>
      <c r="E1361" s="8">
        <v>42225495910</v>
      </c>
      <c r="F1361" s="8">
        <v>7058322</v>
      </c>
      <c r="G1361" s="8">
        <v>2.975198072</v>
      </c>
      <c r="H1361" s="8">
        <v>97.690694039999997</v>
      </c>
      <c r="I1361" s="8">
        <v>4208.3</v>
      </c>
      <c r="J1361" s="8">
        <v>5982.37</v>
      </c>
      <c r="K1361" s="8">
        <v>70.349999999999994</v>
      </c>
      <c r="L1361" s="8">
        <v>66</v>
      </c>
      <c r="M1361" s="8">
        <v>26757867596</v>
      </c>
      <c r="N1361" s="8">
        <v>11.01</v>
      </c>
      <c r="O1361" s="8" t="str">
        <f>vw_scenario_analysis_dataset[[#This Row],[reporter_name]] &amp; "-" &amp; vw_scenario_analysis_dataset[[#This Row],[reference_year]]</f>
        <v>Serbia-2016</v>
      </c>
    </row>
    <row r="1362" spans="1:15" x14ac:dyDescent="0.3">
      <c r="A1362" s="8" t="s">
        <v>320</v>
      </c>
      <c r="B1362" s="8" t="s">
        <v>321</v>
      </c>
      <c r="C1362" s="8">
        <v>2017</v>
      </c>
      <c r="D1362" s="8">
        <v>33918080238</v>
      </c>
      <c r="E1362" s="8">
        <v>45972834714</v>
      </c>
      <c r="F1362" s="8">
        <v>7020858</v>
      </c>
      <c r="G1362" s="8">
        <v>2.363403125</v>
      </c>
      <c r="H1362" s="8">
        <v>102.7404452</v>
      </c>
      <c r="I1362" s="8">
        <v>4831.04</v>
      </c>
      <c r="J1362" s="8">
        <v>6548.04</v>
      </c>
      <c r="K1362" s="8">
        <v>73.78</v>
      </c>
      <c r="L1362" s="8">
        <v>65</v>
      </c>
      <c r="M1362" s="8">
        <v>29703554258</v>
      </c>
      <c r="N1362" s="8">
        <v>14.19</v>
      </c>
      <c r="O1362" s="8" t="str">
        <f>vw_scenario_analysis_dataset[[#This Row],[reporter_name]] &amp; "-" &amp; vw_scenario_analysis_dataset[[#This Row],[reference_year]]</f>
        <v>Serbia-2017</v>
      </c>
    </row>
    <row r="1363" spans="1:15" x14ac:dyDescent="0.3">
      <c r="A1363" s="8" t="s">
        <v>320</v>
      </c>
      <c r="B1363" s="8" t="s">
        <v>321</v>
      </c>
      <c r="C1363" s="8">
        <v>2018</v>
      </c>
      <c r="D1363" s="8">
        <v>38478253946</v>
      </c>
      <c r="E1363" s="8">
        <v>52787520249</v>
      </c>
      <c r="F1363" s="8">
        <v>6982604</v>
      </c>
      <c r="G1363" s="8">
        <v>4.6493503550000002</v>
      </c>
      <c r="H1363" s="8">
        <v>105.56371300000001</v>
      </c>
      <c r="I1363" s="8">
        <v>5510.59</v>
      </c>
      <c r="J1363" s="8">
        <v>7559.86</v>
      </c>
      <c r="K1363" s="8">
        <v>72.89</v>
      </c>
      <c r="L1363" s="8">
        <v>66</v>
      </c>
      <c r="M1363" s="8">
        <v>33918080238</v>
      </c>
      <c r="N1363" s="8">
        <v>13.44</v>
      </c>
      <c r="O1363" s="8" t="str">
        <f>vw_scenario_analysis_dataset[[#This Row],[reporter_name]] &amp; "-" &amp; vw_scenario_analysis_dataset[[#This Row],[reference_year]]</f>
        <v>Serbia-2018</v>
      </c>
    </row>
    <row r="1364" spans="1:15" x14ac:dyDescent="0.3">
      <c r="A1364" s="8" t="s">
        <v>320</v>
      </c>
      <c r="B1364" s="8" t="s">
        <v>321</v>
      </c>
      <c r="C1364" s="8">
        <v>2019</v>
      </c>
      <c r="D1364" s="8">
        <v>39266097036</v>
      </c>
      <c r="E1364" s="8">
        <v>53864693665</v>
      </c>
      <c r="F1364" s="8">
        <v>6945235</v>
      </c>
      <c r="G1364" s="8">
        <v>4.750207939</v>
      </c>
      <c r="H1364" s="8">
        <v>107.5773095</v>
      </c>
      <c r="I1364" s="8">
        <v>5653.67</v>
      </c>
      <c r="J1364" s="8">
        <v>7755.63</v>
      </c>
      <c r="K1364" s="8">
        <v>72.900000000000006</v>
      </c>
      <c r="L1364" s="8">
        <v>64</v>
      </c>
      <c r="M1364" s="8">
        <v>38478253946</v>
      </c>
      <c r="N1364" s="8">
        <v>2.0499999999999998</v>
      </c>
      <c r="O1364" s="8" t="str">
        <f>vw_scenario_analysis_dataset[[#This Row],[reporter_name]] &amp; "-" &amp; vw_scenario_analysis_dataset[[#This Row],[reference_year]]</f>
        <v>Serbia-2019</v>
      </c>
    </row>
    <row r="1365" spans="1:15" x14ac:dyDescent="0.3">
      <c r="A1365" s="8" t="s">
        <v>320</v>
      </c>
      <c r="B1365" s="8" t="s">
        <v>321</v>
      </c>
      <c r="C1365" s="8">
        <v>2020</v>
      </c>
      <c r="D1365" s="8">
        <v>39001659080</v>
      </c>
      <c r="E1365" s="8">
        <v>55874017669</v>
      </c>
      <c r="F1365" s="8">
        <v>6899126</v>
      </c>
      <c r="G1365" s="8">
        <v>-0.95002399199999998</v>
      </c>
      <c r="H1365" s="8">
        <v>100.3244608</v>
      </c>
      <c r="I1365" s="8">
        <v>5653.13</v>
      </c>
      <c r="J1365" s="8">
        <v>8098.71</v>
      </c>
      <c r="K1365" s="8">
        <v>69.8</v>
      </c>
      <c r="L1365" s="8">
        <v>62</v>
      </c>
      <c r="M1365" s="8">
        <v>39266097036</v>
      </c>
      <c r="N1365" s="8">
        <v>-0.67</v>
      </c>
      <c r="O1365" s="8" t="str">
        <f>vw_scenario_analysis_dataset[[#This Row],[reporter_name]] &amp; "-" &amp; vw_scenario_analysis_dataset[[#This Row],[reference_year]]</f>
        <v>Serbia-2020</v>
      </c>
    </row>
    <row r="1366" spans="1:15" x14ac:dyDescent="0.3">
      <c r="A1366" s="8" t="s">
        <v>320</v>
      </c>
      <c r="B1366" s="8" t="s">
        <v>321</v>
      </c>
      <c r="C1366" s="8">
        <v>2021</v>
      </c>
      <c r="D1366" s="8">
        <v>51132321830</v>
      </c>
      <c r="E1366" s="8">
        <v>66159884073</v>
      </c>
      <c r="F1366" s="8">
        <v>6834326</v>
      </c>
      <c r="G1366" s="8">
        <v>7.9490565049999997</v>
      </c>
      <c r="H1366" s="8">
        <v>112.3422983</v>
      </c>
      <c r="I1366" s="8">
        <v>7481.69</v>
      </c>
      <c r="J1366" s="8">
        <v>9680.5300000000007</v>
      </c>
      <c r="K1366" s="8">
        <v>77.290000000000006</v>
      </c>
      <c r="L1366" s="8">
        <v>62</v>
      </c>
      <c r="M1366" s="8">
        <v>39001659080</v>
      </c>
      <c r="N1366" s="8">
        <v>31.1</v>
      </c>
      <c r="O1366" s="8" t="str">
        <f>vw_scenario_analysis_dataset[[#This Row],[reporter_name]] &amp; "-" &amp; vw_scenario_analysis_dataset[[#This Row],[reference_year]]</f>
        <v>Serbia-2021</v>
      </c>
    </row>
    <row r="1367" spans="1:15" x14ac:dyDescent="0.3">
      <c r="A1367" s="8" t="s">
        <v>320</v>
      </c>
      <c r="B1367" s="8" t="s">
        <v>321</v>
      </c>
      <c r="C1367" s="8">
        <v>2022</v>
      </c>
      <c r="D1367" s="8">
        <v>58119023430</v>
      </c>
      <c r="E1367" s="8">
        <v>66809895701</v>
      </c>
      <c r="F1367" s="8">
        <v>6664449</v>
      </c>
      <c r="G1367" s="8">
        <v>2.703477055</v>
      </c>
      <c r="H1367" s="8">
        <v>131.91329229999999</v>
      </c>
      <c r="I1367" s="8">
        <v>8720.75</v>
      </c>
      <c r="J1367" s="8">
        <v>10024.82</v>
      </c>
      <c r="K1367" s="8">
        <v>86.99</v>
      </c>
      <c r="L1367" s="8">
        <v>61</v>
      </c>
      <c r="M1367" s="8">
        <v>51132321830</v>
      </c>
      <c r="N1367" s="8">
        <v>13.66</v>
      </c>
      <c r="O1367" s="8" t="str">
        <f>vw_scenario_analysis_dataset[[#This Row],[reporter_name]] &amp; "-" &amp; vw_scenario_analysis_dataset[[#This Row],[reference_year]]</f>
        <v>Serbia-2022</v>
      </c>
    </row>
    <row r="1368" spans="1:15" x14ac:dyDescent="0.3">
      <c r="A1368" s="8" t="s">
        <v>320</v>
      </c>
      <c r="B1368" s="8" t="s">
        <v>321</v>
      </c>
      <c r="C1368" s="8">
        <v>2023</v>
      </c>
      <c r="D1368" s="8">
        <v>61869192308</v>
      </c>
      <c r="E1368" s="8">
        <v>81343999280</v>
      </c>
      <c r="F1368" s="8">
        <v>6623183</v>
      </c>
      <c r="G1368" s="8">
        <v>3.7479330360000001</v>
      </c>
      <c r="H1368" s="8">
        <v>114.49206460000001</v>
      </c>
      <c r="I1368" s="8">
        <v>9341.31</v>
      </c>
      <c r="J1368" s="8">
        <v>12281.71</v>
      </c>
      <c r="K1368" s="8">
        <v>76.06</v>
      </c>
      <c r="L1368" s="8">
        <v>59</v>
      </c>
      <c r="M1368" s="8">
        <v>58119023430</v>
      </c>
      <c r="N1368" s="8">
        <v>6.45</v>
      </c>
      <c r="O1368" s="8" t="str">
        <f>vw_scenario_analysis_dataset[[#This Row],[reporter_name]] &amp; "-" &amp; vw_scenario_analysis_dataset[[#This Row],[reference_year]]</f>
        <v>Serbia-2023</v>
      </c>
    </row>
    <row r="1369" spans="1:15" x14ac:dyDescent="0.3">
      <c r="A1369" s="8" t="s">
        <v>320</v>
      </c>
      <c r="B1369" s="8" t="s">
        <v>321</v>
      </c>
      <c r="C1369" s="8">
        <v>2024</v>
      </c>
      <c r="D1369" s="8">
        <v>66076295424</v>
      </c>
      <c r="E1369" s="8">
        <v>90088366320</v>
      </c>
      <c r="F1369" s="8">
        <v>6586476</v>
      </c>
      <c r="G1369" s="8">
        <v>3.9499262260000001</v>
      </c>
      <c r="H1369" s="8">
        <v>111.7250284</v>
      </c>
      <c r="I1369" s="8">
        <v>10032.120000000001</v>
      </c>
      <c r="J1369" s="8">
        <v>13677.78</v>
      </c>
      <c r="K1369" s="8">
        <v>73.349999999999994</v>
      </c>
      <c r="L1369" s="8">
        <v>56</v>
      </c>
      <c r="M1369" s="8">
        <v>61869192308</v>
      </c>
      <c r="N1369" s="8">
        <v>6.8</v>
      </c>
      <c r="O1369" s="8" t="str">
        <f>vw_scenario_analysis_dataset[[#This Row],[reporter_name]] &amp; "-" &amp; vw_scenario_analysis_dataset[[#This Row],[reference_year]]</f>
        <v>Serbia-2024</v>
      </c>
    </row>
    <row r="1370" spans="1:15" x14ac:dyDescent="0.3">
      <c r="A1370" s="8" t="s">
        <v>322</v>
      </c>
      <c r="B1370" s="8" t="s">
        <v>323</v>
      </c>
      <c r="C1370" s="8">
        <v>2015</v>
      </c>
      <c r="D1370" s="8">
        <v>18446364</v>
      </c>
      <c r="E1370" s="8">
        <v>259999643</v>
      </c>
      <c r="F1370" s="8">
        <v>200291</v>
      </c>
      <c r="G1370" s="8">
        <v>1.5397042830000001</v>
      </c>
      <c r="H1370" s="8">
        <v>112.6595793</v>
      </c>
      <c r="I1370" s="8">
        <v>92.1</v>
      </c>
      <c r="J1370" s="8">
        <v>1298.1099999999999</v>
      </c>
      <c r="K1370" s="8">
        <v>7.09</v>
      </c>
      <c r="L1370" s="8">
        <v>166</v>
      </c>
      <c r="M1370" s="8"/>
      <c r="N1370" s="8"/>
      <c r="O1370" s="8" t="str">
        <f>vw_scenario_analysis_dataset[[#This Row],[reporter_name]] &amp; "-" &amp; vw_scenario_analysis_dataset[[#This Row],[reference_year]]</f>
        <v>Sao Tome and Principe-2015</v>
      </c>
    </row>
    <row r="1371" spans="1:15" x14ac:dyDescent="0.3">
      <c r="A1371" s="8" t="s">
        <v>322</v>
      </c>
      <c r="B1371" s="8" t="s">
        <v>323</v>
      </c>
      <c r="C1371" s="8">
        <v>2016</v>
      </c>
      <c r="D1371" s="8">
        <v>20947870</v>
      </c>
      <c r="E1371" s="8">
        <v>292267272.19999999</v>
      </c>
      <c r="F1371" s="8">
        <v>203689</v>
      </c>
      <c r="G1371" s="8">
        <v>5.1768246869999999</v>
      </c>
      <c r="H1371" s="8">
        <v>100.3954706</v>
      </c>
      <c r="I1371" s="8">
        <v>102.84</v>
      </c>
      <c r="J1371" s="8">
        <v>1434.87</v>
      </c>
      <c r="K1371" s="8">
        <v>7.17</v>
      </c>
      <c r="L1371" s="8">
        <v>169</v>
      </c>
      <c r="M1371" s="8">
        <v>18446364</v>
      </c>
      <c r="N1371" s="8">
        <v>13.56</v>
      </c>
      <c r="O1371" s="8" t="str">
        <f>vw_scenario_analysis_dataset[[#This Row],[reporter_name]] &amp; "-" &amp; vw_scenario_analysis_dataset[[#This Row],[reference_year]]</f>
        <v>Sao Tome and Principe-2016</v>
      </c>
    </row>
    <row r="1372" spans="1:15" x14ac:dyDescent="0.3">
      <c r="A1372" s="8" t="s">
        <v>322</v>
      </c>
      <c r="B1372" s="8" t="s">
        <v>323</v>
      </c>
      <c r="C1372" s="8">
        <v>2017</v>
      </c>
      <c r="D1372" s="8">
        <v>21125181.846000005</v>
      </c>
      <c r="E1372" s="8">
        <v>322002845.19999999</v>
      </c>
      <c r="F1372" s="8">
        <v>206970</v>
      </c>
      <c r="G1372" s="8">
        <v>4.112979663</v>
      </c>
      <c r="H1372" s="8">
        <v>92.897361759999995</v>
      </c>
      <c r="I1372" s="8">
        <v>102.07</v>
      </c>
      <c r="J1372" s="8">
        <v>1555.79</v>
      </c>
      <c r="K1372" s="8">
        <v>6.56</v>
      </c>
      <c r="L1372" s="8">
        <v>173</v>
      </c>
      <c r="M1372" s="8">
        <v>20947870</v>
      </c>
      <c r="N1372" s="8">
        <v>0.85</v>
      </c>
      <c r="O1372" s="8" t="str">
        <f>vw_scenario_analysis_dataset[[#This Row],[reporter_name]] &amp; "-" &amp; vw_scenario_analysis_dataset[[#This Row],[reference_year]]</f>
        <v>Sao Tome and Principe-2017</v>
      </c>
    </row>
    <row r="1373" spans="1:15" x14ac:dyDescent="0.3">
      <c r="A1373" s="8" t="s">
        <v>322</v>
      </c>
      <c r="B1373" s="8" t="s">
        <v>323</v>
      </c>
      <c r="C1373" s="8">
        <v>2018</v>
      </c>
      <c r="D1373" s="8">
        <v>24174604.910999995</v>
      </c>
      <c r="E1373" s="8">
        <v>383717327.80000001</v>
      </c>
      <c r="F1373" s="8">
        <v>210187</v>
      </c>
      <c r="G1373" s="8">
        <v>4.378128083</v>
      </c>
      <c r="H1373" s="8">
        <v>79.200290140000007</v>
      </c>
      <c r="I1373" s="8">
        <v>115.01</v>
      </c>
      <c r="J1373" s="8">
        <v>1825.6</v>
      </c>
      <c r="K1373" s="8">
        <v>6.3</v>
      </c>
      <c r="L1373" s="8">
        <v>167</v>
      </c>
      <c r="M1373" s="8">
        <v>21125181.846000005</v>
      </c>
      <c r="N1373" s="8">
        <v>14.44</v>
      </c>
      <c r="O1373" s="8" t="str">
        <f>vw_scenario_analysis_dataset[[#This Row],[reporter_name]] &amp; "-" &amp; vw_scenario_analysis_dataset[[#This Row],[reference_year]]</f>
        <v>Sao Tome and Principe-2018</v>
      </c>
    </row>
    <row r="1374" spans="1:15" x14ac:dyDescent="0.3">
      <c r="A1374" s="8" t="s">
        <v>322</v>
      </c>
      <c r="B1374" s="8" t="s">
        <v>323</v>
      </c>
      <c r="C1374" s="8">
        <v>2019</v>
      </c>
      <c r="D1374" s="8">
        <v>19717777.900999997</v>
      </c>
      <c r="E1374" s="8">
        <v>412976082.60000002</v>
      </c>
      <c r="F1374" s="8">
        <v>213392</v>
      </c>
      <c r="G1374" s="8">
        <v>2.0143167210000001</v>
      </c>
      <c r="H1374" s="8">
        <v>67.574798999999999</v>
      </c>
      <c r="I1374" s="8">
        <v>92.4</v>
      </c>
      <c r="J1374" s="8">
        <v>1935.29</v>
      </c>
      <c r="K1374" s="8">
        <v>4.7699999999999996</v>
      </c>
      <c r="L1374" s="8">
        <v>165</v>
      </c>
      <c r="M1374" s="8">
        <v>24174604.910999995</v>
      </c>
      <c r="N1374" s="8">
        <v>-18.440000000000001</v>
      </c>
      <c r="O1374" s="8" t="str">
        <f>vw_scenario_analysis_dataset[[#This Row],[reporter_name]] &amp; "-" &amp; vw_scenario_analysis_dataset[[#This Row],[reference_year]]</f>
        <v>Sao Tome and Principe-2019</v>
      </c>
    </row>
    <row r="1375" spans="1:15" x14ac:dyDescent="0.3">
      <c r="A1375" s="8" t="s">
        <v>322</v>
      </c>
      <c r="B1375" s="8" t="s">
        <v>323</v>
      </c>
      <c r="C1375" s="8">
        <v>2020</v>
      </c>
      <c r="D1375" s="8">
        <v>24879114.221999999</v>
      </c>
      <c r="E1375" s="8">
        <v>471229484.60000002</v>
      </c>
      <c r="F1375" s="8">
        <v>217435</v>
      </c>
      <c r="G1375" s="8">
        <v>2.6248594949999999</v>
      </c>
      <c r="H1375" s="8">
        <v>48.66400797</v>
      </c>
      <c r="I1375" s="8">
        <v>114.42</v>
      </c>
      <c r="J1375" s="8">
        <v>2167.2199999999998</v>
      </c>
      <c r="K1375" s="8">
        <v>5.28</v>
      </c>
      <c r="L1375" s="8">
        <v>161</v>
      </c>
      <c r="M1375" s="8">
        <v>19717777.900999997</v>
      </c>
      <c r="N1375" s="8">
        <v>26.18</v>
      </c>
      <c r="O1375" s="8" t="str">
        <f>vw_scenario_analysis_dataset[[#This Row],[reporter_name]] &amp; "-" &amp; vw_scenario_analysis_dataset[[#This Row],[reference_year]]</f>
        <v>Sao Tome and Principe-2020</v>
      </c>
    </row>
    <row r="1376" spans="1:15" x14ac:dyDescent="0.3">
      <c r="A1376" s="8" t="s">
        <v>322</v>
      </c>
      <c r="B1376" s="8" t="s">
        <v>323</v>
      </c>
      <c r="C1376" s="8">
        <v>2021</v>
      </c>
      <c r="D1376" s="8">
        <v>38349691.408</v>
      </c>
      <c r="E1376" s="8">
        <v>524402455.5</v>
      </c>
      <c r="F1376" s="8">
        <v>221961</v>
      </c>
      <c r="G1376" s="8">
        <v>1.899298913</v>
      </c>
      <c r="H1376" s="8">
        <v>57.940347320000001</v>
      </c>
      <c r="I1376" s="8">
        <v>172.78</v>
      </c>
      <c r="J1376" s="8">
        <v>2362.59</v>
      </c>
      <c r="K1376" s="8">
        <v>7.31</v>
      </c>
      <c r="L1376" s="8">
        <v>157</v>
      </c>
      <c r="M1376" s="8">
        <v>24879114.221999999</v>
      </c>
      <c r="N1376" s="8">
        <v>54.14</v>
      </c>
      <c r="O1376" s="8" t="str">
        <f>vw_scenario_analysis_dataset[[#This Row],[reporter_name]] &amp; "-" &amp; vw_scenario_analysis_dataset[[#This Row],[reference_year]]</f>
        <v>Sao Tome and Principe-2021</v>
      </c>
    </row>
    <row r="1377" spans="1:15" x14ac:dyDescent="0.3">
      <c r="A1377" s="8" t="s">
        <v>322</v>
      </c>
      <c r="B1377" s="8" t="s">
        <v>323</v>
      </c>
      <c r="C1377" s="8">
        <v>2022</v>
      </c>
      <c r="D1377" s="8">
        <v>45177922.011</v>
      </c>
      <c r="E1377" s="8">
        <v>540809499.20000005</v>
      </c>
      <c r="F1377" s="8">
        <v>226305</v>
      </c>
      <c r="G1377" s="8">
        <v>0.16869849200000001</v>
      </c>
      <c r="H1377" s="8">
        <v>64.992037909999993</v>
      </c>
      <c r="I1377" s="8">
        <v>199.63</v>
      </c>
      <c r="J1377" s="8">
        <v>2389.7399999999998</v>
      </c>
      <c r="K1377" s="8">
        <v>8.35</v>
      </c>
      <c r="L1377" s="8">
        <v>157</v>
      </c>
      <c r="M1377" s="8">
        <v>38349691.408</v>
      </c>
      <c r="N1377" s="8">
        <v>17.809999999999999</v>
      </c>
      <c r="O1377" s="8" t="str">
        <f>vw_scenario_analysis_dataset[[#This Row],[reporter_name]] &amp; "-" &amp; vw_scenario_analysis_dataset[[#This Row],[reference_year]]</f>
        <v>Sao Tome and Principe-2022</v>
      </c>
    </row>
    <row r="1378" spans="1:15" x14ac:dyDescent="0.3">
      <c r="A1378" s="8" t="s">
        <v>322</v>
      </c>
      <c r="B1378" s="8" t="s">
        <v>323</v>
      </c>
      <c r="C1378" s="8">
        <v>2023</v>
      </c>
      <c r="D1378" s="8">
        <v>33109137.740000006</v>
      </c>
      <c r="E1378" s="8">
        <v>690456806.70000005</v>
      </c>
      <c r="F1378" s="8">
        <v>230871</v>
      </c>
      <c r="G1378" s="8">
        <v>0.37225277499999998</v>
      </c>
      <c r="H1378" s="8">
        <v>46.974578729999998</v>
      </c>
      <c r="I1378" s="8">
        <v>143.41</v>
      </c>
      <c r="J1378" s="8">
        <v>2990.66</v>
      </c>
      <c r="K1378" s="8">
        <v>4.8</v>
      </c>
      <c r="L1378" s="8">
        <v>156</v>
      </c>
      <c r="M1378" s="8">
        <v>45177922.011</v>
      </c>
      <c r="N1378" s="8">
        <v>-26.71</v>
      </c>
      <c r="O1378" s="8" t="str">
        <f>vw_scenario_analysis_dataset[[#This Row],[reporter_name]] &amp; "-" &amp; vw_scenario_analysis_dataset[[#This Row],[reference_year]]</f>
        <v>Sao Tome and Principe-2023</v>
      </c>
    </row>
    <row r="1379" spans="1:15" x14ac:dyDescent="0.3">
      <c r="A1379" s="8" t="s">
        <v>324</v>
      </c>
      <c r="B1379" s="8" t="s">
        <v>325</v>
      </c>
      <c r="C1379" s="8">
        <v>2015</v>
      </c>
      <c r="D1379" s="8">
        <v>3628633343.4809995</v>
      </c>
      <c r="E1379" s="8">
        <v>5126237646</v>
      </c>
      <c r="F1379" s="8">
        <v>581627</v>
      </c>
      <c r="G1379" s="8">
        <v>-3.4130426809999999</v>
      </c>
      <c r="H1379" s="8"/>
      <c r="I1379" s="8">
        <v>6238.76</v>
      </c>
      <c r="J1379" s="8">
        <v>8813.6200000000008</v>
      </c>
      <c r="K1379" s="8">
        <v>70.790000000000006</v>
      </c>
      <c r="L1379" s="8">
        <v>121</v>
      </c>
      <c r="M1379" s="8"/>
      <c r="N1379" s="8"/>
      <c r="O1379" s="8" t="str">
        <f>vw_scenario_analysis_dataset[[#This Row],[reporter_name]] &amp; "-" &amp; vw_scenario_analysis_dataset[[#This Row],[reference_year]]</f>
        <v>Suriname-2015</v>
      </c>
    </row>
    <row r="1380" spans="1:15" x14ac:dyDescent="0.3">
      <c r="A1380" s="8" t="s">
        <v>324</v>
      </c>
      <c r="B1380" s="8" t="s">
        <v>325</v>
      </c>
      <c r="C1380" s="8">
        <v>2016</v>
      </c>
      <c r="D1380" s="8">
        <v>2470566352.9679999</v>
      </c>
      <c r="E1380" s="8">
        <v>3317421648</v>
      </c>
      <c r="F1380" s="8">
        <v>587757</v>
      </c>
      <c r="G1380" s="8">
        <v>-4.9116605089999998</v>
      </c>
      <c r="H1380" s="8"/>
      <c r="I1380" s="8">
        <v>4203.38</v>
      </c>
      <c r="J1380" s="8">
        <v>5644.21</v>
      </c>
      <c r="K1380" s="8">
        <v>74.47</v>
      </c>
      <c r="L1380" s="8">
        <v>129</v>
      </c>
      <c r="M1380" s="8">
        <v>3628633343.4809995</v>
      </c>
      <c r="N1380" s="8">
        <v>-31.91</v>
      </c>
      <c r="O1380" s="8" t="str">
        <f>vw_scenario_analysis_dataset[[#This Row],[reporter_name]] &amp; "-" &amp; vw_scenario_analysis_dataset[[#This Row],[reference_year]]</f>
        <v>Suriname-2016</v>
      </c>
    </row>
    <row r="1381" spans="1:15" x14ac:dyDescent="0.3">
      <c r="A1381" s="8" t="s">
        <v>324</v>
      </c>
      <c r="B1381" s="8" t="s">
        <v>325</v>
      </c>
      <c r="C1381" s="8">
        <v>2017</v>
      </c>
      <c r="D1381" s="8">
        <v>4134787453.421999</v>
      </c>
      <c r="E1381" s="8">
        <v>3591679431</v>
      </c>
      <c r="F1381" s="8">
        <v>593713</v>
      </c>
      <c r="G1381" s="8">
        <v>1.566037825</v>
      </c>
      <c r="H1381" s="8"/>
      <c r="I1381" s="8">
        <v>6964.29</v>
      </c>
      <c r="J1381" s="8">
        <v>6049.52</v>
      </c>
      <c r="K1381" s="8">
        <v>115.12</v>
      </c>
      <c r="L1381" s="8">
        <v>123</v>
      </c>
      <c r="M1381" s="8">
        <v>2470566352.9679999</v>
      </c>
      <c r="N1381" s="8">
        <v>67.36</v>
      </c>
      <c r="O1381" s="8" t="str">
        <f>vw_scenario_analysis_dataset[[#This Row],[reporter_name]] &amp; "-" &amp; vw_scenario_analysis_dataset[[#This Row],[reference_year]]</f>
        <v>Suriname-2017</v>
      </c>
    </row>
    <row r="1382" spans="1:15" x14ac:dyDescent="0.3">
      <c r="A1382" s="8" t="s">
        <v>324</v>
      </c>
      <c r="B1382" s="8" t="s">
        <v>325</v>
      </c>
      <c r="C1382" s="8">
        <v>2018</v>
      </c>
      <c r="D1382" s="8">
        <v>4359901169.7790012</v>
      </c>
      <c r="E1382" s="8">
        <v>3996198867</v>
      </c>
      <c r="F1382" s="8">
        <v>599513</v>
      </c>
      <c r="G1382" s="8">
        <v>4.948271085</v>
      </c>
      <c r="H1382" s="8"/>
      <c r="I1382" s="8">
        <v>7272.4</v>
      </c>
      <c r="J1382" s="8">
        <v>6665.74</v>
      </c>
      <c r="K1382" s="8">
        <v>109.1</v>
      </c>
      <c r="L1382" s="8">
        <v>119</v>
      </c>
      <c r="M1382" s="8">
        <v>4134787453.421999</v>
      </c>
      <c r="N1382" s="8">
        <v>5.44</v>
      </c>
      <c r="O1382" s="8" t="str">
        <f>vw_scenario_analysis_dataset[[#This Row],[reporter_name]] &amp; "-" &amp; vw_scenario_analysis_dataset[[#This Row],[reference_year]]</f>
        <v>Suriname-2018</v>
      </c>
    </row>
    <row r="1383" spans="1:15" x14ac:dyDescent="0.3">
      <c r="A1383" s="8" t="s">
        <v>324</v>
      </c>
      <c r="B1383" s="8" t="s">
        <v>325</v>
      </c>
      <c r="C1383" s="8">
        <v>2019</v>
      </c>
      <c r="D1383" s="8">
        <v>4310265113.1350002</v>
      </c>
      <c r="E1383" s="8">
        <v>4016040575</v>
      </c>
      <c r="F1383" s="8">
        <v>605768</v>
      </c>
      <c r="G1383" s="8">
        <v>1.1675897719999999</v>
      </c>
      <c r="H1383" s="8"/>
      <c r="I1383" s="8">
        <v>7115.37</v>
      </c>
      <c r="J1383" s="8">
        <v>6629.67</v>
      </c>
      <c r="K1383" s="8">
        <v>107.33</v>
      </c>
      <c r="L1383" s="8">
        <v>120</v>
      </c>
      <c r="M1383" s="8">
        <v>4359901169.7790012</v>
      </c>
      <c r="N1383" s="8">
        <v>-1.1399999999999999</v>
      </c>
      <c r="O1383" s="8" t="str">
        <f>vw_scenario_analysis_dataset[[#This Row],[reporter_name]] &amp; "-" &amp; vw_scenario_analysis_dataset[[#This Row],[reference_year]]</f>
        <v>Suriname-2019</v>
      </c>
    </row>
    <row r="1384" spans="1:15" x14ac:dyDescent="0.3">
      <c r="A1384" s="8" t="s">
        <v>324</v>
      </c>
      <c r="B1384" s="8" t="s">
        <v>325</v>
      </c>
      <c r="C1384" s="8">
        <v>2020</v>
      </c>
      <c r="D1384" s="8">
        <v>4386697872.6589994</v>
      </c>
      <c r="E1384" s="8">
        <v>2911807496</v>
      </c>
      <c r="F1384" s="8">
        <v>612317</v>
      </c>
      <c r="G1384" s="8">
        <v>-15.975191710000001</v>
      </c>
      <c r="H1384" s="8"/>
      <c r="I1384" s="8">
        <v>7164.1</v>
      </c>
      <c r="J1384" s="8">
        <v>4755.3900000000003</v>
      </c>
      <c r="K1384" s="8">
        <v>150.65</v>
      </c>
      <c r="L1384" s="8">
        <v>118</v>
      </c>
      <c r="M1384" s="8">
        <v>4310265113.1350002</v>
      </c>
      <c r="N1384" s="8">
        <v>1.77</v>
      </c>
      <c r="O1384" s="8" t="str">
        <f>vw_scenario_analysis_dataset[[#This Row],[reporter_name]] &amp; "-" &amp; vw_scenario_analysis_dataset[[#This Row],[reference_year]]</f>
        <v>Suriname-2020</v>
      </c>
    </row>
    <row r="1385" spans="1:15" x14ac:dyDescent="0.3">
      <c r="A1385" s="8" t="s">
        <v>324</v>
      </c>
      <c r="B1385" s="8" t="s">
        <v>325</v>
      </c>
      <c r="C1385" s="8">
        <v>2021</v>
      </c>
      <c r="D1385" s="8">
        <v>4582651654.0799999</v>
      </c>
      <c r="E1385" s="8">
        <v>3107923198</v>
      </c>
      <c r="F1385" s="8">
        <v>617896</v>
      </c>
      <c r="G1385" s="8">
        <v>-2.435385836</v>
      </c>
      <c r="H1385" s="8"/>
      <c r="I1385" s="8">
        <v>7416.54</v>
      </c>
      <c r="J1385" s="8">
        <v>5029.8500000000004</v>
      </c>
      <c r="K1385" s="8">
        <v>147.44999999999999</v>
      </c>
      <c r="L1385" s="8">
        <v>122</v>
      </c>
      <c r="M1385" s="8">
        <v>4386697872.6589994</v>
      </c>
      <c r="N1385" s="8">
        <v>4.47</v>
      </c>
      <c r="O1385" s="8" t="str">
        <f>vw_scenario_analysis_dataset[[#This Row],[reporter_name]] &amp; "-" &amp; vw_scenario_analysis_dataset[[#This Row],[reference_year]]</f>
        <v>Suriname-2021</v>
      </c>
    </row>
    <row r="1386" spans="1:15" x14ac:dyDescent="0.3">
      <c r="A1386" s="8" t="s">
        <v>324</v>
      </c>
      <c r="B1386" s="8" t="s">
        <v>325</v>
      </c>
      <c r="C1386" s="8">
        <v>2022</v>
      </c>
      <c r="D1386" s="8">
        <v>5672564753.1999989</v>
      </c>
      <c r="E1386" s="8">
        <v>3791603200</v>
      </c>
      <c r="F1386" s="8">
        <v>623164</v>
      </c>
      <c r="G1386" s="8">
        <v>2.4062223559999998</v>
      </c>
      <c r="H1386" s="8"/>
      <c r="I1386" s="8">
        <v>9102.84</v>
      </c>
      <c r="J1386" s="8">
        <v>6084.44</v>
      </c>
      <c r="K1386" s="8">
        <v>149.61000000000001</v>
      </c>
      <c r="L1386" s="8">
        <v>118</v>
      </c>
      <c r="M1386" s="8">
        <v>4582651654.0799999</v>
      </c>
      <c r="N1386" s="8">
        <v>23.78</v>
      </c>
      <c r="O1386" s="8" t="str">
        <f>vw_scenario_analysis_dataset[[#This Row],[reporter_name]] &amp; "-" &amp; vw_scenario_analysis_dataset[[#This Row],[reference_year]]</f>
        <v>Suriname-2022</v>
      </c>
    </row>
    <row r="1387" spans="1:15" x14ac:dyDescent="0.3">
      <c r="A1387" s="8" t="s">
        <v>324</v>
      </c>
      <c r="B1387" s="8" t="s">
        <v>325</v>
      </c>
      <c r="C1387" s="8">
        <v>2023</v>
      </c>
      <c r="D1387" s="8">
        <v>4621799595.9909992</v>
      </c>
      <c r="E1387" s="8">
        <v>3472693412</v>
      </c>
      <c r="F1387" s="8">
        <v>628886</v>
      </c>
      <c r="G1387" s="8">
        <v>2.41659215</v>
      </c>
      <c r="H1387" s="8"/>
      <c r="I1387" s="8">
        <v>7349.19</v>
      </c>
      <c r="J1387" s="8">
        <v>5521.98</v>
      </c>
      <c r="K1387" s="8">
        <v>133.09</v>
      </c>
      <c r="L1387" s="8">
        <v>119</v>
      </c>
      <c r="M1387" s="8">
        <v>5672564753.1999989</v>
      </c>
      <c r="N1387" s="8">
        <v>-18.52</v>
      </c>
      <c r="O1387" s="8" t="str">
        <f>vw_scenario_analysis_dataset[[#This Row],[reporter_name]] &amp; "-" &amp; vw_scenario_analysis_dataset[[#This Row],[reference_year]]</f>
        <v>Suriname-2023</v>
      </c>
    </row>
    <row r="1388" spans="1:15" x14ac:dyDescent="0.3">
      <c r="A1388" s="8" t="s">
        <v>324</v>
      </c>
      <c r="B1388" s="8" t="s">
        <v>325</v>
      </c>
      <c r="C1388" s="8">
        <v>2024</v>
      </c>
      <c r="D1388" s="8">
        <v>2968316375.9310007</v>
      </c>
      <c r="E1388" s="8">
        <v>4416775113</v>
      </c>
      <c r="F1388" s="8">
        <v>634431</v>
      </c>
      <c r="G1388" s="8">
        <v>1.7209574910000001</v>
      </c>
      <c r="H1388" s="8"/>
      <c r="I1388" s="8">
        <v>4678.71</v>
      </c>
      <c r="J1388" s="8">
        <v>6961.79</v>
      </c>
      <c r="K1388" s="8">
        <v>67.209999999999994</v>
      </c>
      <c r="L1388" s="8">
        <v>107</v>
      </c>
      <c r="M1388" s="8">
        <v>4621799595.9909992</v>
      </c>
      <c r="N1388" s="8">
        <v>-35.78</v>
      </c>
      <c r="O1388" s="8" t="str">
        <f>vw_scenario_analysis_dataset[[#This Row],[reporter_name]] &amp; "-" &amp; vw_scenario_analysis_dataset[[#This Row],[reference_year]]</f>
        <v>Suriname-2024</v>
      </c>
    </row>
    <row r="1389" spans="1:15" x14ac:dyDescent="0.3">
      <c r="A1389" s="8" t="s">
        <v>326</v>
      </c>
      <c r="B1389" s="8" t="s">
        <v>327</v>
      </c>
      <c r="C1389" s="8">
        <v>2015</v>
      </c>
      <c r="D1389" s="8">
        <v>150020117705.59503</v>
      </c>
      <c r="E1389" s="8">
        <v>89178548717</v>
      </c>
      <c r="F1389" s="8">
        <v>5423801</v>
      </c>
      <c r="G1389" s="8">
        <v>5.1768790969999996</v>
      </c>
      <c r="H1389" s="8">
        <v>179.42602289999999</v>
      </c>
      <c r="I1389" s="8">
        <v>27659.59</v>
      </c>
      <c r="J1389" s="8">
        <v>16442.080000000002</v>
      </c>
      <c r="K1389" s="8">
        <v>168.22</v>
      </c>
      <c r="L1389" s="8">
        <v>35</v>
      </c>
      <c r="M1389" s="8"/>
      <c r="N1389" s="8"/>
      <c r="O1389" s="8" t="str">
        <f>vw_scenario_analysis_dataset[[#This Row],[reporter_name]] &amp; "-" &amp; vw_scenario_analysis_dataset[[#This Row],[reference_year]]</f>
        <v>Slovakia-2015</v>
      </c>
    </row>
    <row r="1390" spans="1:15" x14ac:dyDescent="0.3">
      <c r="A1390" s="8" t="s">
        <v>326</v>
      </c>
      <c r="B1390" s="8" t="s">
        <v>327</v>
      </c>
      <c r="C1390" s="8">
        <v>2016</v>
      </c>
      <c r="D1390" s="8">
        <v>153980002072.11798</v>
      </c>
      <c r="E1390" s="8">
        <v>90347173229</v>
      </c>
      <c r="F1390" s="8">
        <v>5430798</v>
      </c>
      <c r="G1390" s="8">
        <v>1.947818415</v>
      </c>
      <c r="H1390" s="8">
        <v>182.75737960000001</v>
      </c>
      <c r="I1390" s="8">
        <v>28353.11</v>
      </c>
      <c r="J1390" s="8">
        <v>16636.080000000002</v>
      </c>
      <c r="K1390" s="8">
        <v>170.43</v>
      </c>
      <c r="L1390" s="8">
        <v>34</v>
      </c>
      <c r="M1390" s="8">
        <v>150020117705.59503</v>
      </c>
      <c r="N1390" s="8">
        <v>2.64</v>
      </c>
      <c r="O1390" s="8" t="str">
        <f>vw_scenario_analysis_dataset[[#This Row],[reporter_name]] &amp; "-" &amp; vw_scenario_analysis_dataset[[#This Row],[reference_year]]</f>
        <v>Slovakia-2016</v>
      </c>
    </row>
    <row r="1391" spans="1:15" x14ac:dyDescent="0.3">
      <c r="A1391" s="8" t="s">
        <v>326</v>
      </c>
      <c r="B1391" s="8" t="s">
        <v>327</v>
      </c>
      <c r="C1391" s="8">
        <v>2017</v>
      </c>
      <c r="D1391" s="8">
        <v>166856761471.96707</v>
      </c>
      <c r="E1391" s="8">
        <v>95978130735</v>
      </c>
      <c r="F1391" s="8">
        <v>5439232</v>
      </c>
      <c r="G1391" s="8">
        <v>2.8747332750000001</v>
      </c>
      <c r="H1391" s="8">
        <v>186.64468740000001</v>
      </c>
      <c r="I1391" s="8">
        <v>30676.53</v>
      </c>
      <c r="J1391" s="8">
        <v>17645.53</v>
      </c>
      <c r="K1391" s="8">
        <v>173.85</v>
      </c>
      <c r="L1391" s="8">
        <v>35</v>
      </c>
      <c r="M1391" s="8">
        <v>153980002072.11798</v>
      </c>
      <c r="N1391" s="8">
        <v>8.36</v>
      </c>
      <c r="O1391" s="8" t="str">
        <f>vw_scenario_analysis_dataset[[#This Row],[reporter_name]] &amp; "-" &amp; vw_scenario_analysis_dataset[[#This Row],[reference_year]]</f>
        <v>Slovakia-2017</v>
      </c>
    </row>
    <row r="1392" spans="1:15" x14ac:dyDescent="0.3">
      <c r="A1392" s="8" t="s">
        <v>326</v>
      </c>
      <c r="B1392" s="8" t="s">
        <v>327</v>
      </c>
      <c r="C1392" s="8">
        <v>2018</v>
      </c>
      <c r="D1392" s="8">
        <v>186865341279.01291</v>
      </c>
      <c r="E1392" s="8">
        <v>107000000000</v>
      </c>
      <c r="F1392" s="8">
        <v>5446771</v>
      </c>
      <c r="G1392" s="8">
        <v>4.0621198190000003</v>
      </c>
      <c r="H1392" s="8">
        <v>188.7329647</v>
      </c>
      <c r="I1392" s="8">
        <v>34307.550000000003</v>
      </c>
      <c r="J1392" s="8">
        <v>19644.669999999998</v>
      </c>
      <c r="K1392" s="8">
        <v>174.64</v>
      </c>
      <c r="L1392" s="8">
        <v>35</v>
      </c>
      <c r="M1392" s="8">
        <v>166856761471.96707</v>
      </c>
      <c r="N1392" s="8">
        <v>11.99</v>
      </c>
      <c r="O1392" s="8" t="str">
        <f>vw_scenario_analysis_dataset[[#This Row],[reporter_name]] &amp; "-" &amp; vw_scenario_analysis_dataset[[#This Row],[reference_year]]</f>
        <v>Slovakia-2018</v>
      </c>
    </row>
    <row r="1393" spans="1:15" x14ac:dyDescent="0.3">
      <c r="A1393" s="8" t="s">
        <v>326</v>
      </c>
      <c r="B1393" s="8" t="s">
        <v>327</v>
      </c>
      <c r="C1393" s="8">
        <v>2019</v>
      </c>
      <c r="D1393" s="8">
        <v>179840746610.42599</v>
      </c>
      <c r="E1393" s="8">
        <v>106000000000</v>
      </c>
      <c r="F1393" s="8">
        <v>5454147</v>
      </c>
      <c r="G1393" s="8">
        <v>2.2758991000000002</v>
      </c>
      <c r="H1393" s="8">
        <v>183.7226086</v>
      </c>
      <c r="I1393" s="8">
        <v>32973.21</v>
      </c>
      <c r="J1393" s="8">
        <v>19434.75</v>
      </c>
      <c r="K1393" s="8">
        <v>169.66</v>
      </c>
      <c r="L1393" s="8">
        <v>33</v>
      </c>
      <c r="M1393" s="8">
        <v>186865341279.01291</v>
      </c>
      <c r="N1393" s="8">
        <v>-3.76</v>
      </c>
      <c r="O1393" s="8" t="str">
        <f>vw_scenario_analysis_dataset[[#This Row],[reporter_name]] &amp; "-" &amp; vw_scenario_analysis_dataset[[#This Row],[reference_year]]</f>
        <v>Slovakia-2019</v>
      </c>
    </row>
    <row r="1394" spans="1:15" x14ac:dyDescent="0.3">
      <c r="A1394" s="8" t="s">
        <v>326</v>
      </c>
      <c r="B1394" s="8" t="s">
        <v>327</v>
      </c>
      <c r="C1394" s="8">
        <v>2020</v>
      </c>
      <c r="D1394" s="8">
        <v>174034357480.73071</v>
      </c>
      <c r="E1394" s="8">
        <v>108000000000</v>
      </c>
      <c r="F1394" s="8">
        <v>5458827</v>
      </c>
      <c r="G1394" s="8">
        <v>-2.5855124169999999</v>
      </c>
      <c r="H1394" s="8">
        <v>167.53417329999999</v>
      </c>
      <c r="I1394" s="8">
        <v>31881.27</v>
      </c>
      <c r="J1394" s="8">
        <v>19784.47</v>
      </c>
      <c r="K1394" s="8">
        <v>161.13999999999999</v>
      </c>
      <c r="L1394" s="8">
        <v>33</v>
      </c>
      <c r="M1394" s="8">
        <v>179840746610.42599</v>
      </c>
      <c r="N1394" s="8">
        <v>-3.23</v>
      </c>
      <c r="O1394" s="8" t="str">
        <f>vw_scenario_analysis_dataset[[#This Row],[reporter_name]] &amp; "-" &amp; vw_scenario_analysis_dataset[[#This Row],[reference_year]]</f>
        <v>Slovakia-2020</v>
      </c>
    </row>
    <row r="1395" spans="1:15" x14ac:dyDescent="0.3">
      <c r="A1395" s="8" t="s">
        <v>326</v>
      </c>
      <c r="B1395" s="8" t="s">
        <v>327</v>
      </c>
      <c r="C1395" s="8">
        <v>2021</v>
      </c>
      <c r="D1395" s="8">
        <v>209466641763.84601</v>
      </c>
      <c r="E1395" s="8">
        <v>121000000000</v>
      </c>
      <c r="F1395" s="8">
        <v>5447247</v>
      </c>
      <c r="G1395" s="8">
        <v>5.6558588070000004</v>
      </c>
      <c r="H1395" s="8">
        <v>181.97948450000001</v>
      </c>
      <c r="I1395" s="8">
        <v>38453.67</v>
      </c>
      <c r="J1395" s="8">
        <v>22213.06</v>
      </c>
      <c r="K1395" s="8">
        <v>173.11</v>
      </c>
      <c r="L1395" s="8">
        <v>34</v>
      </c>
      <c r="M1395" s="8">
        <v>174034357480.73071</v>
      </c>
      <c r="N1395" s="8">
        <v>20.36</v>
      </c>
      <c r="O1395" s="8" t="str">
        <f>vw_scenario_analysis_dataset[[#This Row],[reporter_name]] &amp; "-" &amp; vw_scenario_analysis_dataset[[#This Row],[reference_year]]</f>
        <v>Slovakia-2021</v>
      </c>
    </row>
    <row r="1396" spans="1:15" x14ac:dyDescent="0.3">
      <c r="A1396" s="8" t="s">
        <v>326</v>
      </c>
      <c r="B1396" s="8" t="s">
        <v>327</v>
      </c>
      <c r="C1396" s="8">
        <v>2022</v>
      </c>
      <c r="D1396" s="8">
        <v>216476781027.26804</v>
      </c>
      <c r="E1396" s="8">
        <v>116000000000</v>
      </c>
      <c r="F1396" s="8">
        <v>5431752</v>
      </c>
      <c r="G1396" s="8">
        <v>0.54459163200000005</v>
      </c>
      <c r="H1396" s="8">
        <v>204.0563185</v>
      </c>
      <c r="I1396" s="8">
        <v>39853.949999999997</v>
      </c>
      <c r="J1396" s="8">
        <v>21355.91</v>
      </c>
      <c r="K1396" s="8">
        <v>186.62</v>
      </c>
      <c r="L1396" s="8">
        <v>34</v>
      </c>
      <c r="M1396" s="8">
        <v>209466641763.84601</v>
      </c>
      <c r="N1396" s="8">
        <v>3.35</v>
      </c>
      <c r="O1396" s="8" t="str">
        <f>vw_scenario_analysis_dataset[[#This Row],[reporter_name]] &amp; "-" &amp; vw_scenario_analysis_dataset[[#This Row],[reference_year]]</f>
        <v>Slovakia-2022</v>
      </c>
    </row>
    <row r="1397" spans="1:15" x14ac:dyDescent="0.3">
      <c r="A1397" s="8" t="s">
        <v>326</v>
      </c>
      <c r="B1397" s="8" t="s">
        <v>327</v>
      </c>
      <c r="C1397" s="8">
        <v>2023</v>
      </c>
      <c r="D1397" s="8">
        <v>234500353401.98984</v>
      </c>
      <c r="E1397" s="8">
        <v>134000000000</v>
      </c>
      <c r="F1397" s="8">
        <v>5426740</v>
      </c>
      <c r="G1397" s="8">
        <v>2.1126363320000001</v>
      </c>
      <c r="H1397" s="8">
        <v>181.39087240000001</v>
      </c>
      <c r="I1397" s="8">
        <v>43212.01</v>
      </c>
      <c r="J1397" s="8">
        <v>24692.54</v>
      </c>
      <c r="K1397" s="8">
        <v>175</v>
      </c>
      <c r="L1397" s="8">
        <v>32</v>
      </c>
      <c r="M1397" s="8">
        <v>216476781027.26804</v>
      </c>
      <c r="N1397" s="8">
        <v>8.33</v>
      </c>
      <c r="O1397" s="8" t="str">
        <f>vw_scenario_analysis_dataset[[#This Row],[reporter_name]] &amp; "-" &amp; vw_scenario_analysis_dataset[[#This Row],[reference_year]]</f>
        <v>Slovakia-2023</v>
      </c>
    </row>
    <row r="1398" spans="1:15" x14ac:dyDescent="0.3">
      <c r="A1398" s="8" t="s">
        <v>326</v>
      </c>
      <c r="B1398" s="8" t="s">
        <v>327</v>
      </c>
      <c r="C1398" s="8">
        <v>2024</v>
      </c>
      <c r="D1398" s="8">
        <v>231150910191.60394</v>
      </c>
      <c r="E1398" s="8">
        <v>141000000000</v>
      </c>
      <c r="F1398" s="8">
        <v>5422069</v>
      </c>
      <c r="G1398" s="8">
        <v>1.9386744549999999</v>
      </c>
      <c r="H1398" s="8">
        <v>171.2128002</v>
      </c>
      <c r="I1398" s="8">
        <v>42631.5</v>
      </c>
      <c r="J1398" s="8">
        <v>26004.83</v>
      </c>
      <c r="K1398" s="8">
        <v>163.94</v>
      </c>
      <c r="L1398" s="8">
        <v>30</v>
      </c>
      <c r="M1398" s="8">
        <v>234500353401.98984</v>
      </c>
      <c r="N1398" s="8">
        <v>-1.43</v>
      </c>
      <c r="O1398" s="8" t="str">
        <f>vw_scenario_analysis_dataset[[#This Row],[reporter_name]] &amp; "-" &amp; vw_scenario_analysis_dataset[[#This Row],[reference_year]]</f>
        <v>Slovakia-2024</v>
      </c>
    </row>
    <row r="1399" spans="1:15" x14ac:dyDescent="0.3">
      <c r="A1399" s="8" t="s">
        <v>328</v>
      </c>
      <c r="B1399" s="8" t="s">
        <v>329</v>
      </c>
      <c r="C1399" s="8">
        <v>2015</v>
      </c>
      <c r="D1399" s="8">
        <v>53173958536</v>
      </c>
      <c r="E1399" s="8">
        <v>42709468275</v>
      </c>
      <c r="F1399" s="8">
        <v>2063531</v>
      </c>
      <c r="G1399" s="8">
        <v>2.3933062129999998</v>
      </c>
      <c r="H1399" s="8">
        <v>147.21836769999999</v>
      </c>
      <c r="I1399" s="8">
        <v>25768.43</v>
      </c>
      <c r="J1399" s="8">
        <v>20697.27</v>
      </c>
      <c r="K1399" s="8">
        <v>124.5</v>
      </c>
      <c r="L1399" s="8">
        <v>58</v>
      </c>
      <c r="M1399" s="8"/>
      <c r="N1399" s="8"/>
      <c r="O1399" s="8" t="str">
        <f>vw_scenario_analysis_dataset[[#This Row],[reporter_name]] &amp; "-" &amp; vw_scenario_analysis_dataset[[#This Row],[reference_year]]</f>
        <v>Slovenia-2015</v>
      </c>
    </row>
    <row r="1400" spans="1:15" x14ac:dyDescent="0.3">
      <c r="A1400" s="8" t="s">
        <v>328</v>
      </c>
      <c r="B1400" s="8" t="s">
        <v>329</v>
      </c>
      <c r="C1400" s="8">
        <v>2016</v>
      </c>
      <c r="D1400" s="8">
        <v>55315455379.540001</v>
      </c>
      <c r="E1400" s="8">
        <v>44290685824</v>
      </c>
      <c r="F1400" s="8">
        <v>2065042</v>
      </c>
      <c r="G1400" s="8">
        <v>3.0344148670000002</v>
      </c>
      <c r="H1400" s="8">
        <v>148.2384481</v>
      </c>
      <c r="I1400" s="8">
        <v>26786.6</v>
      </c>
      <c r="J1400" s="8">
        <v>21447.84</v>
      </c>
      <c r="K1400" s="8">
        <v>124.89</v>
      </c>
      <c r="L1400" s="8">
        <v>57</v>
      </c>
      <c r="M1400" s="8">
        <v>53173958536</v>
      </c>
      <c r="N1400" s="8">
        <v>4.03</v>
      </c>
      <c r="O1400" s="8" t="str">
        <f>vw_scenario_analysis_dataset[[#This Row],[reporter_name]] &amp; "-" &amp; vw_scenario_analysis_dataset[[#This Row],[reference_year]]</f>
        <v>Slovenia-2016</v>
      </c>
    </row>
    <row r="1401" spans="1:15" x14ac:dyDescent="0.3">
      <c r="A1401" s="8" t="s">
        <v>328</v>
      </c>
      <c r="B1401" s="8" t="s">
        <v>329</v>
      </c>
      <c r="C1401" s="8">
        <v>2017</v>
      </c>
      <c r="D1401" s="8">
        <v>63787579128.919998</v>
      </c>
      <c r="E1401" s="8">
        <v>48153200135</v>
      </c>
      <c r="F1401" s="8">
        <v>2066388</v>
      </c>
      <c r="G1401" s="8">
        <v>5.1744021560000002</v>
      </c>
      <c r="H1401" s="8">
        <v>158.70213580000001</v>
      </c>
      <c r="I1401" s="8">
        <v>30869.119999999999</v>
      </c>
      <c r="J1401" s="8">
        <v>23303.08</v>
      </c>
      <c r="K1401" s="8">
        <v>132.47</v>
      </c>
      <c r="L1401" s="8">
        <v>56</v>
      </c>
      <c r="M1401" s="8">
        <v>55315455379.540001</v>
      </c>
      <c r="N1401" s="8">
        <v>15.32</v>
      </c>
      <c r="O1401" s="8" t="str">
        <f>vw_scenario_analysis_dataset[[#This Row],[reporter_name]] &amp; "-" &amp; vw_scenario_analysis_dataset[[#This Row],[reference_year]]</f>
        <v>Slovenia-2017</v>
      </c>
    </row>
    <row r="1402" spans="1:15" x14ac:dyDescent="0.3">
      <c r="A1402" s="8" t="s">
        <v>328</v>
      </c>
      <c r="B1402" s="8" t="s">
        <v>329</v>
      </c>
      <c r="C1402" s="8">
        <v>2018</v>
      </c>
      <c r="D1402" s="8">
        <v>72942557878.840042</v>
      </c>
      <c r="E1402" s="8">
        <v>53689067640</v>
      </c>
      <c r="F1402" s="8">
        <v>2073894</v>
      </c>
      <c r="G1402" s="8">
        <v>4.3790834729999997</v>
      </c>
      <c r="H1402" s="8">
        <v>162.613494</v>
      </c>
      <c r="I1402" s="8">
        <v>35171.79</v>
      </c>
      <c r="J1402" s="8">
        <v>25888.05</v>
      </c>
      <c r="K1402" s="8">
        <v>135.86000000000001</v>
      </c>
      <c r="L1402" s="8">
        <v>55</v>
      </c>
      <c r="M1402" s="8">
        <v>63787579128.919998</v>
      </c>
      <c r="N1402" s="8">
        <v>14.35</v>
      </c>
      <c r="O1402" s="8" t="str">
        <f>vw_scenario_analysis_dataset[[#This Row],[reporter_name]] &amp; "-" &amp; vw_scenario_analysis_dataset[[#This Row],[reference_year]]</f>
        <v>Slovenia-2018</v>
      </c>
    </row>
    <row r="1403" spans="1:15" x14ac:dyDescent="0.3">
      <c r="A1403" s="8" t="s">
        <v>328</v>
      </c>
      <c r="B1403" s="8" t="s">
        <v>329</v>
      </c>
      <c r="C1403" s="8">
        <v>2019</v>
      </c>
      <c r="D1403" s="8">
        <v>75149188759.019958</v>
      </c>
      <c r="E1403" s="8">
        <v>53909922736</v>
      </c>
      <c r="F1403" s="8">
        <v>2088385</v>
      </c>
      <c r="G1403" s="8">
        <v>3.5052533239999999</v>
      </c>
      <c r="H1403" s="8">
        <v>160.04427569999999</v>
      </c>
      <c r="I1403" s="8">
        <v>35984.36</v>
      </c>
      <c r="J1403" s="8">
        <v>25814.17</v>
      </c>
      <c r="K1403" s="8">
        <v>139.4</v>
      </c>
      <c r="L1403" s="8">
        <v>53</v>
      </c>
      <c r="M1403" s="8">
        <v>72942557878.840042</v>
      </c>
      <c r="N1403" s="8">
        <v>3.03</v>
      </c>
      <c r="O1403" s="8" t="str">
        <f>vw_scenario_analysis_dataset[[#This Row],[reporter_name]] &amp; "-" &amp; vw_scenario_analysis_dataset[[#This Row],[reference_year]]</f>
        <v>Slovenia-2019</v>
      </c>
    </row>
    <row r="1404" spans="1:15" x14ac:dyDescent="0.3">
      <c r="A1404" s="8" t="s">
        <v>328</v>
      </c>
      <c r="B1404" s="8" t="s">
        <v>329</v>
      </c>
      <c r="C1404" s="8">
        <v>2020</v>
      </c>
      <c r="D1404" s="8">
        <v>74942188346.485001</v>
      </c>
      <c r="E1404" s="8">
        <v>53384760135</v>
      </c>
      <c r="F1404" s="8">
        <v>2102419</v>
      </c>
      <c r="G1404" s="8">
        <v>-4.0850009490000003</v>
      </c>
      <c r="H1404" s="8">
        <v>147.54900860000001</v>
      </c>
      <c r="I1404" s="8">
        <v>35645.699999999997</v>
      </c>
      <c r="J1404" s="8">
        <v>25392.07</v>
      </c>
      <c r="K1404" s="8">
        <v>140.38</v>
      </c>
      <c r="L1404" s="8">
        <v>48</v>
      </c>
      <c r="M1404" s="8">
        <v>75149188759.019958</v>
      </c>
      <c r="N1404" s="8">
        <v>-0.28000000000000003</v>
      </c>
      <c r="O1404" s="8" t="str">
        <f>vw_scenario_analysis_dataset[[#This Row],[reporter_name]] &amp; "-" &amp; vw_scenario_analysis_dataset[[#This Row],[reference_year]]</f>
        <v>Slovenia-2020</v>
      </c>
    </row>
    <row r="1405" spans="1:15" x14ac:dyDescent="0.3">
      <c r="A1405" s="8" t="s">
        <v>328</v>
      </c>
      <c r="B1405" s="8" t="s">
        <v>329</v>
      </c>
      <c r="C1405" s="8">
        <v>2021</v>
      </c>
      <c r="D1405" s="8">
        <v>93384256138.221039</v>
      </c>
      <c r="E1405" s="8">
        <v>61540813362</v>
      </c>
      <c r="F1405" s="8">
        <v>2108079</v>
      </c>
      <c r="G1405" s="8">
        <v>8.4168645770000001</v>
      </c>
      <c r="H1405" s="8">
        <v>161.78872749999999</v>
      </c>
      <c r="I1405" s="8">
        <v>44298.27</v>
      </c>
      <c r="J1405" s="8">
        <v>29192.84</v>
      </c>
      <c r="K1405" s="8">
        <v>151.74</v>
      </c>
      <c r="L1405" s="8">
        <v>50</v>
      </c>
      <c r="M1405" s="8">
        <v>74942188346.485001</v>
      </c>
      <c r="N1405" s="8">
        <v>24.61</v>
      </c>
      <c r="O1405" s="8" t="str">
        <f>vw_scenario_analysis_dataset[[#This Row],[reporter_name]] &amp; "-" &amp; vw_scenario_analysis_dataset[[#This Row],[reference_year]]</f>
        <v>Slovenia-2021</v>
      </c>
    </row>
    <row r="1406" spans="1:15" x14ac:dyDescent="0.3">
      <c r="A1406" s="8" t="s">
        <v>328</v>
      </c>
      <c r="B1406" s="8" t="s">
        <v>329</v>
      </c>
      <c r="C1406" s="8">
        <v>2022</v>
      </c>
      <c r="D1406" s="8">
        <v>110612036944.60597</v>
      </c>
      <c r="E1406" s="8">
        <v>59899117741</v>
      </c>
      <c r="F1406" s="8">
        <v>2112076</v>
      </c>
      <c r="G1406" s="8">
        <v>2.6685055549999999</v>
      </c>
      <c r="H1406" s="8">
        <v>186.64707630000001</v>
      </c>
      <c r="I1406" s="8">
        <v>52371.24</v>
      </c>
      <c r="J1406" s="8">
        <v>28360.3</v>
      </c>
      <c r="K1406" s="8">
        <v>184.66</v>
      </c>
      <c r="L1406" s="8">
        <v>50</v>
      </c>
      <c r="M1406" s="8">
        <v>93384256138.221039</v>
      </c>
      <c r="N1406" s="8">
        <v>18.45</v>
      </c>
      <c r="O1406" s="8" t="str">
        <f>vw_scenario_analysis_dataset[[#This Row],[reporter_name]] &amp; "-" &amp; vw_scenario_analysis_dataset[[#This Row],[reference_year]]</f>
        <v>Slovenia-2022</v>
      </c>
    </row>
    <row r="1407" spans="1:15" x14ac:dyDescent="0.3">
      <c r="A1407" s="8" t="s">
        <v>328</v>
      </c>
      <c r="B1407" s="8" t="s">
        <v>329</v>
      </c>
      <c r="C1407" s="8">
        <v>2023</v>
      </c>
      <c r="D1407" s="8">
        <v>119013909955.369</v>
      </c>
      <c r="E1407" s="8">
        <v>69255264238</v>
      </c>
      <c r="F1407" s="8">
        <v>2120461</v>
      </c>
      <c r="G1407" s="8">
        <v>2.3758326649999999</v>
      </c>
      <c r="H1407" s="8">
        <v>160.15966929999999</v>
      </c>
      <c r="I1407" s="8">
        <v>56126.43</v>
      </c>
      <c r="J1407" s="8">
        <v>32660.48</v>
      </c>
      <c r="K1407" s="8">
        <v>171.85</v>
      </c>
      <c r="L1407" s="8">
        <v>45</v>
      </c>
      <c r="M1407" s="8">
        <v>110612036944.60597</v>
      </c>
      <c r="N1407" s="8">
        <v>7.6</v>
      </c>
      <c r="O1407" s="8" t="str">
        <f>vw_scenario_analysis_dataset[[#This Row],[reporter_name]] &amp; "-" &amp; vw_scenario_analysis_dataset[[#This Row],[reference_year]]</f>
        <v>Slovenia-2023</v>
      </c>
    </row>
    <row r="1408" spans="1:15" x14ac:dyDescent="0.3">
      <c r="A1408" s="8" t="s">
        <v>328</v>
      </c>
      <c r="B1408" s="8" t="s">
        <v>329</v>
      </c>
      <c r="C1408" s="8">
        <v>2024</v>
      </c>
      <c r="D1408" s="8">
        <v>133271371107.0051</v>
      </c>
      <c r="E1408" s="8">
        <v>72972015197</v>
      </c>
      <c r="F1408" s="8">
        <v>2127400</v>
      </c>
      <c r="G1408" s="8">
        <v>1.731397225</v>
      </c>
      <c r="H1408" s="8">
        <v>155.65792870000001</v>
      </c>
      <c r="I1408" s="8">
        <v>62645.19</v>
      </c>
      <c r="J1408" s="8">
        <v>34301.03</v>
      </c>
      <c r="K1408" s="8">
        <v>182.63</v>
      </c>
      <c r="L1408" s="8">
        <v>43</v>
      </c>
      <c r="M1408" s="8">
        <v>119013909955.369</v>
      </c>
      <c r="N1408" s="8">
        <v>11.98</v>
      </c>
      <c r="O1408" s="8" t="str">
        <f>vw_scenario_analysis_dataset[[#This Row],[reporter_name]] &amp; "-" &amp; vw_scenario_analysis_dataset[[#This Row],[reference_year]]</f>
        <v>Slovenia-2024</v>
      </c>
    </row>
    <row r="1409" spans="1:15" x14ac:dyDescent="0.3">
      <c r="A1409" s="8" t="s">
        <v>330</v>
      </c>
      <c r="B1409" s="8" t="s">
        <v>331</v>
      </c>
      <c r="C1409" s="8">
        <v>2015</v>
      </c>
      <c r="D1409" s="8">
        <v>280012941535.38098</v>
      </c>
      <c r="E1409" s="8">
        <v>502000000000</v>
      </c>
      <c r="F1409" s="8">
        <v>9799186</v>
      </c>
      <c r="G1409" s="8">
        <v>4.3882467360000001</v>
      </c>
      <c r="H1409" s="8">
        <v>84.173076600000002</v>
      </c>
      <c r="I1409" s="8">
        <v>28575.119999999999</v>
      </c>
      <c r="J1409" s="8">
        <v>51228.74</v>
      </c>
      <c r="K1409" s="8">
        <v>55.78</v>
      </c>
      <c r="L1409" s="8">
        <v>29</v>
      </c>
      <c r="M1409" s="8"/>
      <c r="N1409" s="8"/>
      <c r="O1409" s="8" t="str">
        <f>vw_scenario_analysis_dataset[[#This Row],[reporter_name]] &amp; "-" &amp; vw_scenario_analysis_dataset[[#This Row],[reference_year]]</f>
        <v>Sweden-2015</v>
      </c>
    </row>
    <row r="1410" spans="1:15" x14ac:dyDescent="0.3">
      <c r="A1410" s="8" t="s">
        <v>330</v>
      </c>
      <c r="B1410" s="8" t="s">
        <v>331</v>
      </c>
      <c r="C1410" s="8">
        <v>2016</v>
      </c>
      <c r="D1410" s="8">
        <v>278781548298.45599</v>
      </c>
      <c r="E1410" s="8">
        <v>513000000000</v>
      </c>
      <c r="F1410" s="8">
        <v>9923085</v>
      </c>
      <c r="G1410" s="8">
        <v>2.1311791470000001</v>
      </c>
      <c r="H1410" s="8">
        <v>83.451947860000004</v>
      </c>
      <c r="I1410" s="8">
        <v>28094.240000000002</v>
      </c>
      <c r="J1410" s="8">
        <v>51697.63</v>
      </c>
      <c r="K1410" s="8">
        <v>54.34</v>
      </c>
      <c r="L1410" s="8">
        <v>29</v>
      </c>
      <c r="M1410" s="8">
        <v>280012941535.38098</v>
      </c>
      <c r="N1410" s="8">
        <v>-0.44</v>
      </c>
      <c r="O1410" s="8" t="str">
        <f>vw_scenario_analysis_dataset[[#This Row],[reporter_name]] &amp; "-" &amp; vw_scenario_analysis_dataset[[#This Row],[reference_year]]</f>
        <v>Sweden-2016</v>
      </c>
    </row>
    <row r="1411" spans="1:15" x14ac:dyDescent="0.3">
      <c r="A1411" s="8" t="s">
        <v>330</v>
      </c>
      <c r="B1411" s="8" t="s">
        <v>331</v>
      </c>
      <c r="C1411" s="8">
        <v>2017</v>
      </c>
      <c r="D1411" s="8">
        <v>306317129929.2998</v>
      </c>
      <c r="E1411" s="8">
        <v>535000000000</v>
      </c>
      <c r="F1411" s="8">
        <v>10057698</v>
      </c>
      <c r="G1411" s="8">
        <v>1.88282185</v>
      </c>
      <c r="H1411" s="8">
        <v>86.06930887</v>
      </c>
      <c r="I1411" s="8">
        <v>30455.99</v>
      </c>
      <c r="J1411" s="8">
        <v>53193.09</v>
      </c>
      <c r="K1411" s="8">
        <v>57.26</v>
      </c>
      <c r="L1411" s="8">
        <v>29</v>
      </c>
      <c r="M1411" s="8">
        <v>278781548298.45599</v>
      </c>
      <c r="N1411" s="8">
        <v>9.8800000000000008</v>
      </c>
      <c r="O1411" s="8" t="str">
        <f>vw_scenario_analysis_dataset[[#This Row],[reporter_name]] &amp; "-" &amp; vw_scenario_analysis_dataset[[#This Row],[reference_year]]</f>
        <v>Sweden-2017</v>
      </c>
    </row>
    <row r="1412" spans="1:15" x14ac:dyDescent="0.3">
      <c r="A1412" s="8" t="s">
        <v>330</v>
      </c>
      <c r="B1412" s="8" t="s">
        <v>331</v>
      </c>
      <c r="C1412" s="8">
        <v>2018</v>
      </c>
      <c r="D1412" s="8">
        <v>331933267035.87402</v>
      </c>
      <c r="E1412" s="8">
        <v>550000000000</v>
      </c>
      <c r="F1412" s="8">
        <v>10175214</v>
      </c>
      <c r="G1412" s="8">
        <v>1.770255355</v>
      </c>
      <c r="H1412" s="8">
        <v>90.408714239999995</v>
      </c>
      <c r="I1412" s="8">
        <v>32621.75</v>
      </c>
      <c r="J1412" s="8">
        <v>54052.92</v>
      </c>
      <c r="K1412" s="8">
        <v>60.35</v>
      </c>
      <c r="L1412" s="8">
        <v>30</v>
      </c>
      <c r="M1412" s="8">
        <v>306317129929.2998</v>
      </c>
      <c r="N1412" s="8">
        <v>8.36</v>
      </c>
      <c r="O1412" s="8" t="str">
        <f>vw_scenario_analysis_dataset[[#This Row],[reporter_name]] &amp; "-" &amp; vw_scenario_analysis_dataset[[#This Row],[reference_year]]</f>
        <v>Sweden-2018</v>
      </c>
    </row>
    <row r="1413" spans="1:15" x14ac:dyDescent="0.3">
      <c r="A1413" s="8" t="s">
        <v>330</v>
      </c>
      <c r="B1413" s="8" t="s">
        <v>331</v>
      </c>
      <c r="C1413" s="8">
        <v>2019</v>
      </c>
      <c r="D1413" s="8">
        <v>321062484441.47113</v>
      </c>
      <c r="E1413" s="8">
        <v>531000000000</v>
      </c>
      <c r="F1413" s="8">
        <v>10278887</v>
      </c>
      <c r="G1413" s="8">
        <v>2.6082301289999998</v>
      </c>
      <c r="H1413" s="8">
        <v>92.751139030000004</v>
      </c>
      <c r="I1413" s="8">
        <v>31235.14</v>
      </c>
      <c r="J1413" s="8">
        <v>51659.29</v>
      </c>
      <c r="K1413" s="8">
        <v>60.46</v>
      </c>
      <c r="L1413" s="8">
        <v>30</v>
      </c>
      <c r="M1413" s="8">
        <v>331933267035.87402</v>
      </c>
      <c r="N1413" s="8">
        <v>-3.27</v>
      </c>
      <c r="O1413" s="8" t="str">
        <f>vw_scenario_analysis_dataset[[#This Row],[reporter_name]] &amp; "-" &amp; vw_scenario_analysis_dataset[[#This Row],[reference_year]]</f>
        <v>Sweden-2019</v>
      </c>
    </row>
    <row r="1414" spans="1:15" x14ac:dyDescent="0.3">
      <c r="A1414" s="8" t="s">
        <v>330</v>
      </c>
      <c r="B1414" s="8" t="s">
        <v>331</v>
      </c>
      <c r="C1414" s="8">
        <v>2020</v>
      </c>
      <c r="D1414" s="8">
        <v>309871174251.74005</v>
      </c>
      <c r="E1414" s="8">
        <v>544000000000</v>
      </c>
      <c r="F1414" s="8">
        <v>10353442</v>
      </c>
      <c r="G1414" s="8">
        <v>-1.93379704</v>
      </c>
      <c r="H1414" s="8">
        <v>84.474595809999997</v>
      </c>
      <c r="I1414" s="8">
        <v>29929.29</v>
      </c>
      <c r="J1414" s="8">
        <v>52542.91</v>
      </c>
      <c r="K1414" s="8">
        <v>56.96</v>
      </c>
      <c r="L1414" s="8">
        <v>30</v>
      </c>
      <c r="M1414" s="8">
        <v>321062484441.47113</v>
      </c>
      <c r="N1414" s="8">
        <v>-3.49</v>
      </c>
      <c r="O1414" s="8" t="str">
        <f>vw_scenario_analysis_dataset[[#This Row],[reporter_name]] &amp; "-" &amp; vw_scenario_analysis_dataset[[#This Row],[reference_year]]</f>
        <v>Sweden-2020</v>
      </c>
    </row>
    <row r="1415" spans="1:15" x14ac:dyDescent="0.3">
      <c r="A1415" s="8" t="s">
        <v>330</v>
      </c>
      <c r="B1415" s="8" t="s">
        <v>331</v>
      </c>
      <c r="C1415" s="8">
        <v>2021</v>
      </c>
      <c r="D1415" s="8">
        <v>379270126399.75623</v>
      </c>
      <c r="E1415" s="8">
        <v>632000000000</v>
      </c>
      <c r="F1415" s="8">
        <v>10415811</v>
      </c>
      <c r="G1415" s="8">
        <v>5.2258643029999998</v>
      </c>
      <c r="H1415" s="8">
        <v>91.110237440000006</v>
      </c>
      <c r="I1415" s="8">
        <v>36412.92</v>
      </c>
      <c r="J1415" s="8">
        <v>60676.98</v>
      </c>
      <c r="K1415" s="8">
        <v>60.01</v>
      </c>
      <c r="L1415" s="8">
        <v>30</v>
      </c>
      <c r="M1415" s="8">
        <v>309871174251.74005</v>
      </c>
      <c r="N1415" s="8">
        <v>22.4</v>
      </c>
      <c r="O1415" s="8" t="str">
        <f>vw_scenario_analysis_dataset[[#This Row],[reporter_name]] &amp; "-" &amp; vw_scenario_analysis_dataset[[#This Row],[reference_year]]</f>
        <v>Sweden-2021</v>
      </c>
    </row>
    <row r="1416" spans="1:15" x14ac:dyDescent="0.3">
      <c r="A1416" s="8" t="s">
        <v>330</v>
      </c>
      <c r="B1416" s="8" t="s">
        <v>331</v>
      </c>
      <c r="C1416" s="8">
        <v>2022</v>
      </c>
      <c r="D1416" s="8">
        <v>395055622602.80182</v>
      </c>
      <c r="E1416" s="8">
        <v>575000000000</v>
      </c>
      <c r="F1416" s="8">
        <v>10486941</v>
      </c>
      <c r="G1416" s="8">
        <v>1.255436204</v>
      </c>
      <c r="H1416" s="8">
        <v>107.11175179999999</v>
      </c>
      <c r="I1416" s="8">
        <v>37671.199999999997</v>
      </c>
      <c r="J1416" s="8">
        <v>54830.1</v>
      </c>
      <c r="K1416" s="8">
        <v>68.709999999999994</v>
      </c>
      <c r="L1416" s="8">
        <v>29</v>
      </c>
      <c r="M1416" s="8">
        <v>379270126399.75623</v>
      </c>
      <c r="N1416" s="8">
        <v>4.16</v>
      </c>
      <c r="O1416" s="8" t="str">
        <f>vw_scenario_analysis_dataset[[#This Row],[reporter_name]] &amp; "-" &amp; vw_scenario_analysis_dataset[[#This Row],[reference_year]]</f>
        <v>Sweden-2022</v>
      </c>
    </row>
    <row r="1417" spans="1:15" x14ac:dyDescent="0.3">
      <c r="A1417" s="8" t="s">
        <v>330</v>
      </c>
      <c r="B1417" s="8" t="s">
        <v>331</v>
      </c>
      <c r="C1417" s="8">
        <v>2023</v>
      </c>
      <c r="D1417" s="8">
        <v>395067768310.45978</v>
      </c>
      <c r="E1417" s="8">
        <v>579000000000</v>
      </c>
      <c r="F1417" s="8">
        <v>10536632</v>
      </c>
      <c r="G1417" s="8">
        <v>-0.204061305</v>
      </c>
      <c r="H1417" s="8">
        <v>107.6197094</v>
      </c>
      <c r="I1417" s="8">
        <v>37494.69</v>
      </c>
      <c r="J1417" s="8">
        <v>54951.15</v>
      </c>
      <c r="K1417" s="8">
        <v>68.23</v>
      </c>
      <c r="L1417" s="8">
        <v>29</v>
      </c>
      <c r="M1417" s="8">
        <v>395055622602.80182</v>
      </c>
      <c r="N1417" s="8">
        <v>0</v>
      </c>
      <c r="O1417" s="8" t="str">
        <f>vw_scenario_analysis_dataset[[#This Row],[reporter_name]] &amp; "-" &amp; vw_scenario_analysis_dataset[[#This Row],[reference_year]]</f>
        <v>Sweden-2023</v>
      </c>
    </row>
    <row r="1418" spans="1:15" x14ac:dyDescent="0.3">
      <c r="A1418" s="8" t="s">
        <v>330</v>
      </c>
      <c r="B1418" s="8" t="s">
        <v>331</v>
      </c>
      <c r="C1418" s="8">
        <v>2024</v>
      </c>
      <c r="D1418" s="8">
        <v>391520509394.23828</v>
      </c>
      <c r="E1418" s="8">
        <v>605000000000</v>
      </c>
      <c r="F1418" s="8">
        <v>10569709</v>
      </c>
      <c r="G1418" s="8">
        <v>1.0177963329999999</v>
      </c>
      <c r="H1418" s="8">
        <v>105.9674923</v>
      </c>
      <c r="I1418" s="8">
        <v>37041.75</v>
      </c>
      <c r="J1418" s="8">
        <v>57239.040000000001</v>
      </c>
      <c r="K1418" s="8">
        <v>64.709999999999994</v>
      </c>
      <c r="L1418" s="8">
        <v>27</v>
      </c>
      <c r="M1418" s="8">
        <v>395067768310.45978</v>
      </c>
      <c r="N1418" s="8">
        <v>-0.9</v>
      </c>
      <c r="O1418" s="8" t="str">
        <f>vw_scenario_analysis_dataset[[#This Row],[reporter_name]] &amp; "-" &amp; vw_scenario_analysis_dataset[[#This Row],[reference_year]]</f>
        <v>Sweden-2024</v>
      </c>
    </row>
    <row r="1419" spans="1:15" x14ac:dyDescent="0.3">
      <c r="A1419" s="8" t="s">
        <v>332</v>
      </c>
      <c r="B1419" s="8" t="s">
        <v>333</v>
      </c>
      <c r="C1419" s="8">
        <v>2015</v>
      </c>
      <c r="D1419" s="8">
        <v>3640996767.0180011</v>
      </c>
      <c r="E1419" s="8">
        <v>3908217914</v>
      </c>
      <c r="F1419" s="8">
        <v>1142813</v>
      </c>
      <c r="G1419" s="8">
        <v>1.7042580599999999</v>
      </c>
      <c r="H1419" s="8">
        <v>88.262094399999995</v>
      </c>
      <c r="I1419" s="8">
        <v>3186</v>
      </c>
      <c r="J1419" s="8">
        <v>3419.82</v>
      </c>
      <c r="K1419" s="8">
        <v>93.16</v>
      </c>
      <c r="L1419" s="8">
        <v>120</v>
      </c>
      <c r="M1419" s="8"/>
      <c r="N1419" s="8"/>
      <c r="O1419" s="8" t="str">
        <f>vw_scenario_analysis_dataset[[#This Row],[reporter_name]] &amp; "-" &amp; vw_scenario_analysis_dataset[[#This Row],[reference_year]]</f>
        <v>Eswatini-2015</v>
      </c>
    </row>
    <row r="1420" spans="1:15" x14ac:dyDescent="0.3">
      <c r="A1420" s="8" t="s">
        <v>332</v>
      </c>
      <c r="B1420" s="8" t="s">
        <v>333</v>
      </c>
      <c r="C1420" s="8">
        <v>2016</v>
      </c>
      <c r="D1420" s="8">
        <v>3432712800.6179996</v>
      </c>
      <c r="E1420" s="8">
        <v>3722306117</v>
      </c>
      <c r="F1420" s="8">
        <v>1149507</v>
      </c>
      <c r="G1420" s="8">
        <v>2.9491682109999999</v>
      </c>
      <c r="H1420" s="8">
        <v>89.358487440000005</v>
      </c>
      <c r="I1420" s="8">
        <v>2986.25</v>
      </c>
      <c r="J1420" s="8">
        <v>3238.18</v>
      </c>
      <c r="K1420" s="8">
        <v>92.22</v>
      </c>
      <c r="L1420" s="8">
        <v>124</v>
      </c>
      <c r="M1420" s="8">
        <v>3640996767.0180011</v>
      </c>
      <c r="N1420" s="8">
        <v>-5.72</v>
      </c>
      <c r="O1420" s="8" t="str">
        <f>vw_scenario_analysis_dataset[[#This Row],[reporter_name]] &amp; "-" &amp; vw_scenario_analysis_dataset[[#This Row],[reference_year]]</f>
        <v>Eswatini-2016</v>
      </c>
    </row>
    <row r="1421" spans="1:15" x14ac:dyDescent="0.3">
      <c r="A1421" s="8" t="s">
        <v>332</v>
      </c>
      <c r="B1421" s="8" t="s">
        <v>333</v>
      </c>
      <c r="C1421" s="8">
        <v>2017</v>
      </c>
      <c r="D1421" s="8">
        <v>3602001314.8820009</v>
      </c>
      <c r="E1421" s="8">
        <v>4462640651</v>
      </c>
      <c r="F1421" s="8">
        <v>1158195</v>
      </c>
      <c r="G1421" s="8">
        <v>3.5209534599999999</v>
      </c>
      <c r="H1421" s="8">
        <v>86.880142030000002</v>
      </c>
      <c r="I1421" s="8">
        <v>3110.01</v>
      </c>
      <c r="J1421" s="8">
        <v>3853.1</v>
      </c>
      <c r="K1421" s="8">
        <v>80.709999999999994</v>
      </c>
      <c r="L1421" s="8">
        <v>126</v>
      </c>
      <c r="M1421" s="8">
        <v>3432712800.6179996</v>
      </c>
      <c r="N1421" s="8">
        <v>4.93</v>
      </c>
      <c r="O1421" s="8" t="str">
        <f>vw_scenario_analysis_dataset[[#This Row],[reporter_name]] &amp; "-" &amp; vw_scenario_analysis_dataset[[#This Row],[reference_year]]</f>
        <v>Eswatini-2017</v>
      </c>
    </row>
    <row r="1422" spans="1:15" x14ac:dyDescent="0.3">
      <c r="A1422" s="8" t="s">
        <v>332</v>
      </c>
      <c r="B1422" s="8" t="s">
        <v>333</v>
      </c>
      <c r="C1422" s="8">
        <v>2018</v>
      </c>
      <c r="D1422" s="8">
        <v>3684876002.5959997</v>
      </c>
      <c r="E1422" s="8">
        <v>4643751059</v>
      </c>
      <c r="F1422" s="8">
        <v>1168929</v>
      </c>
      <c r="G1422" s="8">
        <v>6.5395655999999996E-2</v>
      </c>
      <c r="H1422" s="8">
        <v>85.492776820000003</v>
      </c>
      <c r="I1422" s="8">
        <v>3152.35</v>
      </c>
      <c r="J1422" s="8">
        <v>3972.65</v>
      </c>
      <c r="K1422" s="8">
        <v>79.349999999999994</v>
      </c>
      <c r="L1422" s="8">
        <v>123</v>
      </c>
      <c r="M1422" s="8">
        <v>3602001314.8820009</v>
      </c>
      <c r="N1422" s="8">
        <v>2.2999999999999998</v>
      </c>
      <c r="O1422" s="8" t="str">
        <f>vw_scenario_analysis_dataset[[#This Row],[reporter_name]] &amp; "-" &amp; vw_scenario_analysis_dataset[[#This Row],[reference_year]]</f>
        <v>Eswatini-2018</v>
      </c>
    </row>
    <row r="1423" spans="1:15" x14ac:dyDescent="0.3">
      <c r="A1423" s="8" t="s">
        <v>332</v>
      </c>
      <c r="B1423" s="8" t="s">
        <v>333</v>
      </c>
      <c r="C1423" s="8">
        <v>2019</v>
      </c>
      <c r="D1423" s="8">
        <v>4003273202.5799994</v>
      </c>
      <c r="E1423" s="8">
        <v>4617018959</v>
      </c>
      <c r="F1423" s="8">
        <v>1179874</v>
      </c>
      <c r="G1423" s="8">
        <v>6.4318688870000003</v>
      </c>
      <c r="H1423" s="8">
        <v>86.640794850000006</v>
      </c>
      <c r="I1423" s="8">
        <v>3392.97</v>
      </c>
      <c r="J1423" s="8">
        <v>3913.15</v>
      </c>
      <c r="K1423" s="8">
        <v>86.71</v>
      </c>
      <c r="L1423" s="8">
        <v>122</v>
      </c>
      <c r="M1423" s="8">
        <v>3684876002.5959997</v>
      </c>
      <c r="N1423" s="8">
        <v>8.64</v>
      </c>
      <c r="O1423" s="8" t="str">
        <f>vw_scenario_analysis_dataset[[#This Row],[reporter_name]] &amp; "-" &amp; vw_scenario_analysis_dataset[[#This Row],[reference_year]]</f>
        <v>Eswatini-2019</v>
      </c>
    </row>
    <row r="1424" spans="1:15" x14ac:dyDescent="0.3">
      <c r="A1424" s="8" t="s">
        <v>332</v>
      </c>
      <c r="B1424" s="8" t="s">
        <v>333</v>
      </c>
      <c r="C1424" s="8">
        <v>2020</v>
      </c>
      <c r="D1424" s="8">
        <v>3504227883.8399997</v>
      </c>
      <c r="E1424" s="8">
        <v>4134677810</v>
      </c>
      <c r="F1424" s="8">
        <v>1192729</v>
      </c>
      <c r="G1424" s="8">
        <v>-2.9518345340000001</v>
      </c>
      <c r="H1424" s="8">
        <v>84.014018840000006</v>
      </c>
      <c r="I1424" s="8">
        <v>2937.99</v>
      </c>
      <c r="J1424" s="8">
        <v>3466.57</v>
      </c>
      <c r="K1424" s="8">
        <v>84.75</v>
      </c>
      <c r="L1424" s="8">
        <v>121</v>
      </c>
      <c r="M1424" s="8">
        <v>4003273202.5799994</v>
      </c>
      <c r="N1424" s="8">
        <v>-12.47</v>
      </c>
      <c r="O1424" s="8" t="str">
        <f>vw_scenario_analysis_dataset[[#This Row],[reporter_name]] &amp; "-" &amp; vw_scenario_analysis_dataset[[#This Row],[reference_year]]</f>
        <v>Eswatini-2020</v>
      </c>
    </row>
    <row r="1425" spans="1:15" x14ac:dyDescent="0.3">
      <c r="A1425" s="8" t="s">
        <v>332</v>
      </c>
      <c r="B1425" s="8" t="s">
        <v>333</v>
      </c>
      <c r="C1425" s="8">
        <v>2021</v>
      </c>
      <c r="D1425" s="8">
        <v>4136937620.8200006</v>
      </c>
      <c r="E1425" s="8">
        <v>4807069277</v>
      </c>
      <c r="F1425" s="8">
        <v>1206593</v>
      </c>
      <c r="G1425" s="8">
        <v>4.2362191359999999</v>
      </c>
      <c r="H1425" s="8">
        <v>89.931387490000006</v>
      </c>
      <c r="I1425" s="8">
        <v>3428.61</v>
      </c>
      <c r="J1425" s="8">
        <v>3984</v>
      </c>
      <c r="K1425" s="8">
        <v>86.06</v>
      </c>
      <c r="L1425" s="8">
        <v>123</v>
      </c>
      <c r="M1425" s="8">
        <v>3504227883.8399997</v>
      </c>
      <c r="N1425" s="8">
        <v>18.059999999999999</v>
      </c>
      <c r="O1425" s="8" t="str">
        <f>vw_scenario_analysis_dataset[[#This Row],[reporter_name]] &amp; "-" &amp; vw_scenario_analysis_dataset[[#This Row],[reference_year]]</f>
        <v>Eswatini-2021</v>
      </c>
    </row>
    <row r="1426" spans="1:15" x14ac:dyDescent="0.3">
      <c r="A1426" s="8" t="s">
        <v>332</v>
      </c>
      <c r="B1426" s="8" t="s">
        <v>333</v>
      </c>
      <c r="C1426" s="8">
        <v>2022</v>
      </c>
      <c r="D1426" s="8">
        <v>3981194547.6799994</v>
      </c>
      <c r="E1426" s="8">
        <v>4746660274</v>
      </c>
      <c r="F1426" s="8">
        <v>1218917</v>
      </c>
      <c r="G1426" s="8">
        <v>0.38607083599999997</v>
      </c>
      <c r="H1426" s="8">
        <v>92.571587129999998</v>
      </c>
      <c r="I1426" s="8">
        <v>3266.17</v>
      </c>
      <c r="J1426" s="8">
        <v>3894.16</v>
      </c>
      <c r="K1426" s="8">
        <v>83.87</v>
      </c>
      <c r="L1426" s="8">
        <v>122</v>
      </c>
      <c r="M1426" s="8">
        <v>4136937620.8200006</v>
      </c>
      <c r="N1426" s="8">
        <v>-3.76</v>
      </c>
      <c r="O1426" s="8" t="str">
        <f>vw_scenario_analysis_dataset[[#This Row],[reporter_name]] &amp; "-" &amp; vw_scenario_analysis_dataset[[#This Row],[reference_year]]</f>
        <v>Eswatini-2022</v>
      </c>
    </row>
    <row r="1427" spans="1:15" x14ac:dyDescent="0.3">
      <c r="A1427" s="8" t="s">
        <v>332</v>
      </c>
      <c r="B1427" s="8" t="s">
        <v>333</v>
      </c>
      <c r="C1427" s="8">
        <v>2023</v>
      </c>
      <c r="D1427" s="8">
        <v>4191203418.2399983</v>
      </c>
      <c r="E1427" s="8">
        <v>4621191262</v>
      </c>
      <c r="F1427" s="8">
        <v>1230506</v>
      </c>
      <c r="G1427" s="8">
        <v>3.5325766280000002</v>
      </c>
      <c r="H1427" s="8">
        <v>99.724611080000003</v>
      </c>
      <c r="I1427" s="8">
        <v>3406.08</v>
      </c>
      <c r="J1427" s="8">
        <v>3755.52</v>
      </c>
      <c r="K1427" s="8">
        <v>90.7</v>
      </c>
      <c r="L1427" s="8">
        <v>120</v>
      </c>
      <c r="M1427" s="8">
        <v>3981194547.6799994</v>
      </c>
      <c r="N1427" s="8">
        <v>5.28</v>
      </c>
      <c r="O1427" s="8" t="str">
        <f>vw_scenario_analysis_dataset[[#This Row],[reporter_name]] &amp; "-" &amp; vw_scenario_analysis_dataset[[#This Row],[reference_year]]</f>
        <v>Eswatini-2023</v>
      </c>
    </row>
    <row r="1428" spans="1:15" x14ac:dyDescent="0.3">
      <c r="A1428" s="8" t="s">
        <v>334</v>
      </c>
      <c r="B1428" s="8" t="s">
        <v>335</v>
      </c>
      <c r="C1428" s="8">
        <v>2015</v>
      </c>
      <c r="D1428" s="8">
        <v>951481569.2839998</v>
      </c>
      <c r="E1428" s="8">
        <v>1432403352</v>
      </c>
      <c r="F1428" s="8">
        <v>93419</v>
      </c>
      <c r="G1428" s="8">
        <v>8.9140088750000004</v>
      </c>
      <c r="H1428" s="8">
        <v>187.47501249999999</v>
      </c>
      <c r="I1428" s="8">
        <v>10185.1</v>
      </c>
      <c r="J1428" s="8">
        <v>15333.11</v>
      </c>
      <c r="K1428" s="8">
        <v>66.430000000000007</v>
      </c>
      <c r="L1428" s="8">
        <v>142</v>
      </c>
      <c r="M1428" s="8"/>
      <c r="N1428" s="8"/>
      <c r="O1428" s="8" t="str">
        <f>vw_scenario_analysis_dataset[[#This Row],[reporter_name]] &amp; "-" &amp; vw_scenario_analysis_dataset[[#This Row],[reference_year]]</f>
        <v>Seychelles-2015</v>
      </c>
    </row>
    <row r="1429" spans="1:15" x14ac:dyDescent="0.3">
      <c r="A1429" s="8" t="s">
        <v>334</v>
      </c>
      <c r="B1429" s="8" t="s">
        <v>335</v>
      </c>
      <c r="C1429" s="8">
        <v>2016</v>
      </c>
      <c r="D1429" s="8">
        <v>967753095.06400037</v>
      </c>
      <c r="E1429" s="8">
        <v>1568513348</v>
      </c>
      <c r="F1429" s="8">
        <v>94677</v>
      </c>
      <c r="G1429" s="8">
        <v>12.11752725</v>
      </c>
      <c r="H1429" s="8">
        <v>180.8661884</v>
      </c>
      <c r="I1429" s="8">
        <v>10221.629999999999</v>
      </c>
      <c r="J1429" s="8">
        <v>16566.990000000002</v>
      </c>
      <c r="K1429" s="8">
        <v>61.7</v>
      </c>
      <c r="L1429" s="8">
        <v>143</v>
      </c>
      <c r="M1429" s="8">
        <v>951481569.2839998</v>
      </c>
      <c r="N1429" s="8">
        <v>1.71</v>
      </c>
      <c r="O1429" s="8" t="str">
        <f>vw_scenario_analysis_dataset[[#This Row],[reporter_name]] &amp; "-" &amp; vw_scenario_analysis_dataset[[#This Row],[reference_year]]</f>
        <v>Seychelles-2016</v>
      </c>
    </row>
    <row r="1430" spans="1:15" x14ac:dyDescent="0.3">
      <c r="A1430" s="8" t="s">
        <v>334</v>
      </c>
      <c r="B1430" s="8" t="s">
        <v>335</v>
      </c>
      <c r="C1430" s="8">
        <v>2017</v>
      </c>
      <c r="D1430" s="8">
        <v>6321027057.2050009</v>
      </c>
      <c r="E1430" s="8">
        <v>1675370641</v>
      </c>
      <c r="F1430" s="8">
        <v>95843</v>
      </c>
      <c r="G1430" s="8">
        <v>6.9541621879999997</v>
      </c>
      <c r="H1430" s="8">
        <v>197.44223640000001</v>
      </c>
      <c r="I1430" s="8">
        <v>65951.89</v>
      </c>
      <c r="J1430" s="8">
        <v>17480.37</v>
      </c>
      <c r="K1430" s="8">
        <v>377.29</v>
      </c>
      <c r="L1430" s="8">
        <v>111</v>
      </c>
      <c r="M1430" s="8">
        <v>967753095.06400037</v>
      </c>
      <c r="N1430" s="8">
        <v>553.16999999999996</v>
      </c>
      <c r="O1430" s="8" t="str">
        <f>vw_scenario_analysis_dataset[[#This Row],[reporter_name]] &amp; "-" &amp; vw_scenario_analysis_dataset[[#This Row],[reference_year]]</f>
        <v>Seychelles-2017</v>
      </c>
    </row>
    <row r="1431" spans="1:15" x14ac:dyDescent="0.3">
      <c r="A1431" s="8" t="s">
        <v>334</v>
      </c>
      <c r="B1431" s="8" t="s">
        <v>335</v>
      </c>
      <c r="C1431" s="8">
        <v>2018</v>
      </c>
      <c r="D1431" s="8">
        <v>1699770495.1439993</v>
      </c>
      <c r="E1431" s="8">
        <v>1784313927</v>
      </c>
      <c r="F1431" s="8">
        <v>96762</v>
      </c>
      <c r="G1431" s="8">
        <v>4.9394727229999997</v>
      </c>
      <c r="H1431" s="8">
        <v>185.70753719999999</v>
      </c>
      <c r="I1431" s="8">
        <v>17566.509999999998</v>
      </c>
      <c r="J1431" s="8">
        <v>18440.23</v>
      </c>
      <c r="K1431" s="8">
        <v>95.26</v>
      </c>
      <c r="L1431" s="8">
        <v>137</v>
      </c>
      <c r="M1431" s="8">
        <v>6321027057.2050009</v>
      </c>
      <c r="N1431" s="8">
        <v>-73.11</v>
      </c>
      <c r="O1431" s="8" t="str">
        <f>vw_scenario_analysis_dataset[[#This Row],[reporter_name]] &amp; "-" &amp; vw_scenario_analysis_dataset[[#This Row],[reference_year]]</f>
        <v>Seychelles-2018</v>
      </c>
    </row>
    <row r="1432" spans="1:15" x14ac:dyDescent="0.3">
      <c r="A1432" s="8" t="s">
        <v>334</v>
      </c>
      <c r="B1432" s="8" t="s">
        <v>335</v>
      </c>
      <c r="C1432" s="8">
        <v>2019</v>
      </c>
      <c r="D1432" s="8">
        <v>1648165120.2250006</v>
      </c>
      <c r="E1432" s="8">
        <v>1868690097</v>
      </c>
      <c r="F1432" s="8">
        <v>97625</v>
      </c>
      <c r="G1432" s="8">
        <v>5.5142920740000001</v>
      </c>
      <c r="H1432" s="8">
        <v>173.40784690000001</v>
      </c>
      <c r="I1432" s="8">
        <v>16882.61</v>
      </c>
      <c r="J1432" s="8">
        <v>19141.509999999998</v>
      </c>
      <c r="K1432" s="8">
        <v>88.2</v>
      </c>
      <c r="L1432" s="8">
        <v>138</v>
      </c>
      <c r="M1432" s="8">
        <v>1699770495.1439993</v>
      </c>
      <c r="N1432" s="8">
        <v>-3.04</v>
      </c>
      <c r="O1432" s="8" t="str">
        <f>vw_scenario_analysis_dataset[[#This Row],[reporter_name]] &amp; "-" &amp; vw_scenario_analysis_dataset[[#This Row],[reference_year]]</f>
        <v>Seychelles-2019</v>
      </c>
    </row>
    <row r="1433" spans="1:15" x14ac:dyDescent="0.3">
      <c r="A1433" s="8" t="s">
        <v>334</v>
      </c>
      <c r="B1433" s="8" t="s">
        <v>335</v>
      </c>
      <c r="C1433" s="8">
        <v>2020</v>
      </c>
      <c r="D1433" s="8">
        <v>1922262317.7450001</v>
      </c>
      <c r="E1433" s="8">
        <v>1382551752</v>
      </c>
      <c r="F1433" s="8">
        <v>98462</v>
      </c>
      <c r="G1433" s="8">
        <v>-11.73986083</v>
      </c>
      <c r="H1433" s="8">
        <v>153.48333160000001</v>
      </c>
      <c r="I1433" s="8">
        <v>19522.89</v>
      </c>
      <c r="J1433" s="8">
        <v>14041.48</v>
      </c>
      <c r="K1433" s="8">
        <v>139.04</v>
      </c>
      <c r="L1433" s="8">
        <v>129</v>
      </c>
      <c r="M1433" s="8">
        <v>1648165120.2250006</v>
      </c>
      <c r="N1433" s="8">
        <v>16.63</v>
      </c>
      <c r="O1433" s="8" t="str">
        <f>vw_scenario_analysis_dataset[[#This Row],[reporter_name]] &amp; "-" &amp; vw_scenario_analysis_dataset[[#This Row],[reference_year]]</f>
        <v>Seychelles-2020</v>
      </c>
    </row>
    <row r="1434" spans="1:15" x14ac:dyDescent="0.3">
      <c r="A1434" s="8" t="s">
        <v>334</v>
      </c>
      <c r="B1434" s="8" t="s">
        <v>335</v>
      </c>
      <c r="C1434" s="8">
        <v>2021</v>
      </c>
      <c r="D1434" s="8">
        <v>1267741426.9699993</v>
      </c>
      <c r="E1434" s="8">
        <v>1487173795</v>
      </c>
      <c r="F1434" s="8">
        <v>99258</v>
      </c>
      <c r="G1434" s="8">
        <v>0.55228163100000005</v>
      </c>
      <c r="H1434" s="8">
        <v>183.770815</v>
      </c>
      <c r="I1434" s="8">
        <v>12772.18</v>
      </c>
      <c r="J1434" s="8">
        <v>14982.91</v>
      </c>
      <c r="K1434" s="8">
        <v>85.25</v>
      </c>
      <c r="L1434" s="8">
        <v>138</v>
      </c>
      <c r="M1434" s="8">
        <v>1922262317.7450001</v>
      </c>
      <c r="N1434" s="8">
        <v>-34.049999999999997</v>
      </c>
      <c r="O1434" s="8" t="str">
        <f>vw_scenario_analysis_dataset[[#This Row],[reporter_name]] &amp; "-" &amp; vw_scenario_analysis_dataset[[#This Row],[reference_year]]</f>
        <v>Seychelles-2021</v>
      </c>
    </row>
    <row r="1435" spans="1:15" x14ac:dyDescent="0.3">
      <c r="A1435" s="8" t="s">
        <v>334</v>
      </c>
      <c r="B1435" s="8" t="s">
        <v>335</v>
      </c>
      <c r="C1435" s="8">
        <v>2022</v>
      </c>
      <c r="D1435" s="8">
        <v>1210595742.9749994</v>
      </c>
      <c r="E1435" s="8">
        <v>1999888599</v>
      </c>
      <c r="F1435" s="8">
        <v>119878</v>
      </c>
      <c r="G1435" s="8">
        <v>9.8804836639999998</v>
      </c>
      <c r="H1435" s="8">
        <v>191.57884390000001</v>
      </c>
      <c r="I1435" s="8">
        <v>10098.56</v>
      </c>
      <c r="J1435" s="8">
        <v>16682.7</v>
      </c>
      <c r="K1435" s="8">
        <v>60.53</v>
      </c>
      <c r="L1435" s="8">
        <v>135</v>
      </c>
      <c r="M1435" s="8">
        <v>1267741426.9699993</v>
      </c>
      <c r="N1435" s="8">
        <v>-4.51</v>
      </c>
      <c r="O1435" s="8" t="str">
        <f>vw_scenario_analysis_dataset[[#This Row],[reporter_name]] &amp; "-" &amp; vw_scenario_analysis_dataset[[#This Row],[reference_year]]</f>
        <v>Seychelles-2022</v>
      </c>
    </row>
    <row r="1436" spans="1:15" x14ac:dyDescent="0.3">
      <c r="A1436" s="8" t="s">
        <v>334</v>
      </c>
      <c r="B1436" s="8" t="s">
        <v>335</v>
      </c>
      <c r="C1436" s="8">
        <v>2023</v>
      </c>
      <c r="D1436" s="8">
        <v>1096199753.224</v>
      </c>
      <c r="E1436" s="8">
        <v>2171547935</v>
      </c>
      <c r="F1436" s="8">
        <v>119773</v>
      </c>
      <c r="G1436" s="8">
        <v>5.1798099669999997</v>
      </c>
      <c r="H1436" s="8">
        <v>183.8421166</v>
      </c>
      <c r="I1436" s="8">
        <v>9152.31</v>
      </c>
      <c r="J1436" s="8">
        <v>18130.53</v>
      </c>
      <c r="K1436" s="8">
        <v>50.48</v>
      </c>
      <c r="L1436" s="8">
        <v>133</v>
      </c>
      <c r="M1436" s="8">
        <v>1210595742.9749994</v>
      </c>
      <c r="N1436" s="8">
        <v>-9.4499999999999993</v>
      </c>
      <c r="O1436" s="8" t="str">
        <f>vw_scenario_analysis_dataset[[#This Row],[reporter_name]] &amp; "-" &amp; vw_scenario_analysis_dataset[[#This Row],[reference_year]]</f>
        <v>Seychelles-2023</v>
      </c>
    </row>
    <row r="1437" spans="1:15" x14ac:dyDescent="0.3">
      <c r="A1437" s="8" t="s">
        <v>334</v>
      </c>
      <c r="B1437" s="8" t="s">
        <v>335</v>
      </c>
      <c r="C1437" s="8">
        <v>2024</v>
      </c>
      <c r="D1437" s="8">
        <v>1189084076.8579998</v>
      </c>
      <c r="E1437" s="8">
        <v>2228608684</v>
      </c>
      <c r="F1437" s="8">
        <v>121354</v>
      </c>
      <c r="G1437" s="8">
        <v>3.3466742900000002</v>
      </c>
      <c r="H1437" s="8">
        <v>175.8729826</v>
      </c>
      <c r="I1437" s="8">
        <v>9798.4699999999993</v>
      </c>
      <c r="J1437" s="8">
        <v>18364.53</v>
      </c>
      <c r="K1437" s="8">
        <v>53.36</v>
      </c>
      <c r="L1437" s="8">
        <v>119</v>
      </c>
      <c r="M1437" s="8">
        <v>1096199753.224</v>
      </c>
      <c r="N1437" s="8">
        <v>8.4700000000000006</v>
      </c>
      <c r="O1437" s="8" t="str">
        <f>vw_scenario_analysis_dataset[[#This Row],[reporter_name]] &amp; "-" &amp; vw_scenario_analysis_dataset[[#This Row],[reference_year]]</f>
        <v>Seychelles-2024</v>
      </c>
    </row>
    <row r="1438" spans="1:15" x14ac:dyDescent="0.3">
      <c r="A1438" s="8" t="s">
        <v>336</v>
      </c>
      <c r="B1438" s="8" t="s">
        <v>337</v>
      </c>
      <c r="C1438" s="8">
        <v>2015</v>
      </c>
      <c r="D1438" s="8">
        <v>1585646347.9559996</v>
      </c>
      <c r="E1438" s="8">
        <v>5755457836</v>
      </c>
      <c r="F1438" s="8">
        <v>7071502</v>
      </c>
      <c r="G1438" s="8">
        <v>5.4680413809999999</v>
      </c>
      <c r="H1438" s="8">
        <v>69.128137879999997</v>
      </c>
      <c r="I1438" s="8">
        <v>224.23</v>
      </c>
      <c r="J1438" s="8">
        <v>813.89</v>
      </c>
      <c r="K1438" s="8">
        <v>27.55</v>
      </c>
      <c r="L1438" s="8">
        <v>133</v>
      </c>
      <c r="M1438" s="8"/>
      <c r="N1438" s="8"/>
      <c r="O1438" s="8" t="str">
        <f>vw_scenario_analysis_dataset[[#This Row],[reporter_name]] &amp; "-" &amp; vw_scenario_analysis_dataset[[#This Row],[reference_year]]</f>
        <v>Togo-2015</v>
      </c>
    </row>
    <row r="1439" spans="1:15" x14ac:dyDescent="0.3">
      <c r="A1439" s="8" t="s">
        <v>336</v>
      </c>
      <c r="B1439" s="8" t="s">
        <v>337</v>
      </c>
      <c r="C1439" s="8">
        <v>2016</v>
      </c>
      <c r="D1439" s="8">
        <v>1603978737.3679996</v>
      </c>
      <c r="E1439" s="8">
        <v>6071167584</v>
      </c>
      <c r="F1439" s="8">
        <v>7200884</v>
      </c>
      <c r="G1439" s="8">
        <v>4.214903874</v>
      </c>
      <c r="H1439" s="8">
        <v>66.445040980000002</v>
      </c>
      <c r="I1439" s="8">
        <v>222.75</v>
      </c>
      <c r="J1439" s="8">
        <v>843.11</v>
      </c>
      <c r="K1439" s="8">
        <v>26.42</v>
      </c>
      <c r="L1439" s="8">
        <v>135</v>
      </c>
      <c r="M1439" s="8">
        <v>1585646347.9559996</v>
      </c>
      <c r="N1439" s="8">
        <v>1.1599999999999999</v>
      </c>
      <c r="O1439" s="8" t="str">
        <f>vw_scenario_analysis_dataset[[#This Row],[reporter_name]] &amp; "-" &amp; vw_scenario_analysis_dataset[[#This Row],[reference_year]]</f>
        <v>Togo-2016</v>
      </c>
    </row>
    <row r="1440" spans="1:15" x14ac:dyDescent="0.3">
      <c r="A1440" s="8" t="s">
        <v>336</v>
      </c>
      <c r="B1440" s="8" t="s">
        <v>337</v>
      </c>
      <c r="C1440" s="8">
        <v>2017</v>
      </c>
      <c r="D1440" s="8">
        <v>1734114022.4220004</v>
      </c>
      <c r="E1440" s="8">
        <v>6387424240</v>
      </c>
      <c r="F1440" s="8">
        <v>7324386</v>
      </c>
      <c r="G1440" s="8">
        <v>4.0079125959999997</v>
      </c>
      <c r="H1440" s="8">
        <v>58.208860250000001</v>
      </c>
      <c r="I1440" s="8">
        <v>236.76</v>
      </c>
      <c r="J1440" s="8">
        <v>872.08</v>
      </c>
      <c r="K1440" s="8">
        <v>27.15</v>
      </c>
      <c r="L1440" s="8">
        <v>136</v>
      </c>
      <c r="M1440" s="8">
        <v>1603978737.3679996</v>
      </c>
      <c r="N1440" s="8">
        <v>8.11</v>
      </c>
      <c r="O1440" s="8" t="str">
        <f>vw_scenario_analysis_dataset[[#This Row],[reporter_name]] &amp; "-" &amp; vw_scenario_analysis_dataset[[#This Row],[reference_year]]</f>
        <v>Togo-2017</v>
      </c>
    </row>
    <row r="1441" spans="1:15" x14ac:dyDescent="0.3">
      <c r="A1441" s="8" t="s">
        <v>336</v>
      </c>
      <c r="B1441" s="8" t="s">
        <v>337</v>
      </c>
      <c r="C1441" s="8">
        <v>2018</v>
      </c>
      <c r="D1441" s="8">
        <v>2046437924.8290012</v>
      </c>
      <c r="E1441" s="8">
        <v>7029215766</v>
      </c>
      <c r="F1441" s="8">
        <v>7458206</v>
      </c>
      <c r="G1441" s="8">
        <v>4.7951833309999996</v>
      </c>
      <c r="H1441" s="8">
        <v>57.573738849999998</v>
      </c>
      <c r="I1441" s="8">
        <v>274.39</v>
      </c>
      <c r="J1441" s="8">
        <v>942.48</v>
      </c>
      <c r="K1441" s="8">
        <v>29.11</v>
      </c>
      <c r="L1441" s="8">
        <v>130</v>
      </c>
      <c r="M1441" s="8">
        <v>1734114022.4220004</v>
      </c>
      <c r="N1441" s="8">
        <v>18.010000000000002</v>
      </c>
      <c r="O1441" s="8" t="str">
        <f>vw_scenario_analysis_dataset[[#This Row],[reporter_name]] &amp; "-" &amp; vw_scenario_analysis_dataset[[#This Row],[reference_year]]</f>
        <v>Togo-2018</v>
      </c>
    </row>
    <row r="1442" spans="1:15" x14ac:dyDescent="0.3">
      <c r="A1442" s="8" t="s">
        <v>336</v>
      </c>
      <c r="B1442" s="8" t="s">
        <v>337</v>
      </c>
      <c r="C1442" s="8">
        <v>2019</v>
      </c>
      <c r="D1442" s="8">
        <v>2021730859.8889992</v>
      </c>
      <c r="E1442" s="8">
        <v>6992942459</v>
      </c>
      <c r="F1442" s="8">
        <v>7619925</v>
      </c>
      <c r="G1442" s="8">
        <v>4.9194926050000003</v>
      </c>
      <c r="H1442" s="8">
        <v>56.339850069999997</v>
      </c>
      <c r="I1442" s="8">
        <v>265.32</v>
      </c>
      <c r="J1442" s="8">
        <v>917.72</v>
      </c>
      <c r="K1442" s="8">
        <v>28.91</v>
      </c>
      <c r="L1442" s="8">
        <v>130</v>
      </c>
      <c r="M1442" s="8">
        <v>2046437924.8290012</v>
      </c>
      <c r="N1442" s="8">
        <v>-1.21</v>
      </c>
      <c r="O1442" s="8" t="str">
        <f>vw_scenario_analysis_dataset[[#This Row],[reporter_name]] &amp; "-" &amp; vw_scenario_analysis_dataset[[#This Row],[reference_year]]</f>
        <v>Togo-2019</v>
      </c>
    </row>
    <row r="1443" spans="1:15" x14ac:dyDescent="0.3">
      <c r="A1443" s="8" t="s">
        <v>336</v>
      </c>
      <c r="B1443" s="8" t="s">
        <v>337</v>
      </c>
      <c r="C1443" s="8">
        <v>2020</v>
      </c>
      <c r="D1443" s="8">
        <v>1957380403.9180002</v>
      </c>
      <c r="E1443" s="8">
        <v>7486031562</v>
      </c>
      <c r="F1443" s="8">
        <v>7788054</v>
      </c>
      <c r="G1443" s="8">
        <v>2.159001312</v>
      </c>
      <c r="H1443" s="8">
        <v>55.065951400000003</v>
      </c>
      <c r="I1443" s="8">
        <v>251.33</v>
      </c>
      <c r="J1443" s="8">
        <v>961.22</v>
      </c>
      <c r="K1443" s="8">
        <v>26.15</v>
      </c>
      <c r="L1443" s="8">
        <v>128</v>
      </c>
      <c r="M1443" s="8">
        <v>2021730859.8889992</v>
      </c>
      <c r="N1443" s="8">
        <v>-3.18</v>
      </c>
      <c r="O1443" s="8" t="str">
        <f>vw_scenario_analysis_dataset[[#This Row],[reporter_name]] &amp; "-" &amp; vw_scenario_analysis_dataset[[#This Row],[reference_year]]</f>
        <v>Togo-2020</v>
      </c>
    </row>
    <row r="1444" spans="1:15" x14ac:dyDescent="0.3">
      <c r="A1444" s="8" t="s">
        <v>336</v>
      </c>
      <c r="B1444" s="8" t="s">
        <v>337</v>
      </c>
      <c r="C1444" s="8">
        <v>2021</v>
      </c>
      <c r="D1444" s="8">
        <v>2119323098.674</v>
      </c>
      <c r="E1444" s="8">
        <v>8541668141</v>
      </c>
      <c r="F1444" s="8">
        <v>7936176</v>
      </c>
      <c r="G1444" s="8">
        <v>5.1356292909999999</v>
      </c>
      <c r="H1444" s="8">
        <v>56.37755808</v>
      </c>
      <c r="I1444" s="8">
        <v>267.05</v>
      </c>
      <c r="J1444" s="8">
        <v>1076.3</v>
      </c>
      <c r="K1444" s="8">
        <v>24.81</v>
      </c>
      <c r="L1444" s="8">
        <v>132</v>
      </c>
      <c r="M1444" s="8">
        <v>1957380403.9180002</v>
      </c>
      <c r="N1444" s="8">
        <v>8.27</v>
      </c>
      <c r="O1444" s="8" t="str">
        <f>vw_scenario_analysis_dataset[[#This Row],[reporter_name]] &amp; "-" &amp; vw_scenario_analysis_dataset[[#This Row],[reference_year]]</f>
        <v>Togo-2021</v>
      </c>
    </row>
    <row r="1445" spans="1:15" x14ac:dyDescent="0.3">
      <c r="A1445" s="8" t="s">
        <v>336</v>
      </c>
      <c r="B1445" s="8" t="s">
        <v>337</v>
      </c>
      <c r="C1445" s="8">
        <v>2022</v>
      </c>
      <c r="D1445" s="8">
        <v>2696521411.3919988</v>
      </c>
      <c r="E1445" s="8">
        <v>8646453099</v>
      </c>
      <c r="F1445" s="8">
        <v>8068616</v>
      </c>
      <c r="G1445" s="8">
        <v>6.2944369199999999</v>
      </c>
      <c r="H1445" s="8">
        <v>61.575092400000003</v>
      </c>
      <c r="I1445" s="8">
        <v>334.2</v>
      </c>
      <c r="J1445" s="8">
        <v>1071.6199999999999</v>
      </c>
      <c r="K1445" s="8">
        <v>31.19</v>
      </c>
      <c r="L1445" s="8">
        <v>128</v>
      </c>
      <c r="M1445" s="8">
        <v>2119323098.674</v>
      </c>
      <c r="N1445" s="8">
        <v>27.24</v>
      </c>
      <c r="O1445" s="8" t="str">
        <f>vw_scenario_analysis_dataset[[#This Row],[reporter_name]] &amp; "-" &amp; vw_scenario_analysis_dataset[[#This Row],[reference_year]]</f>
        <v>Togo-2022</v>
      </c>
    </row>
    <row r="1446" spans="1:15" x14ac:dyDescent="0.3">
      <c r="A1446" s="8" t="s">
        <v>336</v>
      </c>
      <c r="B1446" s="8" t="s">
        <v>337</v>
      </c>
      <c r="C1446" s="8">
        <v>2023</v>
      </c>
      <c r="D1446" s="8">
        <v>2911116870.5609994</v>
      </c>
      <c r="E1446" s="8">
        <v>9723300577</v>
      </c>
      <c r="F1446" s="8">
        <v>8223850</v>
      </c>
      <c r="G1446" s="8">
        <v>6.1976296939999997</v>
      </c>
      <c r="H1446" s="8">
        <v>59.929177699999997</v>
      </c>
      <c r="I1446" s="8">
        <v>353.98</v>
      </c>
      <c r="J1446" s="8">
        <v>1182.33</v>
      </c>
      <c r="K1446" s="8">
        <v>29.94</v>
      </c>
      <c r="L1446" s="8">
        <v>124</v>
      </c>
      <c r="M1446" s="8">
        <v>2696521411.3919988</v>
      </c>
      <c r="N1446" s="8">
        <v>7.96</v>
      </c>
      <c r="O1446" s="8" t="str">
        <f>vw_scenario_analysis_dataset[[#This Row],[reporter_name]] &amp; "-" &amp; vw_scenario_analysis_dataset[[#This Row],[reference_year]]</f>
        <v>Togo-2023</v>
      </c>
    </row>
    <row r="1447" spans="1:15" x14ac:dyDescent="0.3">
      <c r="A1447" s="8" t="s">
        <v>336</v>
      </c>
      <c r="B1447" s="8" t="s">
        <v>337</v>
      </c>
      <c r="C1447" s="8">
        <v>2024</v>
      </c>
      <c r="D1447" s="8">
        <v>2744614407.4740009</v>
      </c>
      <c r="E1447" s="8">
        <v>10643440332</v>
      </c>
      <c r="F1447" s="8">
        <v>8406558</v>
      </c>
      <c r="G1447" s="8">
        <v>6.526513768</v>
      </c>
      <c r="H1447" s="8"/>
      <c r="I1447" s="8">
        <v>326.48</v>
      </c>
      <c r="J1447" s="8">
        <v>1266.0899999999999</v>
      </c>
      <c r="K1447" s="8">
        <v>25.79</v>
      </c>
      <c r="L1447" s="8">
        <v>108</v>
      </c>
      <c r="M1447" s="8">
        <v>2911116870.5609994</v>
      </c>
      <c r="N1447" s="8">
        <v>-5.72</v>
      </c>
      <c r="O1447" s="8" t="str">
        <f>vw_scenario_analysis_dataset[[#This Row],[reporter_name]] &amp; "-" &amp; vw_scenario_analysis_dataset[[#This Row],[reference_year]]</f>
        <v>Togo-2024</v>
      </c>
    </row>
    <row r="1448" spans="1:15" x14ac:dyDescent="0.3">
      <c r="A1448" s="8" t="s">
        <v>338</v>
      </c>
      <c r="B1448" s="8" t="s">
        <v>339</v>
      </c>
      <c r="C1448" s="8">
        <v>2015</v>
      </c>
      <c r="D1448" s="8">
        <v>428618751550.69983</v>
      </c>
      <c r="E1448" s="8">
        <v>401000000000</v>
      </c>
      <c r="F1448" s="8">
        <v>70540795</v>
      </c>
      <c r="G1448" s="8">
        <v>3.134047249</v>
      </c>
      <c r="H1448" s="8">
        <v>124.83966220000001</v>
      </c>
      <c r="I1448" s="8">
        <v>6076.18</v>
      </c>
      <c r="J1448" s="8">
        <v>5684.65</v>
      </c>
      <c r="K1448" s="8">
        <v>106.89</v>
      </c>
      <c r="L1448" s="8">
        <v>18</v>
      </c>
      <c r="M1448" s="8"/>
      <c r="N1448" s="8"/>
      <c r="O1448" s="8" t="str">
        <f>vw_scenario_analysis_dataset[[#This Row],[reporter_name]] &amp; "-" &amp; vw_scenario_analysis_dataset[[#This Row],[reference_year]]</f>
        <v>Thailand-2015</v>
      </c>
    </row>
    <row r="1449" spans="1:15" x14ac:dyDescent="0.3">
      <c r="A1449" s="8" t="s">
        <v>338</v>
      </c>
      <c r="B1449" s="8" t="s">
        <v>339</v>
      </c>
      <c r="C1449" s="8">
        <v>2016</v>
      </c>
      <c r="D1449" s="8">
        <v>430774591000.03961</v>
      </c>
      <c r="E1449" s="8">
        <v>413000000000</v>
      </c>
      <c r="F1449" s="8">
        <v>70859841</v>
      </c>
      <c r="G1449" s="8">
        <v>3.4351577170000001</v>
      </c>
      <c r="H1449" s="8">
        <v>120.57522729999999</v>
      </c>
      <c r="I1449" s="8">
        <v>6079.25</v>
      </c>
      <c r="J1449" s="8">
        <v>5828.41</v>
      </c>
      <c r="K1449" s="8">
        <v>104.3</v>
      </c>
      <c r="L1449" s="8">
        <v>18</v>
      </c>
      <c r="M1449" s="8">
        <v>428618751550.69983</v>
      </c>
      <c r="N1449" s="8">
        <v>0.5</v>
      </c>
      <c r="O1449" s="8" t="str">
        <f>vw_scenario_analysis_dataset[[#This Row],[reporter_name]] &amp; "-" &amp; vw_scenario_analysis_dataset[[#This Row],[reference_year]]</f>
        <v>Thailand-2016</v>
      </c>
    </row>
    <row r="1450" spans="1:15" x14ac:dyDescent="0.3">
      <c r="A1450" s="8" t="s">
        <v>338</v>
      </c>
      <c r="B1450" s="8" t="s">
        <v>339</v>
      </c>
      <c r="C1450" s="8">
        <v>2017</v>
      </c>
      <c r="D1450" s="8">
        <v>473268075385.69971</v>
      </c>
      <c r="E1450" s="8">
        <v>456000000000</v>
      </c>
      <c r="F1450" s="8">
        <v>71160187</v>
      </c>
      <c r="G1450" s="8">
        <v>4.1776810319999997</v>
      </c>
      <c r="H1450" s="8">
        <v>120.8914274</v>
      </c>
      <c r="I1450" s="8">
        <v>6650.74</v>
      </c>
      <c r="J1450" s="8">
        <v>6408.08</v>
      </c>
      <c r="K1450" s="8">
        <v>103.79</v>
      </c>
      <c r="L1450" s="8">
        <v>18</v>
      </c>
      <c r="M1450" s="8">
        <v>430774591000.03961</v>
      </c>
      <c r="N1450" s="8">
        <v>9.86</v>
      </c>
      <c r="O1450" s="8" t="str">
        <f>vw_scenario_analysis_dataset[[#This Row],[reporter_name]] &amp; "-" &amp; vw_scenario_analysis_dataset[[#This Row],[reference_year]]</f>
        <v>Thailand-2017</v>
      </c>
    </row>
    <row r="1451" spans="1:15" x14ac:dyDescent="0.3">
      <c r="A1451" s="8" t="s">
        <v>338</v>
      </c>
      <c r="B1451" s="8" t="s">
        <v>339</v>
      </c>
      <c r="C1451" s="8">
        <v>2018</v>
      </c>
      <c r="D1451" s="8">
        <v>504970308230.45978</v>
      </c>
      <c r="E1451" s="8">
        <v>507000000000</v>
      </c>
      <c r="F1451" s="8">
        <v>71376079</v>
      </c>
      <c r="G1451" s="8">
        <v>4.2228702870000001</v>
      </c>
      <c r="H1451" s="8">
        <v>120.8418647</v>
      </c>
      <c r="I1451" s="8">
        <v>7074.78</v>
      </c>
      <c r="J1451" s="8">
        <v>7103.22</v>
      </c>
      <c r="K1451" s="8">
        <v>99.6</v>
      </c>
      <c r="L1451" s="8">
        <v>21</v>
      </c>
      <c r="M1451" s="8">
        <v>473268075385.69971</v>
      </c>
      <c r="N1451" s="8">
        <v>6.7</v>
      </c>
      <c r="O1451" s="8" t="str">
        <f>vw_scenario_analysis_dataset[[#This Row],[reporter_name]] &amp; "-" &amp; vw_scenario_analysis_dataset[[#This Row],[reference_year]]</f>
        <v>Thailand-2018</v>
      </c>
    </row>
    <row r="1452" spans="1:15" x14ac:dyDescent="0.3">
      <c r="A1452" s="8" t="s">
        <v>338</v>
      </c>
      <c r="B1452" s="8" t="s">
        <v>339</v>
      </c>
      <c r="C1452" s="8">
        <v>2019</v>
      </c>
      <c r="D1452" s="8">
        <v>492532100556.93787</v>
      </c>
      <c r="E1452" s="8">
        <v>544000000000</v>
      </c>
      <c r="F1452" s="8">
        <v>71522271</v>
      </c>
      <c r="G1452" s="8">
        <v>2.1145577960000002</v>
      </c>
      <c r="H1452" s="8">
        <v>109.6895147</v>
      </c>
      <c r="I1452" s="8">
        <v>6886.42</v>
      </c>
      <c r="J1452" s="8">
        <v>7606.02</v>
      </c>
      <c r="K1452" s="8">
        <v>90.54</v>
      </c>
      <c r="L1452" s="8">
        <v>22</v>
      </c>
      <c r="M1452" s="8">
        <v>504970308230.45978</v>
      </c>
      <c r="N1452" s="8">
        <v>-2.46</v>
      </c>
      <c r="O1452" s="8" t="str">
        <f>vw_scenario_analysis_dataset[[#This Row],[reporter_name]] &amp; "-" &amp; vw_scenario_analysis_dataset[[#This Row],[reference_year]]</f>
        <v>Thailand-2019</v>
      </c>
    </row>
    <row r="1453" spans="1:15" x14ac:dyDescent="0.3">
      <c r="A1453" s="8" t="s">
        <v>338</v>
      </c>
      <c r="B1453" s="8" t="s">
        <v>339</v>
      </c>
      <c r="C1453" s="8">
        <v>2020</v>
      </c>
      <c r="D1453" s="8">
        <v>463267704680.10144</v>
      </c>
      <c r="E1453" s="8">
        <v>500000000000</v>
      </c>
      <c r="F1453" s="8">
        <v>71641484</v>
      </c>
      <c r="G1453" s="8">
        <v>-6.09306313</v>
      </c>
      <c r="H1453" s="8">
        <v>97.662441939999994</v>
      </c>
      <c r="I1453" s="8">
        <v>6466.47</v>
      </c>
      <c r="J1453" s="8">
        <v>6979.2</v>
      </c>
      <c r="K1453" s="8">
        <v>92.65</v>
      </c>
      <c r="L1453" s="8">
        <v>22</v>
      </c>
      <c r="M1453" s="8">
        <v>492532100556.93787</v>
      </c>
      <c r="N1453" s="8">
        <v>-5.94</v>
      </c>
      <c r="O1453" s="8" t="str">
        <f>vw_scenario_analysis_dataset[[#This Row],[reporter_name]] &amp; "-" &amp; vw_scenario_analysis_dataset[[#This Row],[reference_year]]</f>
        <v>Thailand-2020</v>
      </c>
    </row>
    <row r="1454" spans="1:15" x14ac:dyDescent="0.3">
      <c r="A1454" s="8" t="s">
        <v>338</v>
      </c>
      <c r="B1454" s="8" t="s">
        <v>339</v>
      </c>
      <c r="C1454" s="8">
        <v>2021</v>
      </c>
      <c r="D1454" s="8">
        <v>544011570993.78595</v>
      </c>
      <c r="E1454" s="8">
        <v>506000000000</v>
      </c>
      <c r="F1454" s="8">
        <v>71727332</v>
      </c>
      <c r="G1454" s="8">
        <v>1.558582321</v>
      </c>
      <c r="H1454" s="8">
        <v>117.1314722</v>
      </c>
      <c r="I1454" s="8">
        <v>7584.44</v>
      </c>
      <c r="J1454" s="8">
        <v>7054.49</v>
      </c>
      <c r="K1454" s="8">
        <v>107.51</v>
      </c>
      <c r="L1454" s="8">
        <v>24</v>
      </c>
      <c r="M1454" s="8">
        <v>463267704680.10144</v>
      </c>
      <c r="N1454" s="8">
        <v>17.43</v>
      </c>
      <c r="O1454" s="8" t="str">
        <f>vw_scenario_analysis_dataset[[#This Row],[reporter_name]] &amp; "-" &amp; vw_scenario_analysis_dataset[[#This Row],[reference_year]]</f>
        <v>Thailand-2021</v>
      </c>
    </row>
    <row r="1455" spans="1:15" x14ac:dyDescent="0.3">
      <c r="A1455" s="8" t="s">
        <v>338</v>
      </c>
      <c r="B1455" s="8" t="s">
        <v>339</v>
      </c>
      <c r="C1455" s="8">
        <v>2022</v>
      </c>
      <c r="D1455" s="8">
        <v>574848486784.38379</v>
      </c>
      <c r="E1455" s="8">
        <v>496000000000</v>
      </c>
      <c r="F1455" s="8">
        <v>71735329</v>
      </c>
      <c r="G1455" s="8">
        <v>2.6378421360000002</v>
      </c>
      <c r="H1455" s="8">
        <v>132.81345830000001</v>
      </c>
      <c r="I1455" s="8">
        <v>8013.46</v>
      </c>
      <c r="J1455" s="8">
        <v>6914.31</v>
      </c>
      <c r="K1455" s="8">
        <v>115.9</v>
      </c>
      <c r="L1455" s="8">
        <v>24</v>
      </c>
      <c r="M1455" s="8">
        <v>544011570993.78595</v>
      </c>
      <c r="N1455" s="8">
        <v>5.67</v>
      </c>
      <c r="O1455" s="8" t="str">
        <f>vw_scenario_analysis_dataset[[#This Row],[reporter_name]] &amp; "-" &amp; vw_scenario_analysis_dataset[[#This Row],[reference_year]]</f>
        <v>Thailand-2022</v>
      </c>
    </row>
    <row r="1456" spans="1:15" x14ac:dyDescent="0.3">
      <c r="A1456" s="8" t="s">
        <v>338</v>
      </c>
      <c r="B1456" s="8" t="s">
        <v>339</v>
      </c>
      <c r="C1456" s="8">
        <v>2023</v>
      </c>
      <c r="D1456" s="8">
        <v>570148164057.17065</v>
      </c>
      <c r="E1456" s="8">
        <v>517000000000</v>
      </c>
      <c r="F1456" s="8">
        <v>71702435</v>
      </c>
      <c r="G1456" s="8">
        <v>2.2488343799999999</v>
      </c>
      <c r="H1456" s="8">
        <v>128.79235969999999</v>
      </c>
      <c r="I1456" s="8">
        <v>7951.59</v>
      </c>
      <c r="J1456" s="8">
        <v>7210.35</v>
      </c>
      <c r="K1456" s="8">
        <v>110.28</v>
      </c>
      <c r="L1456" s="8">
        <v>23</v>
      </c>
      <c r="M1456" s="8">
        <v>574848486784.38379</v>
      </c>
      <c r="N1456" s="8">
        <v>-0.82</v>
      </c>
      <c r="O1456" s="8" t="str">
        <f>vw_scenario_analysis_dataset[[#This Row],[reporter_name]] &amp; "-" &amp; vw_scenario_analysis_dataset[[#This Row],[reference_year]]</f>
        <v>Thailand-2023</v>
      </c>
    </row>
    <row r="1457" spans="1:15" x14ac:dyDescent="0.3">
      <c r="A1457" s="8" t="s">
        <v>338</v>
      </c>
      <c r="B1457" s="8" t="s">
        <v>339</v>
      </c>
      <c r="C1457" s="8">
        <v>2024</v>
      </c>
      <c r="D1457" s="8">
        <v>601518806706.33984</v>
      </c>
      <c r="E1457" s="8">
        <v>529000000000</v>
      </c>
      <c r="F1457" s="8">
        <v>71668011</v>
      </c>
      <c r="G1457" s="8">
        <v>2.9485998659999999</v>
      </c>
      <c r="H1457" s="8">
        <v>135.7249358</v>
      </c>
      <c r="I1457" s="8">
        <v>8393.1299999999992</v>
      </c>
      <c r="J1457" s="8">
        <v>7381.26</v>
      </c>
      <c r="K1457" s="8">
        <v>113.71</v>
      </c>
      <c r="L1457" s="8">
        <v>21</v>
      </c>
      <c r="M1457" s="8">
        <v>570148164057.17065</v>
      </c>
      <c r="N1457" s="8">
        <v>5.5</v>
      </c>
      <c r="O1457" s="8" t="str">
        <f>vw_scenario_analysis_dataset[[#This Row],[reporter_name]] &amp; "-" &amp; vw_scenario_analysis_dataset[[#This Row],[reference_year]]</f>
        <v>Thailand-2024</v>
      </c>
    </row>
    <row r="1458" spans="1:15" x14ac:dyDescent="0.3">
      <c r="A1458" s="8" t="s">
        <v>340</v>
      </c>
      <c r="B1458" s="8" t="s">
        <v>341</v>
      </c>
      <c r="C1458" s="8">
        <v>2015</v>
      </c>
      <c r="D1458" s="8">
        <v>1795209722</v>
      </c>
      <c r="E1458" s="8">
        <v>8271431485</v>
      </c>
      <c r="F1458" s="8">
        <v>8643840</v>
      </c>
      <c r="G1458" s="8">
        <v>6.0193033180000004</v>
      </c>
      <c r="H1458" s="8">
        <v>49.937816069999997</v>
      </c>
      <c r="I1458" s="8">
        <v>207.69</v>
      </c>
      <c r="J1458" s="8">
        <v>956.92</v>
      </c>
      <c r="K1458" s="8">
        <v>21.7</v>
      </c>
      <c r="L1458" s="8">
        <v>132</v>
      </c>
      <c r="M1458" s="8"/>
      <c r="N1458" s="8"/>
      <c r="O1458" s="8" t="str">
        <f>vw_scenario_analysis_dataset[[#This Row],[reporter_name]] &amp; "-" &amp; vw_scenario_analysis_dataset[[#This Row],[reference_year]]</f>
        <v>Tajikistan-2015</v>
      </c>
    </row>
    <row r="1459" spans="1:15" x14ac:dyDescent="0.3">
      <c r="A1459" s="8" t="s">
        <v>340</v>
      </c>
      <c r="B1459" s="8" t="s">
        <v>341</v>
      </c>
      <c r="C1459" s="8">
        <v>2016</v>
      </c>
      <c r="D1459" s="8">
        <v>1798640624</v>
      </c>
      <c r="E1459" s="8">
        <v>6992416097</v>
      </c>
      <c r="F1459" s="8">
        <v>8865631</v>
      </c>
      <c r="G1459" s="8">
        <v>6.9</v>
      </c>
      <c r="H1459" s="8">
        <v>55.724644689999998</v>
      </c>
      <c r="I1459" s="8">
        <v>202.88</v>
      </c>
      <c r="J1459" s="8">
        <v>788.71</v>
      </c>
      <c r="K1459" s="8">
        <v>25.72</v>
      </c>
      <c r="L1459" s="8">
        <v>134</v>
      </c>
      <c r="M1459" s="8">
        <v>1795209722</v>
      </c>
      <c r="N1459" s="8">
        <v>0.19</v>
      </c>
      <c r="O1459" s="8" t="str">
        <f>vw_scenario_analysis_dataset[[#This Row],[reporter_name]] &amp; "-" &amp; vw_scenario_analysis_dataset[[#This Row],[reference_year]]</f>
        <v>Tajikistan-2016</v>
      </c>
    </row>
    <row r="1460" spans="1:15" x14ac:dyDescent="0.3">
      <c r="A1460" s="8" t="s">
        <v>340</v>
      </c>
      <c r="B1460" s="8" t="s">
        <v>341</v>
      </c>
      <c r="C1460" s="8">
        <v>2017</v>
      </c>
      <c r="D1460" s="8">
        <v>1967651902</v>
      </c>
      <c r="E1460" s="8">
        <v>7536402853</v>
      </c>
      <c r="F1460" s="8">
        <v>9085946</v>
      </c>
      <c r="G1460" s="8">
        <v>7.1000004189999997</v>
      </c>
      <c r="H1460" s="8">
        <v>53.786104610000002</v>
      </c>
      <c r="I1460" s="8">
        <v>216.56</v>
      </c>
      <c r="J1460" s="8">
        <v>829.46</v>
      </c>
      <c r="K1460" s="8">
        <v>26.11</v>
      </c>
      <c r="L1460" s="8">
        <v>133</v>
      </c>
      <c r="M1460" s="8">
        <v>1798640624</v>
      </c>
      <c r="N1460" s="8">
        <v>9.4</v>
      </c>
      <c r="O1460" s="8" t="str">
        <f>vw_scenario_analysis_dataset[[#This Row],[reporter_name]] &amp; "-" &amp; vw_scenario_analysis_dataset[[#This Row],[reference_year]]</f>
        <v>Tajikistan-2017</v>
      </c>
    </row>
    <row r="1461" spans="1:15" x14ac:dyDescent="0.3">
      <c r="A1461" s="8" t="s">
        <v>340</v>
      </c>
      <c r="B1461" s="8" t="s">
        <v>341</v>
      </c>
      <c r="C1461" s="8">
        <v>2018</v>
      </c>
      <c r="D1461" s="8">
        <v>2147716086</v>
      </c>
      <c r="E1461" s="8">
        <v>7764999999</v>
      </c>
      <c r="F1461" s="8">
        <v>9307333</v>
      </c>
      <c r="G1461" s="8">
        <v>7.5999988900000002</v>
      </c>
      <c r="H1461" s="8">
        <v>55.846111409999999</v>
      </c>
      <c r="I1461" s="8">
        <v>230.76</v>
      </c>
      <c r="J1461" s="8">
        <v>834.29</v>
      </c>
      <c r="K1461" s="8">
        <v>27.66</v>
      </c>
      <c r="L1461" s="8">
        <v>129</v>
      </c>
      <c r="M1461" s="8">
        <v>1967651902</v>
      </c>
      <c r="N1461" s="8">
        <v>9.15</v>
      </c>
      <c r="O1461" s="8" t="str">
        <f>vw_scenario_analysis_dataset[[#This Row],[reporter_name]] &amp; "-" &amp; vw_scenario_analysis_dataset[[#This Row],[reference_year]]</f>
        <v>Tajikistan-2018</v>
      </c>
    </row>
    <row r="1462" spans="1:15" x14ac:dyDescent="0.3">
      <c r="A1462" s="8" t="s">
        <v>340</v>
      </c>
      <c r="B1462" s="8" t="s">
        <v>341</v>
      </c>
      <c r="C1462" s="8">
        <v>2019</v>
      </c>
      <c r="D1462" s="8">
        <v>1783946246</v>
      </c>
      <c r="E1462" s="8">
        <v>8300813599</v>
      </c>
      <c r="F1462" s="8">
        <v>9529966</v>
      </c>
      <c r="G1462" s="8">
        <v>7.4000001629999996</v>
      </c>
      <c r="H1462" s="8">
        <v>56.045015909999996</v>
      </c>
      <c r="I1462" s="8">
        <v>187.19</v>
      </c>
      <c r="J1462" s="8">
        <v>871.02</v>
      </c>
      <c r="K1462" s="8">
        <v>21.49</v>
      </c>
      <c r="L1462" s="8">
        <v>135</v>
      </c>
      <c r="M1462" s="8">
        <v>2147716086</v>
      </c>
      <c r="N1462" s="8">
        <v>-16.940000000000001</v>
      </c>
      <c r="O1462" s="8" t="str">
        <f>vw_scenario_analysis_dataset[[#This Row],[reporter_name]] &amp; "-" &amp; vw_scenario_analysis_dataset[[#This Row],[reference_year]]</f>
        <v>Tajikistan-2019</v>
      </c>
    </row>
    <row r="1463" spans="1:15" x14ac:dyDescent="0.3">
      <c r="A1463" s="8" t="s">
        <v>340</v>
      </c>
      <c r="B1463" s="8" t="s">
        <v>341</v>
      </c>
      <c r="C1463" s="8">
        <v>2020</v>
      </c>
      <c r="D1463" s="8">
        <v>1418269868</v>
      </c>
      <c r="E1463" s="8">
        <v>8133963551</v>
      </c>
      <c r="F1463" s="8">
        <v>9749310</v>
      </c>
      <c r="G1463" s="8">
        <v>4.4000011160000003</v>
      </c>
      <c r="H1463" s="8">
        <v>55.749104019999997</v>
      </c>
      <c r="I1463" s="8">
        <v>145.47</v>
      </c>
      <c r="J1463" s="8">
        <v>834.31</v>
      </c>
      <c r="K1463" s="8">
        <v>17.440000000000001</v>
      </c>
      <c r="L1463" s="8">
        <v>135</v>
      </c>
      <c r="M1463" s="8">
        <v>1783946246</v>
      </c>
      <c r="N1463" s="8">
        <v>-20.5</v>
      </c>
      <c r="O1463" s="8" t="str">
        <f>vw_scenario_analysis_dataset[[#This Row],[reporter_name]] &amp; "-" &amp; vw_scenario_analysis_dataset[[#This Row],[reference_year]]</f>
        <v>Tajikistan-2020</v>
      </c>
    </row>
    <row r="1464" spans="1:15" x14ac:dyDescent="0.3">
      <c r="A1464" s="8" t="s">
        <v>340</v>
      </c>
      <c r="B1464" s="8" t="s">
        <v>341</v>
      </c>
      <c r="C1464" s="8">
        <v>2021</v>
      </c>
      <c r="D1464" s="8">
        <v>2953599992</v>
      </c>
      <c r="E1464" s="8">
        <v>8937805347</v>
      </c>
      <c r="F1464" s="8">
        <v>9966908</v>
      </c>
      <c r="G1464" s="8">
        <v>9.3999995500000004</v>
      </c>
      <c r="H1464" s="8">
        <v>71.825937440000004</v>
      </c>
      <c r="I1464" s="8">
        <v>296.33999999999997</v>
      </c>
      <c r="J1464" s="8">
        <v>896.75</v>
      </c>
      <c r="K1464" s="8">
        <v>33.049999999999997</v>
      </c>
      <c r="L1464" s="8">
        <v>129</v>
      </c>
      <c r="M1464" s="8">
        <v>1418269868</v>
      </c>
      <c r="N1464" s="8">
        <v>108.25</v>
      </c>
      <c r="O1464" s="8" t="str">
        <f>vw_scenario_analysis_dataset[[#This Row],[reporter_name]] &amp; "-" &amp; vw_scenario_analysis_dataset[[#This Row],[reference_year]]</f>
        <v>Tajikistan-2021</v>
      </c>
    </row>
    <row r="1465" spans="1:15" x14ac:dyDescent="0.3">
      <c r="A1465" s="8" t="s">
        <v>340</v>
      </c>
      <c r="B1465" s="8" t="s">
        <v>341</v>
      </c>
      <c r="C1465" s="8">
        <v>2022</v>
      </c>
      <c r="D1465" s="8">
        <v>3338120940</v>
      </c>
      <c r="E1465" s="8">
        <v>10713525200</v>
      </c>
      <c r="F1465" s="8">
        <v>10182222</v>
      </c>
      <c r="G1465" s="8">
        <v>8.0000003379999995</v>
      </c>
      <c r="H1465" s="8">
        <v>65.435511590000004</v>
      </c>
      <c r="I1465" s="8">
        <v>327.84</v>
      </c>
      <c r="J1465" s="8">
        <v>1052.18</v>
      </c>
      <c r="K1465" s="8">
        <v>31.16</v>
      </c>
      <c r="L1465" s="8">
        <v>125</v>
      </c>
      <c r="M1465" s="8">
        <v>2953599992</v>
      </c>
      <c r="N1465" s="8">
        <v>13.02</v>
      </c>
      <c r="O1465" s="8" t="str">
        <f>vw_scenario_analysis_dataset[[#This Row],[reporter_name]] &amp; "-" &amp; vw_scenario_analysis_dataset[[#This Row],[reference_year]]</f>
        <v>Tajikistan-2022</v>
      </c>
    </row>
    <row r="1466" spans="1:15" x14ac:dyDescent="0.3">
      <c r="A1466" s="8" t="s">
        <v>340</v>
      </c>
      <c r="B1466" s="8" t="s">
        <v>341</v>
      </c>
      <c r="C1466" s="8">
        <v>2023</v>
      </c>
      <c r="D1466" s="8">
        <v>2521170440</v>
      </c>
      <c r="E1466" s="8">
        <v>12244169293</v>
      </c>
      <c r="F1466" s="8">
        <v>10389799</v>
      </c>
      <c r="G1466" s="8">
        <v>8.2999992169999999</v>
      </c>
      <c r="H1466" s="8">
        <v>65.634701039999996</v>
      </c>
      <c r="I1466" s="8">
        <v>242.66</v>
      </c>
      <c r="J1466" s="8">
        <v>1178.48</v>
      </c>
      <c r="K1466" s="8">
        <v>20.59</v>
      </c>
      <c r="L1466" s="8">
        <v>125</v>
      </c>
      <c r="M1466" s="8">
        <v>3338120940</v>
      </c>
      <c r="N1466" s="8">
        <v>-24.47</v>
      </c>
      <c r="O1466" s="8" t="str">
        <f>vw_scenario_analysis_dataset[[#This Row],[reporter_name]] &amp; "-" &amp; vw_scenario_analysis_dataset[[#This Row],[reference_year]]</f>
        <v>Tajikistan-2023</v>
      </c>
    </row>
    <row r="1467" spans="1:15" x14ac:dyDescent="0.3">
      <c r="A1467" s="8" t="s">
        <v>342</v>
      </c>
      <c r="B1467" s="8" t="s">
        <v>343</v>
      </c>
      <c r="C1467" s="8">
        <v>2017</v>
      </c>
      <c r="D1467" s="8">
        <v>48348525.520000011</v>
      </c>
      <c r="E1467" s="8">
        <v>1584878400</v>
      </c>
      <c r="F1467" s="8">
        <v>1251703</v>
      </c>
      <c r="G1467" s="8">
        <v>-3.1824152250000002</v>
      </c>
      <c r="H1467" s="8">
        <v>58.634750779999997</v>
      </c>
      <c r="I1467" s="8">
        <v>38.630000000000003</v>
      </c>
      <c r="J1467" s="8">
        <v>1266.18</v>
      </c>
      <c r="K1467" s="8">
        <v>3.05</v>
      </c>
      <c r="L1467" s="8">
        <v>168</v>
      </c>
      <c r="M1467" s="8"/>
      <c r="N1467" s="8"/>
      <c r="O1467" s="8" t="str">
        <f>vw_scenario_analysis_dataset[[#This Row],[reporter_name]] &amp; "-" &amp; vw_scenario_analysis_dataset[[#This Row],[reference_year]]</f>
        <v>Timor-Leste-2017</v>
      </c>
    </row>
    <row r="1468" spans="1:15" x14ac:dyDescent="0.3">
      <c r="A1468" s="8" t="s">
        <v>342</v>
      </c>
      <c r="B1468" s="8" t="s">
        <v>343</v>
      </c>
      <c r="C1468" s="8">
        <v>2018</v>
      </c>
      <c r="D1468" s="8">
        <v>46184774.720000014</v>
      </c>
      <c r="E1468" s="8">
        <v>1555988600</v>
      </c>
      <c r="F1468" s="8">
        <v>1275959</v>
      </c>
      <c r="G1468" s="8">
        <v>-0.46650217100000002</v>
      </c>
      <c r="H1468" s="8">
        <v>64.819183120000005</v>
      </c>
      <c r="I1468" s="8">
        <v>36.200000000000003</v>
      </c>
      <c r="J1468" s="8">
        <v>1219.47</v>
      </c>
      <c r="K1468" s="8">
        <v>2.97</v>
      </c>
      <c r="L1468" s="8">
        <v>164</v>
      </c>
      <c r="M1468" s="8">
        <v>48348525.520000011</v>
      </c>
      <c r="N1468" s="8">
        <v>-4.4800000000000004</v>
      </c>
      <c r="O1468" s="8" t="str">
        <f>vw_scenario_analysis_dataset[[#This Row],[reporter_name]] &amp; "-" &amp; vw_scenario_analysis_dataset[[#This Row],[reference_year]]</f>
        <v>Timor-Leste-2018</v>
      </c>
    </row>
    <row r="1469" spans="1:15" x14ac:dyDescent="0.3">
      <c r="A1469" s="8" t="s">
        <v>342</v>
      </c>
      <c r="B1469" s="8" t="s">
        <v>343</v>
      </c>
      <c r="C1469" s="8">
        <v>2019</v>
      </c>
      <c r="D1469" s="8">
        <v>282845969.09999996</v>
      </c>
      <c r="E1469" s="8">
        <v>2032550400</v>
      </c>
      <c r="F1469" s="8">
        <v>1300945</v>
      </c>
      <c r="G1469" s="8">
        <v>24.21288401</v>
      </c>
      <c r="H1469" s="8">
        <v>70.614244060000004</v>
      </c>
      <c r="I1469" s="8">
        <v>217.42</v>
      </c>
      <c r="J1469" s="8">
        <v>1562.36</v>
      </c>
      <c r="K1469" s="8">
        <v>13.92</v>
      </c>
      <c r="L1469" s="8">
        <v>149</v>
      </c>
      <c r="M1469" s="8">
        <v>46184774.720000014</v>
      </c>
      <c r="N1469" s="8">
        <v>512.41999999999996</v>
      </c>
      <c r="O1469" s="8" t="str">
        <f>vw_scenario_analysis_dataset[[#This Row],[reporter_name]] &amp; "-" &amp; vw_scenario_analysis_dataset[[#This Row],[reference_year]]</f>
        <v>Timor-Leste-2019</v>
      </c>
    </row>
    <row r="1470" spans="1:15" x14ac:dyDescent="0.3">
      <c r="A1470" s="8" t="s">
        <v>342</v>
      </c>
      <c r="B1470" s="8" t="s">
        <v>343</v>
      </c>
      <c r="C1470" s="8">
        <v>2020</v>
      </c>
      <c r="D1470" s="8">
        <v>499778477.47999996</v>
      </c>
      <c r="E1470" s="8">
        <v>2162619200</v>
      </c>
      <c r="F1470" s="8">
        <v>1326053</v>
      </c>
      <c r="G1470" s="8">
        <v>31.725741670000001</v>
      </c>
      <c r="H1470" s="8">
        <v>84.750311100000005</v>
      </c>
      <c r="I1470" s="8">
        <v>376.89</v>
      </c>
      <c r="J1470" s="8">
        <v>1630.87</v>
      </c>
      <c r="K1470" s="8">
        <v>23.11</v>
      </c>
      <c r="L1470" s="8">
        <v>142</v>
      </c>
      <c r="M1470" s="8">
        <v>282845969.09999996</v>
      </c>
      <c r="N1470" s="8">
        <v>76.7</v>
      </c>
      <c r="O1470" s="8" t="str">
        <f>vw_scenario_analysis_dataset[[#This Row],[reporter_name]] &amp; "-" &amp; vw_scenario_analysis_dataset[[#This Row],[reference_year]]</f>
        <v>Timor-Leste-2020</v>
      </c>
    </row>
    <row r="1471" spans="1:15" x14ac:dyDescent="0.3">
      <c r="A1471" s="8" t="s">
        <v>342</v>
      </c>
      <c r="B1471" s="8" t="s">
        <v>343</v>
      </c>
      <c r="C1471" s="8">
        <v>2021</v>
      </c>
      <c r="D1471" s="8">
        <v>916606389.10000002</v>
      </c>
      <c r="E1471" s="8">
        <v>3625024300</v>
      </c>
      <c r="F1471" s="8">
        <v>1350139</v>
      </c>
      <c r="G1471" s="8">
        <v>5.3698011939999999</v>
      </c>
      <c r="H1471" s="8">
        <v>99.860000940000006</v>
      </c>
      <c r="I1471" s="8">
        <v>678.9</v>
      </c>
      <c r="J1471" s="8">
        <v>2684.93</v>
      </c>
      <c r="K1471" s="8">
        <v>25.29</v>
      </c>
      <c r="L1471" s="8">
        <v>141</v>
      </c>
      <c r="M1471" s="8">
        <v>499778477.47999996</v>
      </c>
      <c r="N1471" s="8">
        <v>83.4</v>
      </c>
      <c r="O1471" s="8" t="str">
        <f>vw_scenario_analysis_dataset[[#This Row],[reporter_name]] &amp; "-" &amp; vw_scenario_analysis_dataset[[#This Row],[reference_year]]</f>
        <v>Timor-Leste-2021</v>
      </c>
    </row>
    <row r="1472" spans="1:15" x14ac:dyDescent="0.3">
      <c r="A1472" s="8" t="s">
        <v>342</v>
      </c>
      <c r="B1472" s="8" t="s">
        <v>343</v>
      </c>
      <c r="C1472" s="8">
        <v>2022</v>
      </c>
      <c r="D1472" s="8">
        <v>943547572.11999977</v>
      </c>
      <c r="E1472" s="8">
        <v>3208599900</v>
      </c>
      <c r="F1472" s="8">
        <v>1369295</v>
      </c>
      <c r="G1472" s="8">
        <v>-20.522480229999999</v>
      </c>
      <c r="H1472" s="8">
        <v>97.621108820000003</v>
      </c>
      <c r="I1472" s="8">
        <v>689.08</v>
      </c>
      <c r="J1472" s="8">
        <v>2343.25</v>
      </c>
      <c r="K1472" s="8">
        <v>29.41</v>
      </c>
      <c r="L1472" s="8">
        <v>138</v>
      </c>
      <c r="M1472" s="8">
        <v>916606389.10000002</v>
      </c>
      <c r="N1472" s="8">
        <v>2.94</v>
      </c>
      <c r="O1472" s="8" t="str">
        <f>vw_scenario_analysis_dataset[[#This Row],[reporter_name]] &amp; "-" &amp; vw_scenario_analysis_dataset[[#This Row],[reference_year]]</f>
        <v>Timor-Leste-2022</v>
      </c>
    </row>
    <row r="1473" spans="1:15" x14ac:dyDescent="0.3">
      <c r="A1473" s="8" t="s">
        <v>342</v>
      </c>
      <c r="B1473" s="8" t="s">
        <v>343</v>
      </c>
      <c r="C1473" s="8">
        <v>2023</v>
      </c>
      <c r="D1473" s="8">
        <v>327444151.8599999</v>
      </c>
      <c r="E1473" s="8">
        <v>2079767200</v>
      </c>
      <c r="F1473" s="8">
        <v>1384286</v>
      </c>
      <c r="G1473" s="8">
        <v>-18.135904910000001</v>
      </c>
      <c r="H1473" s="8">
        <v>89.304649100000006</v>
      </c>
      <c r="I1473" s="8">
        <v>236.54</v>
      </c>
      <c r="J1473" s="8">
        <v>1502.41</v>
      </c>
      <c r="K1473" s="8">
        <v>15.74</v>
      </c>
      <c r="L1473" s="8">
        <v>142</v>
      </c>
      <c r="M1473" s="8">
        <v>943547572.11999977</v>
      </c>
      <c r="N1473" s="8">
        <v>-65.3</v>
      </c>
      <c r="O1473" s="8" t="str">
        <f>vw_scenario_analysis_dataset[[#This Row],[reporter_name]] &amp; "-" &amp; vw_scenario_analysis_dataset[[#This Row],[reference_year]]</f>
        <v>Timor-Leste-2023</v>
      </c>
    </row>
    <row r="1474" spans="1:15" x14ac:dyDescent="0.3">
      <c r="A1474" s="8" t="s">
        <v>344</v>
      </c>
      <c r="B1474" s="8" t="s">
        <v>345</v>
      </c>
      <c r="C1474" s="8">
        <v>2017</v>
      </c>
      <c r="D1474" s="8">
        <v>66550841.540000029</v>
      </c>
      <c r="E1474" s="8">
        <v>459976847.10000002</v>
      </c>
      <c r="F1474" s="8">
        <v>105356</v>
      </c>
      <c r="G1474" s="8">
        <v>3.2023197620000001</v>
      </c>
      <c r="H1474" s="8">
        <v>88.04349259</v>
      </c>
      <c r="I1474" s="8">
        <v>631.67999999999995</v>
      </c>
      <c r="J1474" s="8">
        <v>4365.93</v>
      </c>
      <c r="K1474" s="8">
        <v>14.47</v>
      </c>
      <c r="L1474" s="8">
        <v>165</v>
      </c>
      <c r="M1474" s="8"/>
      <c r="N1474" s="8"/>
      <c r="O1474" s="8" t="str">
        <f>vw_scenario_analysis_dataset[[#This Row],[reporter_name]] &amp; "-" &amp; vw_scenario_analysis_dataset[[#This Row],[reference_year]]</f>
        <v>Tonga-2017</v>
      </c>
    </row>
    <row r="1475" spans="1:15" x14ac:dyDescent="0.3">
      <c r="A1475" s="8" t="s">
        <v>344</v>
      </c>
      <c r="B1475" s="8" t="s">
        <v>345</v>
      </c>
      <c r="C1475" s="8">
        <v>2018</v>
      </c>
      <c r="D1475" s="8">
        <v>49262103.686999992</v>
      </c>
      <c r="E1475" s="8">
        <v>493530766.89999998</v>
      </c>
      <c r="F1475" s="8">
        <v>105567</v>
      </c>
      <c r="G1475" s="8">
        <v>0.52782808299999995</v>
      </c>
      <c r="H1475" s="8">
        <v>86.103970270000005</v>
      </c>
      <c r="I1475" s="8">
        <v>466.64</v>
      </c>
      <c r="J1475" s="8">
        <v>4675.05</v>
      </c>
      <c r="K1475" s="8">
        <v>9.98</v>
      </c>
      <c r="L1475" s="8">
        <v>163</v>
      </c>
      <c r="M1475" s="8">
        <v>66550841.540000029</v>
      </c>
      <c r="N1475" s="8">
        <v>-25.98</v>
      </c>
      <c r="O1475" s="8" t="str">
        <f>vw_scenario_analysis_dataset[[#This Row],[reporter_name]] &amp; "-" &amp; vw_scenario_analysis_dataset[[#This Row],[reference_year]]</f>
        <v>Tonga-2018</v>
      </c>
    </row>
    <row r="1476" spans="1:15" x14ac:dyDescent="0.3">
      <c r="A1476" s="8" t="s">
        <v>344</v>
      </c>
      <c r="B1476" s="8" t="s">
        <v>345</v>
      </c>
      <c r="C1476" s="8">
        <v>2019</v>
      </c>
      <c r="D1476" s="8">
        <v>84947376.986999989</v>
      </c>
      <c r="E1476" s="8">
        <v>506031247.60000002</v>
      </c>
      <c r="F1476" s="8">
        <v>105669</v>
      </c>
      <c r="G1476" s="8">
        <v>-0.28521078399999999</v>
      </c>
      <c r="H1476" s="8">
        <v>88.045385530000004</v>
      </c>
      <c r="I1476" s="8">
        <v>803.9</v>
      </c>
      <c r="J1476" s="8">
        <v>4788.83</v>
      </c>
      <c r="K1476" s="8">
        <v>16.79</v>
      </c>
      <c r="L1476" s="8">
        <v>157</v>
      </c>
      <c r="M1476" s="8">
        <v>49262103.686999992</v>
      </c>
      <c r="N1476" s="8">
        <v>72.44</v>
      </c>
      <c r="O1476" s="8" t="str">
        <f>vw_scenario_analysis_dataset[[#This Row],[reporter_name]] &amp; "-" &amp; vw_scenario_analysis_dataset[[#This Row],[reference_year]]</f>
        <v>Tonga-2019</v>
      </c>
    </row>
    <row r="1477" spans="1:15" x14ac:dyDescent="0.3">
      <c r="A1477" s="8" t="s">
        <v>344</v>
      </c>
      <c r="B1477" s="8" t="s">
        <v>345</v>
      </c>
      <c r="C1477" s="8">
        <v>2020</v>
      </c>
      <c r="D1477" s="8">
        <v>33925817.053999998</v>
      </c>
      <c r="E1477" s="8">
        <v>506571486.60000002</v>
      </c>
      <c r="F1477" s="8">
        <v>105704</v>
      </c>
      <c r="G1477" s="8">
        <v>1.806187153</v>
      </c>
      <c r="H1477" s="8">
        <v>81.849496680000001</v>
      </c>
      <c r="I1477" s="8">
        <v>320.95</v>
      </c>
      <c r="J1477" s="8">
        <v>4792.3599999999997</v>
      </c>
      <c r="K1477" s="8">
        <v>6.7</v>
      </c>
      <c r="L1477" s="8">
        <v>159</v>
      </c>
      <c r="M1477" s="8">
        <v>84947376.986999989</v>
      </c>
      <c r="N1477" s="8">
        <v>-60.06</v>
      </c>
      <c r="O1477" s="8" t="str">
        <f>vw_scenario_analysis_dataset[[#This Row],[reporter_name]] &amp; "-" &amp; vw_scenario_analysis_dataset[[#This Row],[reference_year]]</f>
        <v>Tonga-2020</v>
      </c>
    </row>
    <row r="1478" spans="1:15" x14ac:dyDescent="0.3">
      <c r="A1478" s="8" t="s">
        <v>344</v>
      </c>
      <c r="B1478" s="8" t="s">
        <v>345</v>
      </c>
      <c r="C1478" s="8">
        <v>2021</v>
      </c>
      <c r="D1478" s="8">
        <v>25585737.769000009</v>
      </c>
      <c r="E1478" s="8">
        <v>519306339.30000001</v>
      </c>
      <c r="F1478" s="8">
        <v>105490</v>
      </c>
      <c r="G1478" s="8">
        <v>-0.93491989200000003</v>
      </c>
      <c r="H1478" s="8">
        <v>68.546151750000007</v>
      </c>
      <c r="I1478" s="8">
        <v>242.54</v>
      </c>
      <c r="J1478" s="8">
        <v>4922.8</v>
      </c>
      <c r="K1478" s="8">
        <v>4.93</v>
      </c>
      <c r="L1478" s="8">
        <v>161</v>
      </c>
      <c r="M1478" s="8">
        <v>33925817.053999998</v>
      </c>
      <c r="N1478" s="8">
        <v>-24.58</v>
      </c>
      <c r="O1478" s="8" t="str">
        <f>vw_scenario_analysis_dataset[[#This Row],[reporter_name]] &amp; "-" &amp; vw_scenario_analysis_dataset[[#This Row],[reference_year]]</f>
        <v>Tonga-2021</v>
      </c>
    </row>
    <row r="1479" spans="1:15" x14ac:dyDescent="0.3">
      <c r="A1479" s="8" t="s">
        <v>344</v>
      </c>
      <c r="B1479" s="8" t="s">
        <v>345</v>
      </c>
      <c r="C1479" s="8">
        <v>2022</v>
      </c>
      <c r="D1479" s="8">
        <v>123728886.55800001</v>
      </c>
      <c r="E1479" s="8">
        <v>556514556.39999998</v>
      </c>
      <c r="F1479" s="8">
        <v>105042</v>
      </c>
      <c r="G1479" s="8">
        <v>-2.1285487650000001</v>
      </c>
      <c r="H1479" s="8">
        <v>70.127271829999998</v>
      </c>
      <c r="I1479" s="8">
        <v>1177.9000000000001</v>
      </c>
      <c r="J1479" s="8">
        <v>5298.02</v>
      </c>
      <c r="K1479" s="8">
        <v>22.23</v>
      </c>
      <c r="L1479" s="8">
        <v>149</v>
      </c>
      <c r="M1479" s="8">
        <v>25585737.769000009</v>
      </c>
      <c r="N1479" s="8">
        <v>383.59</v>
      </c>
      <c r="O1479" s="8" t="str">
        <f>vw_scenario_analysis_dataset[[#This Row],[reporter_name]] &amp; "-" &amp; vw_scenario_analysis_dataset[[#This Row],[reference_year]]</f>
        <v>Tonga-2022</v>
      </c>
    </row>
    <row r="1480" spans="1:15" x14ac:dyDescent="0.3">
      <c r="A1480" s="8" t="s">
        <v>344</v>
      </c>
      <c r="B1480" s="8" t="s">
        <v>345</v>
      </c>
      <c r="C1480" s="8">
        <v>2023</v>
      </c>
      <c r="D1480" s="8">
        <v>23867607.037</v>
      </c>
      <c r="E1480" s="8">
        <v>591139733.60000002</v>
      </c>
      <c r="F1480" s="8">
        <v>104597</v>
      </c>
      <c r="G1480" s="8">
        <v>2.7901471550000001</v>
      </c>
      <c r="H1480" s="8">
        <v>79.623925700000001</v>
      </c>
      <c r="I1480" s="8">
        <v>228.19</v>
      </c>
      <c r="J1480" s="8">
        <v>5651.59</v>
      </c>
      <c r="K1480" s="8">
        <v>4.04</v>
      </c>
      <c r="L1480" s="8">
        <v>157</v>
      </c>
      <c r="M1480" s="8">
        <v>123728886.55800001</v>
      </c>
      <c r="N1480" s="8">
        <v>-80.709999999999994</v>
      </c>
      <c r="O1480" s="8" t="str">
        <f>vw_scenario_analysis_dataset[[#This Row],[reporter_name]] &amp; "-" &amp; vw_scenario_analysis_dataset[[#This Row],[reference_year]]</f>
        <v>Tonga-2023</v>
      </c>
    </row>
    <row r="1481" spans="1:15" x14ac:dyDescent="0.3">
      <c r="A1481" s="8" t="s">
        <v>346</v>
      </c>
      <c r="B1481" s="8" t="s">
        <v>347</v>
      </c>
      <c r="C1481" s="8">
        <v>2015</v>
      </c>
      <c r="D1481" s="8">
        <v>21495559098.030998</v>
      </c>
      <c r="E1481" s="8">
        <v>26841141793</v>
      </c>
      <c r="F1481" s="8">
        <v>1349667</v>
      </c>
      <c r="G1481" s="8">
        <v>-0.40628328899999999</v>
      </c>
      <c r="H1481" s="8"/>
      <c r="I1481" s="8">
        <v>15926.56</v>
      </c>
      <c r="J1481" s="8">
        <v>19887.23</v>
      </c>
      <c r="K1481" s="8">
        <v>80.08</v>
      </c>
      <c r="L1481" s="8">
        <v>76</v>
      </c>
      <c r="M1481" s="8"/>
      <c r="N1481" s="8"/>
      <c r="O1481" s="8" t="str">
        <f>vw_scenario_analysis_dataset[[#This Row],[reporter_name]] &amp; "-" &amp; vw_scenario_analysis_dataset[[#This Row],[reference_year]]</f>
        <v>Trinidad and Tobago-2015</v>
      </c>
    </row>
    <row r="1482" spans="1:15" x14ac:dyDescent="0.3">
      <c r="A1482" s="8" t="s">
        <v>346</v>
      </c>
      <c r="B1482" s="8" t="s">
        <v>347</v>
      </c>
      <c r="C1482" s="8">
        <v>2016</v>
      </c>
      <c r="D1482" s="8">
        <v>15217264231.577995</v>
      </c>
      <c r="E1482" s="8">
        <v>23624322193</v>
      </c>
      <c r="F1482" s="8">
        <v>1353895</v>
      </c>
      <c r="G1482" s="8">
        <v>-7.5363630539999997</v>
      </c>
      <c r="H1482" s="8"/>
      <c r="I1482" s="8">
        <v>11239.62</v>
      </c>
      <c r="J1482" s="8">
        <v>17449.150000000001</v>
      </c>
      <c r="K1482" s="8">
        <v>64.41</v>
      </c>
      <c r="L1482" s="8">
        <v>85</v>
      </c>
      <c r="M1482" s="8">
        <v>21495559098.030998</v>
      </c>
      <c r="N1482" s="8">
        <v>-29.21</v>
      </c>
      <c r="O1482" s="8" t="str">
        <f>vw_scenario_analysis_dataset[[#This Row],[reporter_name]] &amp; "-" &amp; vw_scenario_analysis_dataset[[#This Row],[reference_year]]</f>
        <v>Trinidad and Tobago-2016</v>
      </c>
    </row>
    <row r="1483" spans="1:15" x14ac:dyDescent="0.3">
      <c r="A1483" s="8" t="s">
        <v>346</v>
      </c>
      <c r="B1483" s="8" t="s">
        <v>347</v>
      </c>
      <c r="C1483" s="8">
        <v>2017</v>
      </c>
      <c r="D1483" s="8">
        <v>17481752259.907009</v>
      </c>
      <c r="E1483" s="8">
        <v>23830750901</v>
      </c>
      <c r="F1483" s="8">
        <v>1356633</v>
      </c>
      <c r="G1483" s="8">
        <v>-4.8727494690000004</v>
      </c>
      <c r="H1483" s="8"/>
      <c r="I1483" s="8">
        <v>12886.13</v>
      </c>
      <c r="J1483" s="8">
        <v>17566.099999999999</v>
      </c>
      <c r="K1483" s="8">
        <v>73.36</v>
      </c>
      <c r="L1483" s="8">
        <v>83</v>
      </c>
      <c r="M1483" s="8">
        <v>15217264231.577995</v>
      </c>
      <c r="N1483" s="8">
        <v>14.88</v>
      </c>
      <c r="O1483" s="8" t="str">
        <f>vw_scenario_analysis_dataset[[#This Row],[reporter_name]] &amp; "-" &amp; vw_scenario_analysis_dataset[[#This Row],[reference_year]]</f>
        <v>Trinidad and Tobago-2017</v>
      </c>
    </row>
    <row r="1484" spans="1:15" x14ac:dyDescent="0.3">
      <c r="A1484" s="8" t="s">
        <v>346</v>
      </c>
      <c r="B1484" s="8" t="s">
        <v>347</v>
      </c>
      <c r="C1484" s="8">
        <v>2018</v>
      </c>
      <c r="D1484" s="8">
        <v>21060526001.349003</v>
      </c>
      <c r="E1484" s="8">
        <v>23883058083</v>
      </c>
      <c r="F1484" s="8">
        <v>1359193</v>
      </c>
      <c r="G1484" s="8">
        <v>-0.94544970100000003</v>
      </c>
      <c r="H1484" s="8"/>
      <c r="I1484" s="8">
        <v>15494.88</v>
      </c>
      <c r="J1484" s="8">
        <v>17571.5</v>
      </c>
      <c r="K1484" s="8">
        <v>88.18</v>
      </c>
      <c r="L1484" s="8">
        <v>82</v>
      </c>
      <c r="M1484" s="8">
        <v>17481752259.907009</v>
      </c>
      <c r="N1484" s="8">
        <v>20.47</v>
      </c>
      <c r="O1484" s="8" t="str">
        <f>vw_scenario_analysis_dataset[[#This Row],[reporter_name]] &amp; "-" &amp; vw_scenario_analysis_dataset[[#This Row],[reference_year]]</f>
        <v>Trinidad and Tobago-2018</v>
      </c>
    </row>
    <row r="1485" spans="1:15" x14ac:dyDescent="0.3">
      <c r="A1485" s="8" t="s">
        <v>346</v>
      </c>
      <c r="B1485" s="8" t="s">
        <v>347</v>
      </c>
      <c r="C1485" s="8">
        <v>2019</v>
      </c>
      <c r="D1485" s="8">
        <v>14383778499.701</v>
      </c>
      <c r="E1485" s="8">
        <v>23477745792</v>
      </c>
      <c r="F1485" s="8">
        <v>1363985</v>
      </c>
      <c r="G1485" s="8">
        <v>0.46773452900000001</v>
      </c>
      <c r="H1485" s="8"/>
      <c r="I1485" s="8">
        <v>10545.41</v>
      </c>
      <c r="J1485" s="8">
        <v>17212.61</v>
      </c>
      <c r="K1485" s="8">
        <v>61.27</v>
      </c>
      <c r="L1485" s="8">
        <v>89</v>
      </c>
      <c r="M1485" s="8">
        <v>21060526001.349003</v>
      </c>
      <c r="N1485" s="8">
        <v>-31.7</v>
      </c>
      <c r="O1485" s="8" t="str">
        <f>vw_scenario_analysis_dataset[[#This Row],[reporter_name]] &amp; "-" &amp; vw_scenario_analysis_dataset[[#This Row],[reference_year]]</f>
        <v>Trinidad and Tobago-2019</v>
      </c>
    </row>
    <row r="1486" spans="1:15" x14ac:dyDescent="0.3">
      <c r="A1486" s="8" t="s">
        <v>346</v>
      </c>
      <c r="B1486" s="8" t="s">
        <v>347</v>
      </c>
      <c r="C1486" s="8">
        <v>2020</v>
      </c>
      <c r="D1486" s="8">
        <v>11038756455.573</v>
      </c>
      <c r="E1486" s="8">
        <v>20888515184</v>
      </c>
      <c r="F1486" s="8">
        <v>1366725</v>
      </c>
      <c r="G1486" s="8">
        <v>-8.7887981780000004</v>
      </c>
      <c r="H1486" s="8"/>
      <c r="I1486" s="8">
        <v>8076.79</v>
      </c>
      <c r="J1486" s="8">
        <v>15283.63</v>
      </c>
      <c r="K1486" s="8">
        <v>52.85</v>
      </c>
      <c r="L1486" s="8">
        <v>92</v>
      </c>
      <c r="M1486" s="8">
        <v>14383778499.701</v>
      </c>
      <c r="N1486" s="8">
        <v>-23.26</v>
      </c>
      <c r="O1486" s="8" t="str">
        <f>vw_scenario_analysis_dataset[[#This Row],[reporter_name]] &amp; "-" &amp; vw_scenario_analysis_dataset[[#This Row],[reference_year]]</f>
        <v>Trinidad and Tobago-2020</v>
      </c>
    </row>
    <row r="1487" spans="1:15" x14ac:dyDescent="0.3">
      <c r="A1487" s="8" t="s">
        <v>346</v>
      </c>
      <c r="B1487" s="8" t="s">
        <v>347</v>
      </c>
      <c r="C1487" s="8">
        <v>2021</v>
      </c>
      <c r="D1487" s="8">
        <v>17240457249.831009</v>
      </c>
      <c r="E1487" s="8">
        <v>24222963263</v>
      </c>
      <c r="F1487" s="8">
        <v>1367558</v>
      </c>
      <c r="G1487" s="8">
        <v>-0.71674062599999999</v>
      </c>
      <c r="H1487" s="8"/>
      <c r="I1487" s="8">
        <v>12606.75</v>
      </c>
      <c r="J1487" s="8">
        <v>17712.57</v>
      </c>
      <c r="K1487" s="8">
        <v>71.17</v>
      </c>
      <c r="L1487" s="8">
        <v>88</v>
      </c>
      <c r="M1487" s="8">
        <v>11038756455.573</v>
      </c>
      <c r="N1487" s="8">
        <v>56.18</v>
      </c>
      <c r="O1487" s="8" t="str">
        <f>vw_scenario_analysis_dataset[[#This Row],[reporter_name]] &amp; "-" &amp; vw_scenario_analysis_dataset[[#This Row],[reference_year]]</f>
        <v>Trinidad and Tobago-2021</v>
      </c>
    </row>
    <row r="1488" spans="1:15" x14ac:dyDescent="0.3">
      <c r="A1488" s="8" t="s">
        <v>346</v>
      </c>
      <c r="B1488" s="8" t="s">
        <v>347</v>
      </c>
      <c r="C1488" s="8">
        <v>2022</v>
      </c>
      <c r="D1488" s="8">
        <v>23058009157.948006</v>
      </c>
      <c r="E1488" s="8">
        <v>28341164301</v>
      </c>
      <c r="F1488" s="8">
        <v>1365805</v>
      </c>
      <c r="G1488" s="8">
        <v>0.86126082699999995</v>
      </c>
      <c r="H1488" s="8"/>
      <c r="I1488" s="8">
        <v>16882.36</v>
      </c>
      <c r="J1488" s="8">
        <v>20750.52</v>
      </c>
      <c r="K1488" s="8">
        <v>81.36</v>
      </c>
      <c r="L1488" s="8">
        <v>82</v>
      </c>
      <c r="M1488" s="8">
        <v>17240457249.831009</v>
      </c>
      <c r="N1488" s="8">
        <v>33.74</v>
      </c>
      <c r="O1488" s="8" t="str">
        <f>vw_scenario_analysis_dataset[[#This Row],[reporter_name]] &amp; "-" &amp; vw_scenario_analysis_dataset[[#This Row],[reference_year]]</f>
        <v>Trinidad and Tobago-2022</v>
      </c>
    </row>
    <row r="1489" spans="1:15" x14ac:dyDescent="0.3">
      <c r="A1489" s="8" t="s">
        <v>346</v>
      </c>
      <c r="B1489" s="8" t="s">
        <v>347</v>
      </c>
      <c r="C1489" s="8">
        <v>2023</v>
      </c>
      <c r="D1489" s="8">
        <v>15727069045.130007</v>
      </c>
      <c r="E1489" s="8">
        <v>25036993423</v>
      </c>
      <c r="F1489" s="8">
        <v>1367510</v>
      </c>
      <c r="G1489" s="8">
        <v>1.466459473</v>
      </c>
      <c r="H1489" s="8"/>
      <c r="I1489" s="8">
        <v>11500.51</v>
      </c>
      <c r="J1489" s="8">
        <v>18308.45</v>
      </c>
      <c r="K1489" s="8">
        <v>62.82</v>
      </c>
      <c r="L1489" s="8">
        <v>91</v>
      </c>
      <c r="M1489" s="8">
        <v>23058009157.948006</v>
      </c>
      <c r="N1489" s="8">
        <v>-31.79</v>
      </c>
      <c r="O1489" s="8" t="str">
        <f>vw_scenario_analysis_dataset[[#This Row],[reporter_name]] &amp; "-" &amp; vw_scenario_analysis_dataset[[#This Row],[reference_year]]</f>
        <v>Trinidad and Tobago-2023</v>
      </c>
    </row>
    <row r="1490" spans="1:15" x14ac:dyDescent="0.3">
      <c r="A1490" s="8" t="s">
        <v>346</v>
      </c>
      <c r="B1490" s="8" t="s">
        <v>347</v>
      </c>
      <c r="C1490" s="8">
        <v>2024</v>
      </c>
      <c r="D1490" s="8">
        <v>15821411477.207998</v>
      </c>
      <c r="E1490" s="8">
        <v>25633544529</v>
      </c>
      <c r="F1490" s="8">
        <v>1368333</v>
      </c>
      <c r="G1490" s="8">
        <v>2.5092081400000001</v>
      </c>
      <c r="H1490" s="8"/>
      <c r="I1490" s="8">
        <v>11562.54</v>
      </c>
      <c r="J1490" s="8">
        <v>18733.41</v>
      </c>
      <c r="K1490" s="8">
        <v>61.72</v>
      </c>
      <c r="L1490" s="8">
        <v>87</v>
      </c>
      <c r="M1490" s="8">
        <v>15727069045.130007</v>
      </c>
      <c r="N1490" s="8">
        <v>0.6</v>
      </c>
      <c r="O1490" s="8" t="str">
        <f>vw_scenario_analysis_dataset[[#This Row],[reporter_name]] &amp; "-" &amp; vw_scenario_analysis_dataset[[#This Row],[reference_year]]</f>
        <v>Trinidad and Tobago-2024</v>
      </c>
    </row>
    <row r="1491" spans="1:15" x14ac:dyDescent="0.3">
      <c r="A1491" s="8" t="s">
        <v>348</v>
      </c>
      <c r="B1491" s="8" t="s">
        <v>349</v>
      </c>
      <c r="C1491" s="8">
        <v>2015</v>
      </c>
      <c r="D1491" s="8">
        <v>28146975173</v>
      </c>
      <c r="E1491" s="8">
        <v>45779494042</v>
      </c>
      <c r="F1491" s="8">
        <v>11402264</v>
      </c>
      <c r="G1491" s="8">
        <v>0.96783420600000003</v>
      </c>
      <c r="H1491" s="8">
        <v>87.24853066</v>
      </c>
      <c r="I1491" s="8">
        <v>2468.54</v>
      </c>
      <c r="J1491" s="8">
        <v>4014.95</v>
      </c>
      <c r="K1491" s="8">
        <v>61.48</v>
      </c>
      <c r="L1491" s="8">
        <v>65</v>
      </c>
      <c r="M1491" s="8"/>
      <c r="N1491" s="8"/>
      <c r="O1491" s="8" t="str">
        <f>vw_scenario_analysis_dataset[[#This Row],[reporter_name]] &amp; "-" &amp; vw_scenario_analysis_dataset[[#This Row],[reference_year]]</f>
        <v>Tunisia-2015</v>
      </c>
    </row>
    <row r="1492" spans="1:15" x14ac:dyDescent="0.3">
      <c r="A1492" s="8" t="s">
        <v>348</v>
      </c>
      <c r="B1492" s="8" t="s">
        <v>349</v>
      </c>
      <c r="C1492" s="8">
        <v>2016</v>
      </c>
      <c r="D1492" s="8">
        <v>27150261905</v>
      </c>
      <c r="E1492" s="8">
        <v>44360072680</v>
      </c>
      <c r="F1492" s="8">
        <v>11528674</v>
      </c>
      <c r="G1492" s="8">
        <v>1.1172319639999999</v>
      </c>
      <c r="H1492" s="8">
        <v>87.092664360000001</v>
      </c>
      <c r="I1492" s="8">
        <v>2355.02</v>
      </c>
      <c r="J1492" s="8">
        <v>3847.8</v>
      </c>
      <c r="K1492" s="8">
        <v>61.2</v>
      </c>
      <c r="L1492" s="8">
        <v>69</v>
      </c>
      <c r="M1492" s="8">
        <v>28146975173</v>
      </c>
      <c r="N1492" s="8">
        <v>-3.54</v>
      </c>
      <c r="O1492" s="8" t="str">
        <f>vw_scenario_analysis_dataset[[#This Row],[reporter_name]] &amp; "-" &amp; vw_scenario_analysis_dataset[[#This Row],[reference_year]]</f>
        <v>Tunisia-2016</v>
      </c>
    </row>
    <row r="1493" spans="1:15" x14ac:dyDescent="0.3">
      <c r="A1493" s="8" t="s">
        <v>348</v>
      </c>
      <c r="B1493" s="8" t="s">
        <v>349</v>
      </c>
      <c r="C1493" s="8">
        <v>2017</v>
      </c>
      <c r="D1493" s="8">
        <v>28399632672.991985</v>
      </c>
      <c r="E1493" s="8">
        <v>42163530591</v>
      </c>
      <c r="F1493" s="8">
        <v>11650498</v>
      </c>
      <c r="G1493" s="8">
        <v>2.2526143759999999</v>
      </c>
      <c r="H1493" s="8">
        <v>95.809197979999993</v>
      </c>
      <c r="I1493" s="8">
        <v>2437.63</v>
      </c>
      <c r="J1493" s="8">
        <v>3619.03</v>
      </c>
      <c r="K1493" s="8">
        <v>67.36</v>
      </c>
      <c r="L1493" s="8">
        <v>70</v>
      </c>
      <c r="M1493" s="8">
        <v>27150261905</v>
      </c>
      <c r="N1493" s="8">
        <v>4.5999999999999996</v>
      </c>
      <c r="O1493" s="8" t="str">
        <f>vw_scenario_analysis_dataset[[#This Row],[reporter_name]] &amp; "-" &amp; vw_scenario_analysis_dataset[[#This Row],[reference_year]]</f>
        <v>Tunisia-2017</v>
      </c>
    </row>
    <row r="1494" spans="1:15" x14ac:dyDescent="0.3">
      <c r="A1494" s="8" t="s">
        <v>348</v>
      </c>
      <c r="B1494" s="8" t="s">
        <v>349</v>
      </c>
      <c r="C1494" s="8">
        <v>2018</v>
      </c>
      <c r="D1494" s="8">
        <v>31042457820.957008</v>
      </c>
      <c r="E1494" s="8">
        <v>42686504460</v>
      </c>
      <c r="F1494" s="8">
        <v>11765514</v>
      </c>
      <c r="G1494" s="8">
        <v>2.6069696539999998</v>
      </c>
      <c r="H1494" s="8">
        <v>103.8718243</v>
      </c>
      <c r="I1494" s="8">
        <v>2638.43</v>
      </c>
      <c r="J1494" s="8">
        <v>3628.1</v>
      </c>
      <c r="K1494" s="8">
        <v>72.72</v>
      </c>
      <c r="L1494" s="8">
        <v>71</v>
      </c>
      <c r="M1494" s="8">
        <v>28399632672.991985</v>
      </c>
      <c r="N1494" s="8">
        <v>9.31</v>
      </c>
      <c r="O1494" s="8" t="str">
        <f>vw_scenario_analysis_dataset[[#This Row],[reporter_name]] &amp; "-" &amp; vw_scenario_analysis_dataset[[#This Row],[reference_year]]</f>
        <v>Tunisia-2018</v>
      </c>
    </row>
    <row r="1495" spans="1:15" x14ac:dyDescent="0.3">
      <c r="A1495" s="8" t="s">
        <v>348</v>
      </c>
      <c r="B1495" s="8" t="s">
        <v>349</v>
      </c>
      <c r="C1495" s="8">
        <v>2019</v>
      </c>
      <c r="D1495" s="8">
        <v>29888174981.736</v>
      </c>
      <c r="E1495" s="8">
        <v>41905642419</v>
      </c>
      <c r="F1495" s="8">
        <v>11875081</v>
      </c>
      <c r="G1495" s="8">
        <v>1.5500930500000001</v>
      </c>
      <c r="H1495" s="8">
        <v>102.33261469999999</v>
      </c>
      <c r="I1495" s="8">
        <v>2516.88</v>
      </c>
      <c r="J1495" s="8">
        <v>3528.87</v>
      </c>
      <c r="K1495" s="8">
        <v>71.319999999999993</v>
      </c>
      <c r="L1495" s="8">
        <v>69</v>
      </c>
      <c r="M1495" s="8">
        <v>31042457820.957008</v>
      </c>
      <c r="N1495" s="8">
        <v>-3.72</v>
      </c>
      <c r="O1495" s="8" t="str">
        <f>vw_scenario_analysis_dataset[[#This Row],[reporter_name]] &amp; "-" &amp; vw_scenario_analysis_dataset[[#This Row],[reference_year]]</f>
        <v>Tunisia-2019</v>
      </c>
    </row>
    <row r="1496" spans="1:15" x14ac:dyDescent="0.3">
      <c r="A1496" s="8" t="s">
        <v>348</v>
      </c>
      <c r="B1496" s="8" t="s">
        <v>349</v>
      </c>
      <c r="C1496" s="8">
        <v>2020</v>
      </c>
      <c r="D1496" s="8">
        <v>27721663624.980003</v>
      </c>
      <c r="E1496" s="8">
        <v>42491780918</v>
      </c>
      <c r="F1496" s="8">
        <v>11974057</v>
      </c>
      <c r="G1496" s="8">
        <v>-8.9751262290000007</v>
      </c>
      <c r="H1496" s="8">
        <v>84.333329710000001</v>
      </c>
      <c r="I1496" s="8">
        <v>2315.14</v>
      </c>
      <c r="J1496" s="8">
        <v>3548.65</v>
      </c>
      <c r="K1496" s="8">
        <v>65.239999999999995</v>
      </c>
      <c r="L1496" s="8">
        <v>69</v>
      </c>
      <c r="M1496" s="8">
        <v>29888174981.736</v>
      </c>
      <c r="N1496" s="8">
        <v>-7.25</v>
      </c>
      <c r="O1496" s="8" t="str">
        <f>vw_scenario_analysis_dataset[[#This Row],[reporter_name]] &amp; "-" &amp; vw_scenario_analysis_dataset[[#This Row],[reference_year]]</f>
        <v>Tunisia-2020</v>
      </c>
    </row>
    <row r="1497" spans="1:15" x14ac:dyDescent="0.3">
      <c r="A1497" s="8" t="s">
        <v>348</v>
      </c>
      <c r="B1497" s="8" t="s">
        <v>349</v>
      </c>
      <c r="C1497" s="8">
        <v>2021</v>
      </c>
      <c r="D1497" s="8">
        <v>33390397283.083019</v>
      </c>
      <c r="E1497" s="8">
        <v>47073234359</v>
      </c>
      <c r="F1497" s="8">
        <v>12048622</v>
      </c>
      <c r="G1497" s="8">
        <v>4.7360364820000003</v>
      </c>
      <c r="H1497" s="8">
        <v>93.633414070000001</v>
      </c>
      <c r="I1497" s="8">
        <v>2771.3</v>
      </c>
      <c r="J1497" s="8">
        <v>3906.94</v>
      </c>
      <c r="K1497" s="8">
        <v>70.930000000000007</v>
      </c>
      <c r="L1497" s="8">
        <v>70</v>
      </c>
      <c r="M1497" s="8">
        <v>27721663624.980003</v>
      </c>
      <c r="N1497" s="8">
        <v>20.45</v>
      </c>
      <c r="O1497" s="8" t="str">
        <f>vw_scenario_analysis_dataset[[#This Row],[reporter_name]] &amp; "-" &amp; vw_scenario_analysis_dataset[[#This Row],[reference_year]]</f>
        <v>Tunisia-2021</v>
      </c>
    </row>
    <row r="1498" spans="1:15" x14ac:dyDescent="0.3">
      <c r="A1498" s="8" t="s">
        <v>348</v>
      </c>
      <c r="B1498" s="8" t="s">
        <v>349</v>
      </c>
      <c r="C1498" s="8">
        <v>2022</v>
      </c>
      <c r="D1498" s="8">
        <v>37090769188.297981</v>
      </c>
      <c r="E1498" s="8">
        <v>44929920093</v>
      </c>
      <c r="F1498" s="8">
        <v>12119334</v>
      </c>
      <c r="G1498" s="8">
        <v>2.7522876100000002</v>
      </c>
      <c r="H1498" s="8">
        <v>116.0957944</v>
      </c>
      <c r="I1498" s="8">
        <v>3060.46</v>
      </c>
      <c r="J1498" s="8">
        <v>3707.29</v>
      </c>
      <c r="K1498" s="8">
        <v>82.55</v>
      </c>
      <c r="L1498" s="8">
        <v>68</v>
      </c>
      <c r="M1498" s="8">
        <v>33390397283.083019</v>
      </c>
      <c r="N1498" s="8">
        <v>11.08</v>
      </c>
      <c r="O1498" s="8" t="str">
        <f>vw_scenario_analysis_dataset[[#This Row],[reporter_name]] &amp; "-" &amp; vw_scenario_analysis_dataset[[#This Row],[reference_year]]</f>
        <v>Tunisia-2022</v>
      </c>
    </row>
    <row r="1499" spans="1:15" x14ac:dyDescent="0.3">
      <c r="A1499" s="8" t="s">
        <v>348</v>
      </c>
      <c r="B1499" s="8" t="s">
        <v>349</v>
      </c>
      <c r="C1499" s="8">
        <v>2023</v>
      </c>
      <c r="D1499" s="8">
        <v>40079311245.707001</v>
      </c>
      <c r="E1499" s="8">
        <v>48205328303</v>
      </c>
      <c r="F1499" s="8">
        <v>12200431</v>
      </c>
      <c r="G1499" s="8">
        <v>0.184015548</v>
      </c>
      <c r="H1499" s="8">
        <v>112.12885799999999</v>
      </c>
      <c r="I1499" s="8">
        <v>3285.07</v>
      </c>
      <c r="J1499" s="8">
        <v>3951.12</v>
      </c>
      <c r="K1499" s="8">
        <v>83.14</v>
      </c>
      <c r="L1499" s="8">
        <v>67</v>
      </c>
      <c r="M1499" s="8">
        <v>37090769188.297981</v>
      </c>
      <c r="N1499" s="8">
        <v>8.06</v>
      </c>
      <c r="O1499" s="8" t="str">
        <f>vw_scenario_analysis_dataset[[#This Row],[reporter_name]] &amp; "-" &amp; vw_scenario_analysis_dataset[[#This Row],[reference_year]]</f>
        <v>Tunisia-2023</v>
      </c>
    </row>
    <row r="1500" spans="1:15" x14ac:dyDescent="0.3">
      <c r="A1500" s="8" t="s">
        <v>348</v>
      </c>
      <c r="B1500" s="8" t="s">
        <v>349</v>
      </c>
      <c r="C1500" s="8">
        <v>2024</v>
      </c>
      <c r="D1500" s="8">
        <v>39954315042.915001</v>
      </c>
      <c r="E1500" s="8">
        <v>51412122480</v>
      </c>
      <c r="F1500" s="8">
        <v>12277109</v>
      </c>
      <c r="G1500" s="8">
        <v>1.61444565</v>
      </c>
      <c r="H1500" s="8">
        <v>106.2985492</v>
      </c>
      <c r="I1500" s="8">
        <v>3254.37</v>
      </c>
      <c r="J1500" s="8">
        <v>4187.6400000000003</v>
      </c>
      <c r="K1500" s="8">
        <v>77.709999999999994</v>
      </c>
      <c r="L1500" s="8">
        <v>63</v>
      </c>
      <c r="M1500" s="8">
        <v>40079311245.707001</v>
      </c>
      <c r="N1500" s="8">
        <v>-0.31</v>
      </c>
      <c r="O1500" s="8" t="str">
        <f>vw_scenario_analysis_dataset[[#This Row],[reporter_name]] &amp; "-" &amp; vw_scenario_analysis_dataset[[#This Row],[reference_year]]</f>
        <v>Tunisia-2024</v>
      </c>
    </row>
    <row r="1501" spans="1:15" x14ac:dyDescent="0.3">
      <c r="A1501" s="8" t="s">
        <v>350</v>
      </c>
      <c r="B1501" s="8" t="s">
        <v>351</v>
      </c>
      <c r="C1501" s="8">
        <v>2015</v>
      </c>
      <c r="D1501" s="8">
        <v>301964227532</v>
      </c>
      <c r="E1501" s="8">
        <v>865000000000</v>
      </c>
      <c r="F1501" s="8">
        <v>78218479</v>
      </c>
      <c r="G1501" s="8">
        <v>5.8055738659999996</v>
      </c>
      <c r="H1501" s="8">
        <v>51.874925259999998</v>
      </c>
      <c r="I1501" s="8">
        <v>3860.52</v>
      </c>
      <c r="J1501" s="8">
        <v>11058.77</v>
      </c>
      <c r="K1501" s="8">
        <v>34.909999999999997</v>
      </c>
      <c r="L1501" s="8">
        <v>26</v>
      </c>
      <c r="M1501" s="8"/>
      <c r="N1501" s="8"/>
      <c r="O1501" s="8" t="str">
        <f>vw_scenario_analysis_dataset[[#This Row],[reporter_name]] &amp; "-" &amp; vw_scenario_analysis_dataset[[#This Row],[reference_year]]</f>
        <v>Türkiye-2015</v>
      </c>
    </row>
    <row r="1502" spans="1:15" x14ac:dyDescent="0.3">
      <c r="A1502" s="8" t="s">
        <v>350</v>
      </c>
      <c r="B1502" s="8" t="s">
        <v>351</v>
      </c>
      <c r="C1502" s="8">
        <v>2016</v>
      </c>
      <c r="D1502" s="8">
        <v>298493998526</v>
      </c>
      <c r="E1502" s="8">
        <v>871000000000</v>
      </c>
      <c r="F1502" s="8">
        <v>79277962</v>
      </c>
      <c r="G1502" s="8">
        <v>3.3236650820000002</v>
      </c>
      <c r="H1502" s="8">
        <v>48.87018381</v>
      </c>
      <c r="I1502" s="8">
        <v>3765.16</v>
      </c>
      <c r="J1502" s="8">
        <v>10986.66</v>
      </c>
      <c r="K1502" s="8">
        <v>34.270000000000003</v>
      </c>
      <c r="L1502" s="8">
        <v>26</v>
      </c>
      <c r="M1502" s="8">
        <v>301964227532</v>
      </c>
      <c r="N1502" s="8">
        <v>-1.1499999999999999</v>
      </c>
      <c r="O1502" s="8" t="str">
        <f>vw_scenario_analysis_dataset[[#This Row],[reporter_name]] &amp; "-" &amp; vw_scenario_analysis_dataset[[#This Row],[reference_year]]</f>
        <v>Türkiye-2016</v>
      </c>
    </row>
    <row r="1503" spans="1:15" x14ac:dyDescent="0.3">
      <c r="A1503" s="8" t="s">
        <v>350</v>
      </c>
      <c r="B1503" s="8" t="s">
        <v>351</v>
      </c>
      <c r="C1503" s="8">
        <v>2017</v>
      </c>
      <c r="D1503" s="8">
        <v>328989238632</v>
      </c>
      <c r="E1503" s="8">
        <v>864000000000</v>
      </c>
      <c r="F1503" s="8">
        <v>80312698</v>
      </c>
      <c r="G1503" s="8">
        <v>7.8258573</v>
      </c>
      <c r="H1503" s="8">
        <v>56.13565852</v>
      </c>
      <c r="I1503" s="8">
        <v>4096.3500000000004</v>
      </c>
      <c r="J1503" s="8">
        <v>10757.95</v>
      </c>
      <c r="K1503" s="8">
        <v>38.08</v>
      </c>
      <c r="L1503" s="8">
        <v>27</v>
      </c>
      <c r="M1503" s="8">
        <v>298493998526</v>
      </c>
      <c r="N1503" s="8">
        <v>10.220000000000001</v>
      </c>
      <c r="O1503" s="8" t="str">
        <f>vw_scenario_analysis_dataset[[#This Row],[reporter_name]] &amp; "-" &amp; vw_scenario_analysis_dataset[[#This Row],[reference_year]]</f>
        <v>Türkiye-2017</v>
      </c>
    </row>
    <row r="1504" spans="1:15" x14ac:dyDescent="0.3">
      <c r="A1504" s="8" t="s">
        <v>350</v>
      </c>
      <c r="B1504" s="8" t="s">
        <v>351</v>
      </c>
      <c r="C1504" s="8">
        <v>2018</v>
      </c>
      <c r="D1504" s="8">
        <v>354337512576</v>
      </c>
      <c r="E1504" s="8">
        <v>788000000000</v>
      </c>
      <c r="F1504" s="8">
        <v>81407204</v>
      </c>
      <c r="G1504" s="8">
        <v>3.4681530610000002</v>
      </c>
      <c r="H1504" s="8">
        <v>62.82513239</v>
      </c>
      <c r="I1504" s="8">
        <v>4352.66</v>
      </c>
      <c r="J1504" s="8">
        <v>9679.73</v>
      </c>
      <c r="K1504" s="8">
        <v>44.97</v>
      </c>
      <c r="L1504" s="8">
        <v>27</v>
      </c>
      <c r="M1504" s="8">
        <v>328989238632</v>
      </c>
      <c r="N1504" s="8">
        <v>7.7</v>
      </c>
      <c r="O1504" s="8" t="str">
        <f>vw_scenario_analysis_dataset[[#This Row],[reporter_name]] &amp; "-" &amp; vw_scenario_analysis_dataset[[#This Row],[reference_year]]</f>
        <v>Türkiye-2018</v>
      </c>
    </row>
    <row r="1505" spans="1:15" x14ac:dyDescent="0.3">
      <c r="A1505" s="8" t="s">
        <v>350</v>
      </c>
      <c r="B1505" s="8" t="s">
        <v>351</v>
      </c>
      <c r="C1505" s="8">
        <v>2019</v>
      </c>
      <c r="D1505" s="8">
        <v>361665443404</v>
      </c>
      <c r="E1505" s="8">
        <v>776000000000</v>
      </c>
      <c r="F1505" s="8">
        <v>82579440</v>
      </c>
      <c r="G1505" s="8">
        <v>1.301623655</v>
      </c>
      <c r="H1505" s="8">
        <v>62.578458929999996</v>
      </c>
      <c r="I1505" s="8">
        <v>4379.6099999999997</v>
      </c>
      <c r="J1505" s="8">
        <v>9397.01</v>
      </c>
      <c r="K1505" s="8">
        <v>46.61</v>
      </c>
      <c r="L1505" s="8">
        <v>26</v>
      </c>
      <c r="M1505" s="8">
        <v>354337512576</v>
      </c>
      <c r="N1505" s="8">
        <v>2.0699999999999998</v>
      </c>
      <c r="O1505" s="8" t="str">
        <f>vw_scenario_analysis_dataset[[#This Row],[reporter_name]] &amp; "-" &amp; vw_scenario_analysis_dataset[[#This Row],[reference_year]]</f>
        <v>Türkiye-2019</v>
      </c>
    </row>
    <row r="1506" spans="1:15" x14ac:dyDescent="0.3">
      <c r="A1506" s="8" t="s">
        <v>350</v>
      </c>
      <c r="B1506" s="8" t="s">
        <v>351</v>
      </c>
      <c r="C1506" s="8">
        <v>2020</v>
      </c>
      <c r="D1506" s="8">
        <v>339315879554</v>
      </c>
      <c r="E1506" s="8">
        <v>734000000000</v>
      </c>
      <c r="F1506" s="8">
        <v>83384680</v>
      </c>
      <c r="G1506" s="8">
        <v>1.8030624710000001</v>
      </c>
      <c r="H1506" s="8">
        <v>60.389853119999998</v>
      </c>
      <c r="I1506" s="8">
        <v>4069.28</v>
      </c>
      <c r="J1506" s="8">
        <v>8802.58</v>
      </c>
      <c r="K1506" s="8">
        <v>46.23</v>
      </c>
      <c r="L1506" s="8">
        <v>27</v>
      </c>
      <c r="M1506" s="8">
        <v>361665443404</v>
      </c>
      <c r="N1506" s="8">
        <v>-6.18</v>
      </c>
      <c r="O1506" s="8" t="str">
        <f>vw_scenario_analysis_dataset[[#This Row],[reporter_name]] &amp; "-" &amp; vw_scenario_analysis_dataset[[#This Row],[reference_year]]</f>
        <v>Türkiye-2020</v>
      </c>
    </row>
    <row r="1507" spans="1:15" x14ac:dyDescent="0.3">
      <c r="A1507" s="8" t="s">
        <v>350</v>
      </c>
      <c r="B1507" s="8" t="s">
        <v>351</v>
      </c>
      <c r="C1507" s="8">
        <v>2021</v>
      </c>
      <c r="D1507" s="8">
        <v>450428916076</v>
      </c>
      <c r="E1507" s="8">
        <v>840000000000</v>
      </c>
      <c r="F1507" s="8">
        <v>84147318</v>
      </c>
      <c r="G1507" s="8">
        <v>11.811094450000001</v>
      </c>
      <c r="H1507" s="8">
        <v>69.60889761</v>
      </c>
      <c r="I1507" s="8">
        <v>5352.86</v>
      </c>
      <c r="J1507" s="8">
        <v>9982.49</v>
      </c>
      <c r="K1507" s="8">
        <v>53.62</v>
      </c>
      <c r="L1507" s="8">
        <v>27</v>
      </c>
      <c r="M1507" s="8">
        <v>339315879554</v>
      </c>
      <c r="N1507" s="8">
        <v>32.75</v>
      </c>
      <c r="O1507" s="8" t="str">
        <f>vw_scenario_analysis_dataset[[#This Row],[reporter_name]] &amp; "-" &amp; vw_scenario_analysis_dataset[[#This Row],[reference_year]]</f>
        <v>Türkiye-2021</v>
      </c>
    </row>
    <row r="1508" spans="1:15" x14ac:dyDescent="0.3">
      <c r="A1508" s="8" t="s">
        <v>350</v>
      </c>
      <c r="B1508" s="8" t="s">
        <v>351</v>
      </c>
      <c r="C1508" s="8">
        <v>2022</v>
      </c>
      <c r="D1508" s="8">
        <v>508339495326</v>
      </c>
      <c r="E1508" s="8">
        <v>926000000000</v>
      </c>
      <c r="F1508" s="8">
        <v>84979913</v>
      </c>
      <c r="G1508" s="8">
        <v>5.4412251129999998</v>
      </c>
      <c r="H1508" s="8">
        <v>79.898272230000003</v>
      </c>
      <c r="I1508" s="8">
        <v>5981.88</v>
      </c>
      <c r="J1508" s="8">
        <v>10896.69</v>
      </c>
      <c r="K1508" s="8">
        <v>54.9</v>
      </c>
      <c r="L1508" s="8">
        <v>25</v>
      </c>
      <c r="M1508" s="8">
        <v>450428916076</v>
      </c>
      <c r="N1508" s="8">
        <v>12.86</v>
      </c>
      <c r="O1508" s="8" t="str">
        <f>vw_scenario_analysis_dataset[[#This Row],[reporter_name]] &amp; "-" &amp; vw_scenario_analysis_dataset[[#This Row],[reference_year]]</f>
        <v>Türkiye-2022</v>
      </c>
    </row>
    <row r="1509" spans="1:15" x14ac:dyDescent="0.3">
      <c r="A1509" s="8" t="s">
        <v>350</v>
      </c>
      <c r="B1509" s="8" t="s">
        <v>351</v>
      </c>
      <c r="C1509" s="8">
        <v>2023</v>
      </c>
      <c r="D1509" s="8">
        <v>511254858022</v>
      </c>
      <c r="E1509" s="8">
        <v>1140000000000</v>
      </c>
      <c r="F1509" s="8">
        <v>85325965</v>
      </c>
      <c r="G1509" s="8">
        <v>5.0451236980000003</v>
      </c>
      <c r="H1509" s="8">
        <v>65.683208469999997</v>
      </c>
      <c r="I1509" s="8">
        <v>5991.79</v>
      </c>
      <c r="J1509" s="8">
        <v>13360.53</v>
      </c>
      <c r="K1509" s="8">
        <v>44.85</v>
      </c>
      <c r="L1509" s="8">
        <v>25</v>
      </c>
      <c r="M1509" s="8">
        <v>508339495326</v>
      </c>
      <c r="N1509" s="8">
        <v>0.56999999999999995</v>
      </c>
      <c r="O1509" s="8" t="str">
        <f>vw_scenario_analysis_dataset[[#This Row],[reporter_name]] &amp; "-" &amp; vw_scenario_analysis_dataset[[#This Row],[reference_year]]</f>
        <v>Türkiye-2023</v>
      </c>
    </row>
    <row r="1510" spans="1:15" x14ac:dyDescent="0.3">
      <c r="A1510" s="8" t="s">
        <v>350</v>
      </c>
      <c r="B1510" s="8" t="s">
        <v>351</v>
      </c>
      <c r="C1510" s="8">
        <v>2024</v>
      </c>
      <c r="D1510" s="8">
        <v>523556261762</v>
      </c>
      <c r="E1510" s="8">
        <v>1360000000000</v>
      </c>
      <c r="F1510" s="8">
        <v>85518661</v>
      </c>
      <c r="G1510" s="8">
        <v>3.3276230889999998</v>
      </c>
      <c r="H1510" s="8">
        <v>54.598806119999999</v>
      </c>
      <c r="I1510" s="8">
        <v>6122.13</v>
      </c>
      <c r="J1510" s="8">
        <v>15902.96</v>
      </c>
      <c r="K1510" s="8">
        <v>38.5</v>
      </c>
      <c r="L1510" s="8">
        <v>23</v>
      </c>
      <c r="M1510" s="8">
        <v>511254858022</v>
      </c>
      <c r="N1510" s="8">
        <v>2.41</v>
      </c>
      <c r="O1510" s="8" t="str">
        <f>vw_scenario_analysis_dataset[[#This Row],[reporter_name]] &amp; "-" &amp; vw_scenario_analysis_dataset[[#This Row],[reference_year]]</f>
        <v>Türkiye-2024</v>
      </c>
    </row>
    <row r="1511" spans="1:15" x14ac:dyDescent="0.3">
      <c r="A1511" s="8" t="s">
        <v>352</v>
      </c>
      <c r="B1511" s="8" t="s">
        <v>353</v>
      </c>
      <c r="C1511" s="8">
        <v>2015</v>
      </c>
      <c r="D1511" s="8">
        <v>11708461036</v>
      </c>
      <c r="E1511" s="8">
        <v>47413919817</v>
      </c>
      <c r="F1511" s="8">
        <v>52020962</v>
      </c>
      <c r="G1511" s="8">
        <v>6.1606287740000001</v>
      </c>
      <c r="H1511" s="8">
        <v>40.757680880000002</v>
      </c>
      <c r="I1511" s="8">
        <v>225.07</v>
      </c>
      <c r="J1511" s="8">
        <v>911.44</v>
      </c>
      <c r="K1511" s="8">
        <v>24.69</v>
      </c>
      <c r="L1511" s="8">
        <v>93</v>
      </c>
      <c r="M1511" s="8"/>
      <c r="N1511" s="8"/>
      <c r="O1511" s="8" t="str">
        <f>vw_scenario_analysis_dataset[[#This Row],[reporter_name]] &amp; "-" &amp; vw_scenario_analysis_dataset[[#This Row],[reference_year]]</f>
        <v>United Rep. of Tanzania-2015</v>
      </c>
    </row>
    <row r="1512" spans="1:15" x14ac:dyDescent="0.3">
      <c r="A1512" s="8" t="s">
        <v>352</v>
      </c>
      <c r="B1512" s="8" t="s">
        <v>353</v>
      </c>
      <c r="C1512" s="8">
        <v>2016</v>
      </c>
      <c r="D1512" s="8">
        <v>9483849163</v>
      </c>
      <c r="E1512" s="8">
        <v>49774409374</v>
      </c>
      <c r="F1512" s="8">
        <v>53824013</v>
      </c>
      <c r="G1512" s="8">
        <v>6.8671161959999996</v>
      </c>
      <c r="H1512" s="8">
        <v>35.420470399999999</v>
      </c>
      <c r="I1512" s="8">
        <v>176.2</v>
      </c>
      <c r="J1512" s="8">
        <v>924.76</v>
      </c>
      <c r="K1512" s="8">
        <v>19.05</v>
      </c>
      <c r="L1512" s="8">
        <v>99</v>
      </c>
      <c r="M1512" s="8">
        <v>11708461036</v>
      </c>
      <c r="N1512" s="8">
        <v>-19</v>
      </c>
      <c r="O1512" s="8" t="str">
        <f>vw_scenario_analysis_dataset[[#This Row],[reporter_name]] &amp; "-" &amp; vw_scenario_analysis_dataset[[#This Row],[reference_year]]</f>
        <v>United Rep. of Tanzania-2016</v>
      </c>
    </row>
    <row r="1513" spans="1:15" x14ac:dyDescent="0.3">
      <c r="A1513" s="8" t="s">
        <v>352</v>
      </c>
      <c r="B1513" s="8" t="s">
        <v>353</v>
      </c>
      <c r="C1513" s="8">
        <v>2017</v>
      </c>
      <c r="D1513" s="8">
        <v>8356218125.541996</v>
      </c>
      <c r="E1513" s="8">
        <v>53274884533</v>
      </c>
      <c r="F1513" s="8">
        <v>55652890</v>
      </c>
      <c r="G1513" s="8">
        <v>6.7272699679999999</v>
      </c>
      <c r="H1513" s="8">
        <v>33.112591989999999</v>
      </c>
      <c r="I1513" s="8">
        <v>150.15</v>
      </c>
      <c r="J1513" s="8">
        <v>957.27</v>
      </c>
      <c r="K1513" s="8">
        <v>15.69</v>
      </c>
      <c r="L1513" s="8">
        <v>105</v>
      </c>
      <c r="M1513" s="8">
        <v>9483849163</v>
      </c>
      <c r="N1513" s="8">
        <v>-11.89</v>
      </c>
      <c r="O1513" s="8" t="str">
        <f>vw_scenario_analysis_dataset[[#This Row],[reporter_name]] &amp; "-" &amp; vw_scenario_analysis_dataset[[#This Row],[reference_year]]</f>
        <v>United Rep. of Tanzania-2017</v>
      </c>
    </row>
    <row r="1514" spans="1:15" x14ac:dyDescent="0.3">
      <c r="A1514" s="8" t="s">
        <v>352</v>
      </c>
      <c r="B1514" s="8" t="s">
        <v>353</v>
      </c>
      <c r="C1514" s="8">
        <v>2018</v>
      </c>
      <c r="D1514" s="8">
        <v>7338424877.0760031</v>
      </c>
      <c r="E1514" s="8">
        <v>57003712892</v>
      </c>
      <c r="F1514" s="8">
        <v>57437145</v>
      </c>
      <c r="G1514" s="8">
        <v>5.5026759939999996</v>
      </c>
      <c r="H1514" s="8">
        <v>32.642609899999997</v>
      </c>
      <c r="I1514" s="8">
        <v>127.76</v>
      </c>
      <c r="J1514" s="8">
        <v>992.45</v>
      </c>
      <c r="K1514" s="8">
        <v>12.87</v>
      </c>
      <c r="L1514" s="8">
        <v>107</v>
      </c>
      <c r="M1514" s="8">
        <v>8356218125.541996</v>
      </c>
      <c r="N1514" s="8">
        <v>-12.18</v>
      </c>
      <c r="O1514" s="8" t="str">
        <f>vw_scenario_analysis_dataset[[#This Row],[reporter_name]] &amp; "-" &amp; vw_scenario_analysis_dataset[[#This Row],[reference_year]]</f>
        <v>United Rep. of Tanzania-2018</v>
      </c>
    </row>
    <row r="1515" spans="1:15" x14ac:dyDescent="0.3">
      <c r="A1515" s="8" t="s">
        <v>352</v>
      </c>
      <c r="B1515" s="8" t="s">
        <v>353</v>
      </c>
      <c r="C1515" s="8">
        <v>2019</v>
      </c>
      <c r="D1515" s="8">
        <v>10007529762.367002</v>
      </c>
      <c r="E1515" s="8">
        <v>61026731926</v>
      </c>
      <c r="F1515" s="8">
        <v>59174891</v>
      </c>
      <c r="G1515" s="8">
        <v>5.8</v>
      </c>
      <c r="H1515" s="8">
        <v>33.018589249999998</v>
      </c>
      <c r="I1515" s="8">
        <v>169.12</v>
      </c>
      <c r="J1515" s="8">
        <v>1031.29</v>
      </c>
      <c r="K1515" s="8">
        <v>16.399999999999999</v>
      </c>
      <c r="L1515" s="8">
        <v>100</v>
      </c>
      <c r="M1515" s="8">
        <v>7338424877.0760031</v>
      </c>
      <c r="N1515" s="8">
        <v>36.369999999999997</v>
      </c>
      <c r="O1515" s="8" t="str">
        <f>vw_scenario_analysis_dataset[[#This Row],[reporter_name]] &amp; "-" &amp; vw_scenario_analysis_dataset[[#This Row],[reference_year]]</f>
        <v>United Rep. of Tanzania-2019</v>
      </c>
    </row>
    <row r="1516" spans="1:15" x14ac:dyDescent="0.3">
      <c r="A1516" s="8" t="s">
        <v>352</v>
      </c>
      <c r="B1516" s="8" t="s">
        <v>353</v>
      </c>
      <c r="C1516" s="8">
        <v>2020</v>
      </c>
      <c r="D1516" s="8">
        <v>12152820260.762005</v>
      </c>
      <c r="E1516" s="8">
        <v>66068737786</v>
      </c>
      <c r="F1516" s="8">
        <v>60972798</v>
      </c>
      <c r="G1516" s="8">
        <v>1.991964606</v>
      </c>
      <c r="H1516" s="8">
        <v>27.963015200000001</v>
      </c>
      <c r="I1516" s="8">
        <v>199.32</v>
      </c>
      <c r="J1516" s="8">
        <v>1083.58</v>
      </c>
      <c r="K1516" s="8">
        <v>18.39</v>
      </c>
      <c r="L1516" s="8">
        <v>90</v>
      </c>
      <c r="M1516" s="8">
        <v>10007529762.367002</v>
      </c>
      <c r="N1516" s="8">
        <v>21.44</v>
      </c>
      <c r="O1516" s="8" t="str">
        <f>vw_scenario_analysis_dataset[[#This Row],[reporter_name]] &amp; "-" &amp; vw_scenario_analysis_dataset[[#This Row],[reference_year]]</f>
        <v>United Rep. of Tanzania-2020</v>
      </c>
    </row>
    <row r="1517" spans="1:15" x14ac:dyDescent="0.3">
      <c r="A1517" s="8" t="s">
        <v>352</v>
      </c>
      <c r="B1517" s="8" t="s">
        <v>353</v>
      </c>
      <c r="C1517" s="8">
        <v>2021</v>
      </c>
      <c r="D1517" s="8">
        <v>12781725773.488997</v>
      </c>
      <c r="E1517" s="8">
        <v>70655628148</v>
      </c>
      <c r="F1517" s="8">
        <v>62830412</v>
      </c>
      <c r="G1517" s="8">
        <v>4.3213842949999997</v>
      </c>
      <c r="H1517" s="8">
        <v>29.915184010000001</v>
      </c>
      <c r="I1517" s="8">
        <v>203.43</v>
      </c>
      <c r="J1517" s="8">
        <v>1124.55</v>
      </c>
      <c r="K1517" s="8">
        <v>18.09</v>
      </c>
      <c r="L1517" s="8">
        <v>97</v>
      </c>
      <c r="M1517" s="8">
        <v>12152820260.762005</v>
      </c>
      <c r="N1517" s="8">
        <v>5.17</v>
      </c>
      <c r="O1517" s="8" t="str">
        <f>vw_scenario_analysis_dataset[[#This Row],[reporter_name]] &amp; "-" &amp; vw_scenario_analysis_dataset[[#This Row],[reference_year]]</f>
        <v>United Rep. of Tanzania-2021</v>
      </c>
    </row>
    <row r="1518" spans="1:15" x14ac:dyDescent="0.3">
      <c r="A1518" s="8" t="s">
        <v>352</v>
      </c>
      <c r="B1518" s="8" t="s">
        <v>353</v>
      </c>
      <c r="C1518" s="8">
        <v>2022</v>
      </c>
      <c r="D1518" s="8">
        <v>13649692221.806997</v>
      </c>
      <c r="E1518" s="8">
        <v>75749121847</v>
      </c>
      <c r="F1518" s="8">
        <v>64711821</v>
      </c>
      <c r="G1518" s="8">
        <v>4.5660057639999998</v>
      </c>
      <c r="H1518" s="8">
        <v>35.00345171</v>
      </c>
      <c r="I1518" s="8">
        <v>210.93</v>
      </c>
      <c r="J1518" s="8">
        <v>1170.56</v>
      </c>
      <c r="K1518" s="8">
        <v>18.02</v>
      </c>
      <c r="L1518" s="8">
        <v>98</v>
      </c>
      <c r="M1518" s="8">
        <v>12781725773.488997</v>
      </c>
      <c r="N1518" s="8">
        <v>6.79</v>
      </c>
      <c r="O1518" s="8" t="str">
        <f>vw_scenario_analysis_dataset[[#This Row],[reporter_name]] &amp; "-" &amp; vw_scenario_analysis_dataset[[#This Row],[reference_year]]</f>
        <v>United Rep. of Tanzania-2022</v>
      </c>
    </row>
    <row r="1519" spans="1:15" x14ac:dyDescent="0.3">
      <c r="A1519" s="8" t="s">
        <v>352</v>
      </c>
      <c r="B1519" s="8" t="s">
        <v>353</v>
      </c>
      <c r="C1519" s="8">
        <v>2023</v>
      </c>
      <c r="D1519" s="8">
        <v>14548657575.740002</v>
      </c>
      <c r="E1519" s="8">
        <v>79030935638</v>
      </c>
      <c r="F1519" s="8">
        <v>66617606</v>
      </c>
      <c r="G1519" s="8">
        <v>5.0695235319999998</v>
      </c>
      <c r="H1519" s="8">
        <v>38.212034809999999</v>
      </c>
      <c r="I1519" s="8">
        <v>218.39</v>
      </c>
      <c r="J1519" s="8">
        <v>1186.3399999999999</v>
      </c>
      <c r="K1519" s="8">
        <v>18.41</v>
      </c>
      <c r="L1519" s="8">
        <v>93</v>
      </c>
      <c r="M1519" s="8">
        <v>13649692221.806997</v>
      </c>
      <c r="N1519" s="8">
        <v>6.59</v>
      </c>
      <c r="O1519" s="8" t="str">
        <f>vw_scenario_analysis_dataset[[#This Row],[reporter_name]] &amp; "-" &amp; vw_scenario_analysis_dataset[[#This Row],[reference_year]]</f>
        <v>United Rep. of Tanzania-2023</v>
      </c>
    </row>
    <row r="1520" spans="1:15" x14ac:dyDescent="0.3">
      <c r="A1520" s="8" t="s">
        <v>352</v>
      </c>
      <c r="B1520" s="8" t="s">
        <v>353</v>
      </c>
      <c r="C1520" s="8">
        <v>2024</v>
      </c>
      <c r="D1520" s="8">
        <v>17404055807.890991</v>
      </c>
      <c r="E1520" s="8">
        <v>79235713445</v>
      </c>
      <c r="F1520" s="8">
        <v>68560157</v>
      </c>
      <c r="G1520" s="8">
        <v>5.5263138310000004</v>
      </c>
      <c r="H1520" s="8">
        <v>41.308106860000002</v>
      </c>
      <c r="I1520" s="8">
        <v>253.85</v>
      </c>
      <c r="J1520" s="8">
        <v>1155.71</v>
      </c>
      <c r="K1520" s="8">
        <v>21.96</v>
      </c>
      <c r="L1520" s="8">
        <v>82</v>
      </c>
      <c r="M1520" s="8">
        <v>14548657575.740002</v>
      </c>
      <c r="N1520" s="8">
        <v>19.63</v>
      </c>
      <c r="O1520" s="8" t="str">
        <f>vw_scenario_analysis_dataset[[#This Row],[reporter_name]] &amp; "-" &amp; vw_scenario_analysis_dataset[[#This Row],[reference_year]]</f>
        <v>United Rep. of Tanzania-2024</v>
      </c>
    </row>
    <row r="1521" spans="1:15" x14ac:dyDescent="0.3">
      <c r="A1521" s="8" t="s">
        <v>354</v>
      </c>
      <c r="B1521" s="8" t="s">
        <v>355</v>
      </c>
      <c r="C1521" s="8">
        <v>2015</v>
      </c>
      <c r="D1521" s="8">
        <v>4534017371</v>
      </c>
      <c r="E1521" s="8">
        <v>32387183730</v>
      </c>
      <c r="F1521" s="8">
        <v>37531446</v>
      </c>
      <c r="G1521" s="8">
        <v>5.1878598599999997</v>
      </c>
      <c r="H1521" s="8">
        <v>37.68929833</v>
      </c>
      <c r="I1521" s="8">
        <v>120.81</v>
      </c>
      <c r="J1521" s="8">
        <v>862.93</v>
      </c>
      <c r="K1521" s="8">
        <v>14</v>
      </c>
      <c r="L1521" s="8">
        <v>112</v>
      </c>
      <c r="M1521" s="8"/>
      <c r="N1521" s="8"/>
      <c r="O1521" s="8" t="str">
        <f>vw_scenario_analysis_dataset[[#This Row],[reporter_name]] &amp; "-" &amp; vw_scenario_analysis_dataset[[#This Row],[reference_year]]</f>
        <v>Uganda-2015</v>
      </c>
    </row>
    <row r="1522" spans="1:15" x14ac:dyDescent="0.3">
      <c r="A1522" s="8" t="s">
        <v>354</v>
      </c>
      <c r="B1522" s="8" t="s">
        <v>355</v>
      </c>
      <c r="C1522" s="8">
        <v>2016</v>
      </c>
      <c r="D1522" s="8">
        <v>4964626831</v>
      </c>
      <c r="E1522" s="8">
        <v>29203988696</v>
      </c>
      <c r="F1522" s="8">
        <v>38799152</v>
      </c>
      <c r="G1522" s="8">
        <v>4.781000293</v>
      </c>
      <c r="H1522" s="8">
        <v>31.20936202</v>
      </c>
      <c r="I1522" s="8">
        <v>127.96</v>
      </c>
      <c r="J1522" s="8">
        <v>752.7</v>
      </c>
      <c r="K1522" s="8">
        <v>17</v>
      </c>
      <c r="L1522" s="8">
        <v>113</v>
      </c>
      <c r="M1522" s="8">
        <v>4534017371</v>
      </c>
      <c r="N1522" s="8">
        <v>9.5</v>
      </c>
      <c r="O1522" s="8" t="str">
        <f>vw_scenario_analysis_dataset[[#This Row],[reporter_name]] &amp; "-" &amp; vw_scenario_analysis_dataset[[#This Row],[reference_year]]</f>
        <v>Uganda-2016</v>
      </c>
    </row>
    <row r="1523" spans="1:15" x14ac:dyDescent="0.3">
      <c r="A1523" s="8" t="s">
        <v>354</v>
      </c>
      <c r="B1523" s="8" t="s">
        <v>355</v>
      </c>
      <c r="C1523" s="8">
        <v>2017</v>
      </c>
      <c r="D1523" s="8">
        <v>5802931359.5199995</v>
      </c>
      <c r="E1523" s="8">
        <v>30744473841</v>
      </c>
      <c r="F1523" s="8">
        <v>40177388</v>
      </c>
      <c r="G1523" s="8">
        <v>3.1314055170000001</v>
      </c>
      <c r="H1523" s="8">
        <v>36.837052929999999</v>
      </c>
      <c r="I1523" s="8">
        <v>144.43</v>
      </c>
      <c r="J1523" s="8">
        <v>765.22</v>
      </c>
      <c r="K1523" s="8">
        <v>18.87</v>
      </c>
      <c r="L1523" s="8">
        <v>115</v>
      </c>
      <c r="M1523" s="8">
        <v>4964626831</v>
      </c>
      <c r="N1523" s="8">
        <v>16.89</v>
      </c>
      <c r="O1523" s="8" t="str">
        <f>vw_scenario_analysis_dataset[[#This Row],[reporter_name]] &amp; "-" &amp; vw_scenario_analysis_dataset[[#This Row],[reference_year]]</f>
        <v>Uganda-2017</v>
      </c>
    </row>
    <row r="1524" spans="1:15" x14ac:dyDescent="0.3">
      <c r="A1524" s="8" t="s">
        <v>354</v>
      </c>
      <c r="B1524" s="8" t="s">
        <v>355</v>
      </c>
      <c r="C1524" s="8">
        <v>2018</v>
      </c>
      <c r="D1524" s="8">
        <v>6174727152.4199982</v>
      </c>
      <c r="E1524" s="8">
        <v>32927025620</v>
      </c>
      <c r="F1524" s="8">
        <v>41565831</v>
      </c>
      <c r="G1524" s="8">
        <v>6.3039237830000001</v>
      </c>
      <c r="H1524" s="8">
        <v>36.638405599999999</v>
      </c>
      <c r="I1524" s="8">
        <v>148.55000000000001</v>
      </c>
      <c r="J1524" s="8">
        <v>792.17</v>
      </c>
      <c r="K1524" s="8">
        <v>18.75</v>
      </c>
      <c r="L1524" s="8">
        <v>114</v>
      </c>
      <c r="M1524" s="8">
        <v>5802931359.5199995</v>
      </c>
      <c r="N1524" s="8">
        <v>6.41</v>
      </c>
      <c r="O1524" s="8" t="str">
        <f>vw_scenario_analysis_dataset[[#This Row],[reporter_name]] &amp; "-" &amp; vw_scenario_analysis_dataset[[#This Row],[reference_year]]</f>
        <v>Uganda-2018</v>
      </c>
    </row>
    <row r="1525" spans="1:15" x14ac:dyDescent="0.3">
      <c r="A1525" s="8" t="s">
        <v>354</v>
      </c>
      <c r="B1525" s="8" t="s">
        <v>355</v>
      </c>
      <c r="C1525" s="8">
        <v>2019</v>
      </c>
      <c r="D1525" s="8">
        <v>7127569956.420002</v>
      </c>
      <c r="E1525" s="8">
        <v>35353061003</v>
      </c>
      <c r="F1525" s="8">
        <v>42999637</v>
      </c>
      <c r="G1525" s="8">
        <v>6.438745033</v>
      </c>
      <c r="H1525" s="8">
        <v>39.36105396</v>
      </c>
      <c r="I1525" s="8">
        <v>165.76</v>
      </c>
      <c r="J1525" s="8">
        <v>822.17</v>
      </c>
      <c r="K1525" s="8">
        <v>20.16</v>
      </c>
      <c r="L1525" s="8">
        <v>110</v>
      </c>
      <c r="M1525" s="8">
        <v>6174727152.4199982</v>
      </c>
      <c r="N1525" s="8">
        <v>15.43</v>
      </c>
      <c r="O1525" s="8" t="str">
        <f>vw_scenario_analysis_dataset[[#This Row],[reporter_name]] &amp; "-" &amp; vw_scenario_analysis_dataset[[#This Row],[reference_year]]</f>
        <v>Uganda-2019</v>
      </c>
    </row>
    <row r="1526" spans="1:15" x14ac:dyDescent="0.3">
      <c r="A1526" s="8" t="s">
        <v>354</v>
      </c>
      <c r="B1526" s="8" t="s">
        <v>355</v>
      </c>
      <c r="C1526" s="8">
        <v>2020</v>
      </c>
      <c r="D1526" s="8">
        <v>8297916658</v>
      </c>
      <c r="E1526" s="8">
        <v>37600368242</v>
      </c>
      <c r="F1526" s="8">
        <v>44457152</v>
      </c>
      <c r="G1526" s="8">
        <v>2.951306422</v>
      </c>
      <c r="H1526" s="8">
        <v>37.000692389999998</v>
      </c>
      <c r="I1526" s="8">
        <v>186.65</v>
      </c>
      <c r="J1526" s="8">
        <v>845.77</v>
      </c>
      <c r="K1526" s="8">
        <v>22.07</v>
      </c>
      <c r="L1526" s="8">
        <v>103</v>
      </c>
      <c r="M1526" s="8">
        <v>7127569956.420002</v>
      </c>
      <c r="N1526" s="8">
        <v>16.420000000000002</v>
      </c>
      <c r="O1526" s="8" t="str">
        <f>vw_scenario_analysis_dataset[[#This Row],[reporter_name]] &amp; "-" &amp; vw_scenario_analysis_dataset[[#This Row],[reference_year]]</f>
        <v>Uganda-2020</v>
      </c>
    </row>
    <row r="1527" spans="1:15" x14ac:dyDescent="0.3">
      <c r="A1527" s="8" t="s">
        <v>354</v>
      </c>
      <c r="B1527" s="8" t="s">
        <v>355</v>
      </c>
      <c r="C1527" s="8">
        <v>2021</v>
      </c>
      <c r="D1527" s="8">
        <v>7930634089.1000013</v>
      </c>
      <c r="E1527" s="8">
        <v>40529788749</v>
      </c>
      <c r="F1527" s="8">
        <v>45910930</v>
      </c>
      <c r="G1527" s="8">
        <v>3.5365803410000001</v>
      </c>
      <c r="H1527" s="8">
        <v>41.713630739999999</v>
      </c>
      <c r="I1527" s="8">
        <v>172.74</v>
      </c>
      <c r="J1527" s="8">
        <v>882.79</v>
      </c>
      <c r="K1527" s="8">
        <v>19.57</v>
      </c>
      <c r="L1527" s="8">
        <v>110</v>
      </c>
      <c r="M1527" s="8">
        <v>8297916658</v>
      </c>
      <c r="N1527" s="8">
        <v>-4.43</v>
      </c>
      <c r="O1527" s="8" t="str">
        <f>vw_scenario_analysis_dataset[[#This Row],[reporter_name]] &amp; "-" &amp; vw_scenario_analysis_dataset[[#This Row],[reference_year]]</f>
        <v>Uganda-2021</v>
      </c>
    </row>
    <row r="1528" spans="1:15" x14ac:dyDescent="0.3">
      <c r="A1528" s="8" t="s">
        <v>354</v>
      </c>
      <c r="B1528" s="8" t="s">
        <v>355</v>
      </c>
      <c r="C1528" s="8">
        <v>2022</v>
      </c>
      <c r="D1528" s="8">
        <v>7154888803.3399973</v>
      </c>
      <c r="E1528" s="8">
        <v>45565333211</v>
      </c>
      <c r="F1528" s="8">
        <v>47312719</v>
      </c>
      <c r="G1528" s="8">
        <v>4.5880219220000003</v>
      </c>
      <c r="H1528" s="8">
        <v>34.505301930000002</v>
      </c>
      <c r="I1528" s="8">
        <v>151.22999999999999</v>
      </c>
      <c r="J1528" s="8">
        <v>963.07</v>
      </c>
      <c r="K1528" s="8">
        <v>15.7</v>
      </c>
      <c r="L1528" s="8">
        <v>115</v>
      </c>
      <c r="M1528" s="8">
        <v>7930634089.1000013</v>
      </c>
      <c r="N1528" s="8">
        <v>-9.7799999999999994</v>
      </c>
      <c r="O1528" s="8" t="str">
        <f>vw_scenario_analysis_dataset[[#This Row],[reporter_name]] &amp; "-" &amp; vw_scenario_analysis_dataset[[#This Row],[reference_year]]</f>
        <v>Uganda-2022</v>
      </c>
    </row>
    <row r="1529" spans="1:15" x14ac:dyDescent="0.3">
      <c r="A1529" s="8" t="s">
        <v>354</v>
      </c>
      <c r="B1529" s="8" t="s">
        <v>355</v>
      </c>
      <c r="C1529" s="8">
        <v>2023</v>
      </c>
      <c r="D1529" s="8">
        <v>12610046572.680004</v>
      </c>
      <c r="E1529" s="8">
        <v>48768955863</v>
      </c>
      <c r="F1529" s="8">
        <v>48656601</v>
      </c>
      <c r="G1529" s="8">
        <v>5.3369729550000002</v>
      </c>
      <c r="H1529" s="8">
        <v>33.341696329999998</v>
      </c>
      <c r="I1529" s="8">
        <v>259.16000000000003</v>
      </c>
      <c r="J1529" s="8">
        <v>1002.31</v>
      </c>
      <c r="K1529" s="8">
        <v>25.86</v>
      </c>
      <c r="L1529" s="8">
        <v>99</v>
      </c>
      <c r="M1529" s="8">
        <v>7154888803.3399973</v>
      </c>
      <c r="N1529" s="8">
        <v>76.239999999999995</v>
      </c>
      <c r="O1529" s="8" t="str">
        <f>vw_scenario_analysis_dataset[[#This Row],[reporter_name]] &amp; "-" &amp; vw_scenario_analysis_dataset[[#This Row],[reference_year]]</f>
        <v>Uganda-2023</v>
      </c>
    </row>
    <row r="1530" spans="1:15" x14ac:dyDescent="0.3">
      <c r="A1530" s="8" t="s">
        <v>354</v>
      </c>
      <c r="B1530" s="8" t="s">
        <v>355</v>
      </c>
      <c r="C1530" s="8">
        <v>2024</v>
      </c>
      <c r="D1530" s="8">
        <v>16078688751.859993</v>
      </c>
      <c r="E1530" s="8">
        <v>53911907079</v>
      </c>
      <c r="F1530" s="8">
        <v>50015092</v>
      </c>
      <c r="G1530" s="8">
        <v>6.0555807589999997</v>
      </c>
      <c r="H1530" s="8">
        <v>42.652788909999998</v>
      </c>
      <c r="I1530" s="8">
        <v>321.48</v>
      </c>
      <c r="J1530" s="8">
        <v>1077.9100000000001</v>
      </c>
      <c r="K1530" s="8">
        <v>29.82</v>
      </c>
      <c r="L1530" s="8">
        <v>86</v>
      </c>
      <c r="M1530" s="8">
        <v>12610046572.680004</v>
      </c>
      <c r="N1530" s="8">
        <v>27.51</v>
      </c>
      <c r="O1530" s="8" t="str">
        <f>vw_scenario_analysis_dataset[[#This Row],[reporter_name]] &amp; "-" &amp; vw_scenario_analysis_dataset[[#This Row],[reference_year]]</f>
        <v>Uganda-2024</v>
      </c>
    </row>
    <row r="1531" spans="1:15" x14ac:dyDescent="0.3">
      <c r="A1531" s="8" t="s">
        <v>356</v>
      </c>
      <c r="B1531" s="8" t="s">
        <v>357</v>
      </c>
      <c r="C1531" s="8">
        <v>2015</v>
      </c>
      <c r="D1531" s="8">
        <v>76254079112</v>
      </c>
      <c r="E1531" s="8">
        <v>91030967789</v>
      </c>
      <c r="F1531" s="8">
        <v>45784896</v>
      </c>
      <c r="G1531" s="8">
        <v>-9.7729872130000004</v>
      </c>
      <c r="H1531" s="8">
        <v>107.8066163</v>
      </c>
      <c r="I1531" s="8">
        <v>1665.49</v>
      </c>
      <c r="J1531" s="8">
        <v>1988.23</v>
      </c>
      <c r="K1531" s="8">
        <v>83.77</v>
      </c>
      <c r="L1531" s="8">
        <v>48</v>
      </c>
      <c r="M1531" s="8"/>
      <c r="N1531" s="8"/>
      <c r="O1531" s="8" t="str">
        <f>vw_scenario_analysis_dataset[[#This Row],[reporter_name]] &amp; "-" &amp; vw_scenario_analysis_dataset[[#This Row],[reference_year]]</f>
        <v>Ukraine-2015</v>
      </c>
    </row>
    <row r="1532" spans="1:15" x14ac:dyDescent="0.3">
      <c r="A1532" s="8" t="s">
        <v>356</v>
      </c>
      <c r="B1532" s="8" t="s">
        <v>357</v>
      </c>
      <c r="C1532" s="8">
        <v>2016</v>
      </c>
      <c r="D1532" s="8">
        <v>72722064929.600082</v>
      </c>
      <c r="E1532" s="8">
        <v>93355869404</v>
      </c>
      <c r="F1532" s="8">
        <v>45616832</v>
      </c>
      <c r="G1532" s="8">
        <v>2.4409819449999999</v>
      </c>
      <c r="H1532" s="8">
        <v>105.5212049</v>
      </c>
      <c r="I1532" s="8">
        <v>1594.19</v>
      </c>
      <c r="J1532" s="8">
        <v>2046.52</v>
      </c>
      <c r="K1532" s="8">
        <v>77.900000000000006</v>
      </c>
      <c r="L1532" s="8">
        <v>47</v>
      </c>
      <c r="M1532" s="8">
        <v>76254079112</v>
      </c>
      <c r="N1532" s="8">
        <v>-4.63</v>
      </c>
      <c r="O1532" s="8" t="str">
        <f>vw_scenario_analysis_dataset[[#This Row],[reporter_name]] &amp; "-" &amp; vw_scenario_analysis_dataset[[#This Row],[reference_year]]</f>
        <v>Ukraine-2016</v>
      </c>
    </row>
    <row r="1533" spans="1:15" x14ac:dyDescent="0.3">
      <c r="A1533" s="8" t="s">
        <v>356</v>
      </c>
      <c r="B1533" s="8" t="s">
        <v>357</v>
      </c>
      <c r="C1533" s="8">
        <v>2017</v>
      </c>
      <c r="D1533" s="8">
        <v>86856782112.780014</v>
      </c>
      <c r="E1533" s="8">
        <v>112000000000</v>
      </c>
      <c r="F1533" s="8">
        <v>45436041</v>
      </c>
      <c r="G1533" s="8">
        <v>2.3599722810000001</v>
      </c>
      <c r="H1533" s="8">
        <v>104.0349829</v>
      </c>
      <c r="I1533" s="8">
        <v>1911.63</v>
      </c>
      <c r="J1533" s="8">
        <v>2465</v>
      </c>
      <c r="K1533" s="8">
        <v>77.55</v>
      </c>
      <c r="L1533" s="8">
        <v>48</v>
      </c>
      <c r="M1533" s="8">
        <v>72722064929.600082</v>
      </c>
      <c r="N1533" s="8">
        <v>19.440000000000001</v>
      </c>
      <c r="O1533" s="8" t="str">
        <f>vw_scenario_analysis_dataset[[#This Row],[reporter_name]] &amp; "-" &amp; vw_scenario_analysis_dataset[[#This Row],[reference_year]]</f>
        <v>Ukraine-2017</v>
      </c>
    </row>
    <row r="1534" spans="1:15" x14ac:dyDescent="0.3">
      <c r="A1534" s="8" t="s">
        <v>356</v>
      </c>
      <c r="B1534" s="8" t="s">
        <v>357</v>
      </c>
      <c r="C1534" s="8">
        <v>2018</v>
      </c>
      <c r="D1534" s="8">
        <v>94669359707.539963</v>
      </c>
      <c r="E1534" s="8">
        <v>131000000000</v>
      </c>
      <c r="F1534" s="8">
        <v>45208907</v>
      </c>
      <c r="G1534" s="8">
        <v>3.4883623400000001</v>
      </c>
      <c r="H1534" s="8">
        <v>99.19981507</v>
      </c>
      <c r="I1534" s="8">
        <v>2094.04</v>
      </c>
      <c r="J1534" s="8">
        <v>2897.66</v>
      </c>
      <c r="K1534" s="8">
        <v>72.27</v>
      </c>
      <c r="L1534" s="8">
        <v>48</v>
      </c>
      <c r="M1534" s="8">
        <v>86856782112.780014</v>
      </c>
      <c r="N1534" s="8">
        <v>8.99</v>
      </c>
      <c r="O1534" s="8" t="str">
        <f>vw_scenario_analysis_dataset[[#This Row],[reporter_name]] &amp; "-" &amp; vw_scenario_analysis_dataset[[#This Row],[reference_year]]</f>
        <v>Ukraine-2018</v>
      </c>
    </row>
    <row r="1535" spans="1:15" x14ac:dyDescent="0.3">
      <c r="A1535" s="8" t="s">
        <v>356</v>
      </c>
      <c r="B1535" s="8" t="s">
        <v>357</v>
      </c>
      <c r="C1535" s="8">
        <v>2019</v>
      </c>
      <c r="D1535" s="8">
        <v>100108804862.06003</v>
      </c>
      <c r="E1535" s="8">
        <v>154000000000</v>
      </c>
      <c r="F1535" s="8">
        <v>44957458</v>
      </c>
      <c r="G1535" s="8">
        <v>3.199503864</v>
      </c>
      <c r="H1535" s="8">
        <v>90.511234290000004</v>
      </c>
      <c r="I1535" s="8">
        <v>2226.75</v>
      </c>
      <c r="J1535" s="8">
        <v>3425.46</v>
      </c>
      <c r="K1535" s="8">
        <v>65.010000000000005</v>
      </c>
      <c r="L1535" s="8">
        <v>46</v>
      </c>
      <c r="M1535" s="8">
        <v>94669359707.539963</v>
      </c>
      <c r="N1535" s="8">
        <v>5.75</v>
      </c>
      <c r="O1535" s="8" t="str">
        <f>vw_scenario_analysis_dataset[[#This Row],[reporter_name]] &amp; "-" &amp; vw_scenario_analysis_dataset[[#This Row],[reference_year]]</f>
        <v>Ukraine-2019</v>
      </c>
    </row>
    <row r="1536" spans="1:15" x14ac:dyDescent="0.3">
      <c r="A1536" s="8" t="s">
        <v>356</v>
      </c>
      <c r="B1536" s="8" t="s">
        <v>357</v>
      </c>
      <c r="C1536" s="8">
        <v>2020</v>
      </c>
      <c r="D1536" s="8">
        <v>98461599165.120117</v>
      </c>
      <c r="E1536" s="8">
        <v>157000000000</v>
      </c>
      <c r="F1536" s="8">
        <v>44680014</v>
      </c>
      <c r="G1536" s="8">
        <v>-3.7528179399999999</v>
      </c>
      <c r="H1536" s="8">
        <v>79.156452380000005</v>
      </c>
      <c r="I1536" s="8">
        <v>2203.71</v>
      </c>
      <c r="J1536" s="8">
        <v>3513.88</v>
      </c>
      <c r="K1536" s="8">
        <v>62.71</v>
      </c>
      <c r="L1536" s="8">
        <v>43</v>
      </c>
      <c r="M1536" s="8">
        <v>100108804862.06003</v>
      </c>
      <c r="N1536" s="8">
        <v>-1.65</v>
      </c>
      <c r="O1536" s="8" t="str">
        <f>vw_scenario_analysis_dataset[[#This Row],[reporter_name]] &amp; "-" &amp; vw_scenario_analysis_dataset[[#This Row],[reference_year]]</f>
        <v>Ukraine-2020</v>
      </c>
    </row>
    <row r="1537" spans="1:15" x14ac:dyDescent="0.3">
      <c r="A1537" s="8" t="s">
        <v>356</v>
      </c>
      <c r="B1537" s="8" t="s">
        <v>357</v>
      </c>
      <c r="C1537" s="8">
        <v>2021</v>
      </c>
      <c r="D1537" s="8">
        <v>131740551020.78006</v>
      </c>
      <c r="E1537" s="8">
        <v>200000000000</v>
      </c>
      <c r="F1537" s="8">
        <v>44298640</v>
      </c>
      <c r="G1537" s="8">
        <v>3.4456206589999998</v>
      </c>
      <c r="H1537" s="8">
        <v>82.697961359999994</v>
      </c>
      <c r="I1537" s="8">
        <v>2973.92</v>
      </c>
      <c r="J1537" s="8">
        <v>4514.8100000000004</v>
      </c>
      <c r="K1537" s="8">
        <v>65.87</v>
      </c>
      <c r="L1537" s="8">
        <v>43</v>
      </c>
      <c r="M1537" s="8">
        <v>98461599165.120117</v>
      </c>
      <c r="N1537" s="8">
        <v>33.799999999999997</v>
      </c>
      <c r="O1537" s="8" t="str">
        <f>vw_scenario_analysis_dataset[[#This Row],[reporter_name]] &amp; "-" &amp; vw_scenario_analysis_dataset[[#This Row],[reference_year]]</f>
        <v>Ukraine-2021</v>
      </c>
    </row>
    <row r="1538" spans="1:15" x14ac:dyDescent="0.3">
      <c r="A1538" s="8" t="s">
        <v>356</v>
      </c>
      <c r="B1538" s="8" t="s">
        <v>357</v>
      </c>
      <c r="C1538" s="8">
        <v>2022</v>
      </c>
      <c r="D1538" s="8">
        <v>88886401187.240005</v>
      </c>
      <c r="E1538" s="8">
        <v>162000000000</v>
      </c>
      <c r="F1538" s="8">
        <v>41048766</v>
      </c>
      <c r="G1538" s="8">
        <v>-28.758584219999999</v>
      </c>
      <c r="H1538" s="8">
        <v>87.396513990000003</v>
      </c>
      <c r="I1538" s="8">
        <v>2165.39</v>
      </c>
      <c r="J1538" s="8">
        <v>3946.53</v>
      </c>
      <c r="K1538" s="8">
        <v>54.87</v>
      </c>
      <c r="L1538" s="8">
        <v>56</v>
      </c>
      <c r="M1538" s="8">
        <v>131740551020.78006</v>
      </c>
      <c r="N1538" s="8">
        <v>-32.53</v>
      </c>
      <c r="O1538" s="8" t="str">
        <f>vw_scenario_analysis_dataset[[#This Row],[reporter_name]] &amp; "-" &amp; vw_scenario_analysis_dataset[[#This Row],[reference_year]]</f>
        <v>Ukraine-2022</v>
      </c>
    </row>
    <row r="1539" spans="1:15" x14ac:dyDescent="0.3">
      <c r="A1539" s="8" t="s">
        <v>356</v>
      </c>
      <c r="B1539" s="8" t="s">
        <v>357</v>
      </c>
      <c r="C1539" s="8">
        <v>2023</v>
      </c>
      <c r="D1539" s="8">
        <v>72371078997.639969</v>
      </c>
      <c r="E1539" s="8">
        <v>181000000000</v>
      </c>
      <c r="F1539" s="8">
        <v>37732836</v>
      </c>
      <c r="G1539" s="8">
        <v>5.5347335500000003</v>
      </c>
      <c r="H1539" s="8">
        <v>77.509614189999994</v>
      </c>
      <c r="I1539" s="8">
        <v>1917.99</v>
      </c>
      <c r="J1539" s="8">
        <v>4796.88</v>
      </c>
      <c r="K1539" s="8">
        <v>39.979999999999997</v>
      </c>
      <c r="L1539" s="8">
        <v>56</v>
      </c>
      <c r="M1539" s="8">
        <v>88886401187.240005</v>
      </c>
      <c r="N1539" s="8">
        <v>-18.579999999999998</v>
      </c>
      <c r="O1539" s="8" t="str">
        <f>vw_scenario_analysis_dataset[[#This Row],[reporter_name]] &amp; "-" &amp; vw_scenario_analysis_dataset[[#This Row],[reference_year]]</f>
        <v>Ukraine-2023</v>
      </c>
    </row>
    <row r="1540" spans="1:15" x14ac:dyDescent="0.3">
      <c r="A1540" s="8" t="s">
        <v>356</v>
      </c>
      <c r="B1540" s="8" t="s">
        <v>357</v>
      </c>
      <c r="C1540" s="8">
        <v>2024</v>
      </c>
      <c r="D1540" s="8">
        <v>83466142090.919998</v>
      </c>
      <c r="E1540" s="8">
        <v>191000000000</v>
      </c>
      <c r="F1540" s="8">
        <v>37860221</v>
      </c>
      <c r="G1540" s="8">
        <v>3.2481180840000001</v>
      </c>
      <c r="H1540" s="8">
        <v>79.68846739</v>
      </c>
      <c r="I1540" s="8">
        <v>2204.59</v>
      </c>
      <c r="J1540" s="8">
        <v>5044.87</v>
      </c>
      <c r="K1540" s="8">
        <v>43.7</v>
      </c>
      <c r="L1540" s="8">
        <v>53</v>
      </c>
      <c r="M1540" s="8">
        <v>72371078997.639969</v>
      </c>
      <c r="N1540" s="8">
        <v>15.33</v>
      </c>
      <c r="O1540" s="8" t="str">
        <f>vw_scenario_analysis_dataset[[#This Row],[reporter_name]] &amp; "-" &amp; vw_scenario_analysis_dataset[[#This Row],[reference_year]]</f>
        <v>Ukraine-2024</v>
      </c>
    </row>
    <row r="1541" spans="1:15" x14ac:dyDescent="0.3">
      <c r="A1541" s="8" t="s">
        <v>358</v>
      </c>
      <c r="B1541" s="8" t="s">
        <v>359</v>
      </c>
      <c r="C1541" s="8">
        <v>2015</v>
      </c>
      <c r="D1541" s="8">
        <v>15339029128</v>
      </c>
      <c r="E1541" s="8">
        <v>57680327999</v>
      </c>
      <c r="F1541" s="8">
        <v>3368017</v>
      </c>
      <c r="G1541" s="8">
        <v>0.37074125800000002</v>
      </c>
      <c r="H1541" s="8">
        <v>45.328240809999997</v>
      </c>
      <c r="I1541" s="8">
        <v>4554.32</v>
      </c>
      <c r="J1541" s="8">
        <v>17125.900000000001</v>
      </c>
      <c r="K1541" s="8">
        <v>26.59</v>
      </c>
      <c r="L1541" s="8">
        <v>88</v>
      </c>
      <c r="M1541" s="8"/>
      <c r="N1541" s="8"/>
      <c r="O1541" s="8" t="str">
        <f>vw_scenario_analysis_dataset[[#This Row],[reporter_name]] &amp; "-" &amp; vw_scenario_analysis_dataset[[#This Row],[reference_year]]</f>
        <v>Uruguay-2015</v>
      </c>
    </row>
    <row r="1542" spans="1:15" x14ac:dyDescent="0.3">
      <c r="A1542" s="8" t="s">
        <v>358</v>
      </c>
      <c r="B1542" s="8" t="s">
        <v>359</v>
      </c>
      <c r="C1542" s="8">
        <v>2016</v>
      </c>
      <c r="D1542" s="8">
        <v>13927104050</v>
      </c>
      <c r="E1542" s="8">
        <v>57480787465</v>
      </c>
      <c r="F1542" s="8">
        <v>3379283</v>
      </c>
      <c r="G1542" s="8">
        <v>1.6897982300000001</v>
      </c>
      <c r="H1542" s="8">
        <v>48.470535310000002</v>
      </c>
      <c r="I1542" s="8">
        <v>4121.32</v>
      </c>
      <c r="J1542" s="8">
        <v>17009.759999999998</v>
      </c>
      <c r="K1542" s="8">
        <v>24.23</v>
      </c>
      <c r="L1542" s="8">
        <v>90</v>
      </c>
      <c r="M1542" s="8">
        <v>15339029128</v>
      </c>
      <c r="N1542" s="8">
        <v>-9.1999999999999993</v>
      </c>
      <c r="O1542" s="8" t="str">
        <f>vw_scenario_analysis_dataset[[#This Row],[reporter_name]] &amp; "-" &amp; vw_scenario_analysis_dataset[[#This Row],[reference_year]]</f>
        <v>Uruguay-2016</v>
      </c>
    </row>
    <row r="1543" spans="1:15" x14ac:dyDescent="0.3">
      <c r="A1543" s="8" t="s">
        <v>358</v>
      </c>
      <c r="B1543" s="8" t="s">
        <v>359</v>
      </c>
      <c r="C1543" s="8">
        <v>2017</v>
      </c>
      <c r="D1543" s="8">
        <v>15778774750</v>
      </c>
      <c r="E1543" s="8">
        <v>65006039810</v>
      </c>
      <c r="F1543" s="8">
        <v>3388438</v>
      </c>
      <c r="G1543" s="8">
        <v>1.7403764909999999</v>
      </c>
      <c r="H1543" s="8">
        <v>46.377963620000003</v>
      </c>
      <c r="I1543" s="8">
        <v>4656.6499999999996</v>
      </c>
      <c r="J1543" s="8">
        <v>19184.66</v>
      </c>
      <c r="K1543" s="8">
        <v>24.27</v>
      </c>
      <c r="L1543" s="8">
        <v>88</v>
      </c>
      <c r="M1543" s="8">
        <v>13927104050</v>
      </c>
      <c r="N1543" s="8">
        <v>13.3</v>
      </c>
      <c r="O1543" s="8" t="str">
        <f>vw_scenario_analysis_dataset[[#This Row],[reporter_name]] &amp; "-" &amp; vw_scenario_analysis_dataset[[#This Row],[reference_year]]</f>
        <v>Uruguay-2017</v>
      </c>
    </row>
    <row r="1544" spans="1:15" x14ac:dyDescent="0.3">
      <c r="A1544" s="8" t="s">
        <v>358</v>
      </c>
      <c r="B1544" s="8" t="s">
        <v>359</v>
      </c>
      <c r="C1544" s="8">
        <v>2018</v>
      </c>
      <c r="D1544" s="8">
        <v>15004289664</v>
      </c>
      <c r="E1544" s="8">
        <v>65344577416</v>
      </c>
      <c r="F1544" s="8">
        <v>3394534</v>
      </c>
      <c r="G1544" s="8">
        <v>0.16477760899999999</v>
      </c>
      <c r="H1544" s="8">
        <v>47.79134535</v>
      </c>
      <c r="I1544" s="8">
        <v>4420.13</v>
      </c>
      <c r="J1544" s="8">
        <v>19249.939999999999</v>
      </c>
      <c r="K1544" s="8">
        <v>22.96</v>
      </c>
      <c r="L1544" s="8">
        <v>88</v>
      </c>
      <c r="M1544" s="8">
        <v>15778774750</v>
      </c>
      <c r="N1544" s="8">
        <v>-4.91</v>
      </c>
      <c r="O1544" s="8" t="str">
        <f>vw_scenario_analysis_dataset[[#This Row],[reporter_name]] &amp; "-" &amp; vw_scenario_analysis_dataset[[#This Row],[reference_year]]</f>
        <v>Uruguay-2018</v>
      </c>
    </row>
    <row r="1545" spans="1:15" x14ac:dyDescent="0.3">
      <c r="A1545" s="8" t="s">
        <v>358</v>
      </c>
      <c r="B1545" s="8" t="s">
        <v>359</v>
      </c>
      <c r="C1545" s="8">
        <v>2019</v>
      </c>
      <c r="D1545" s="8">
        <v>15360690882</v>
      </c>
      <c r="E1545" s="8">
        <v>62222324965</v>
      </c>
      <c r="F1545" s="8">
        <v>3397206</v>
      </c>
      <c r="G1545" s="8">
        <v>0.92835102800000002</v>
      </c>
      <c r="H1545" s="8">
        <v>49.74486607</v>
      </c>
      <c r="I1545" s="8">
        <v>4521.57</v>
      </c>
      <c r="J1545" s="8">
        <v>18315.740000000002</v>
      </c>
      <c r="K1545" s="8">
        <v>24.69</v>
      </c>
      <c r="L1545" s="8">
        <v>86</v>
      </c>
      <c r="M1545" s="8">
        <v>15004289664</v>
      </c>
      <c r="N1545" s="8">
        <v>2.38</v>
      </c>
      <c r="O1545" s="8" t="str">
        <f>vw_scenario_analysis_dataset[[#This Row],[reporter_name]] &amp; "-" &amp; vw_scenario_analysis_dataset[[#This Row],[reference_year]]</f>
        <v>Uruguay-2019</v>
      </c>
    </row>
    <row r="1546" spans="1:15" x14ac:dyDescent="0.3">
      <c r="A1546" s="8" t="s">
        <v>358</v>
      </c>
      <c r="B1546" s="8" t="s">
        <v>359</v>
      </c>
      <c r="C1546" s="8">
        <v>2020</v>
      </c>
      <c r="D1546" s="8">
        <v>13727891130</v>
      </c>
      <c r="E1546" s="8">
        <v>53559354501</v>
      </c>
      <c r="F1546" s="8">
        <v>3398968</v>
      </c>
      <c r="G1546" s="8">
        <v>-7.3573270690000001</v>
      </c>
      <c r="H1546" s="8">
        <v>47.731833119999997</v>
      </c>
      <c r="I1546" s="8">
        <v>4038.84</v>
      </c>
      <c r="J1546" s="8">
        <v>15757.53</v>
      </c>
      <c r="K1546" s="8">
        <v>25.63</v>
      </c>
      <c r="L1546" s="8">
        <v>86</v>
      </c>
      <c r="M1546" s="8">
        <v>15360690882</v>
      </c>
      <c r="N1546" s="8">
        <v>-10.63</v>
      </c>
      <c r="O1546" s="8" t="str">
        <f>vw_scenario_analysis_dataset[[#This Row],[reporter_name]] &amp; "-" &amp; vw_scenario_analysis_dataset[[#This Row],[reference_year]]</f>
        <v>Uruguay-2020</v>
      </c>
    </row>
    <row r="1547" spans="1:15" x14ac:dyDescent="0.3">
      <c r="A1547" s="8" t="s">
        <v>358</v>
      </c>
      <c r="B1547" s="8" t="s">
        <v>359</v>
      </c>
      <c r="C1547" s="8">
        <v>2021</v>
      </c>
      <c r="D1547" s="8">
        <v>19070547876</v>
      </c>
      <c r="E1547" s="8">
        <v>60739061281</v>
      </c>
      <c r="F1547" s="8">
        <v>3396695</v>
      </c>
      <c r="G1547" s="8">
        <v>5.8442732499999996</v>
      </c>
      <c r="H1547" s="8">
        <v>58.315055510000001</v>
      </c>
      <c r="I1547" s="8">
        <v>5614.44</v>
      </c>
      <c r="J1547" s="8">
        <v>17881.810000000001</v>
      </c>
      <c r="K1547" s="8">
        <v>31.4</v>
      </c>
      <c r="L1547" s="8">
        <v>84</v>
      </c>
      <c r="M1547" s="8">
        <v>13727891130</v>
      </c>
      <c r="N1547" s="8">
        <v>38.92</v>
      </c>
      <c r="O1547" s="8" t="str">
        <f>vw_scenario_analysis_dataset[[#This Row],[reporter_name]] &amp; "-" &amp; vw_scenario_analysis_dataset[[#This Row],[reference_year]]</f>
        <v>Uruguay-2021</v>
      </c>
    </row>
    <row r="1548" spans="1:15" x14ac:dyDescent="0.3">
      <c r="A1548" s="8" t="s">
        <v>358</v>
      </c>
      <c r="B1548" s="8" t="s">
        <v>359</v>
      </c>
      <c r="C1548" s="8">
        <v>2022</v>
      </c>
      <c r="D1548" s="8">
        <v>22367080530</v>
      </c>
      <c r="E1548" s="8">
        <v>71240669088</v>
      </c>
      <c r="F1548" s="8">
        <v>3390913</v>
      </c>
      <c r="G1548" s="8">
        <v>4.6062300089999999</v>
      </c>
      <c r="H1548" s="8">
        <v>60.202682830000001</v>
      </c>
      <c r="I1548" s="8">
        <v>6596.18</v>
      </c>
      <c r="J1548" s="8">
        <v>21009.29</v>
      </c>
      <c r="K1548" s="8">
        <v>31.4</v>
      </c>
      <c r="L1548" s="8">
        <v>83</v>
      </c>
      <c r="M1548" s="8">
        <v>19070547876</v>
      </c>
      <c r="N1548" s="8">
        <v>17.29</v>
      </c>
      <c r="O1548" s="8" t="str">
        <f>vw_scenario_analysis_dataset[[#This Row],[reporter_name]] &amp; "-" &amp; vw_scenario_analysis_dataset[[#This Row],[reference_year]]</f>
        <v>Uruguay-2022</v>
      </c>
    </row>
    <row r="1549" spans="1:15" x14ac:dyDescent="0.3">
      <c r="A1549" s="8" t="s">
        <v>358</v>
      </c>
      <c r="B1549" s="8" t="s">
        <v>359</v>
      </c>
      <c r="C1549" s="8">
        <v>2023</v>
      </c>
      <c r="D1549" s="8">
        <v>18385552418</v>
      </c>
      <c r="E1549" s="8">
        <v>79208725900</v>
      </c>
      <c r="F1549" s="8">
        <v>3388081</v>
      </c>
      <c r="G1549" s="8">
        <v>0.76174924099999997</v>
      </c>
      <c r="H1549" s="8">
        <v>52.327310840000003</v>
      </c>
      <c r="I1549" s="8">
        <v>5426.54</v>
      </c>
      <c r="J1549" s="8">
        <v>23378.639999999999</v>
      </c>
      <c r="K1549" s="8">
        <v>23.21</v>
      </c>
      <c r="L1549" s="8">
        <v>87</v>
      </c>
      <c r="M1549" s="8">
        <v>22367080530</v>
      </c>
      <c r="N1549" s="8">
        <v>-17.8</v>
      </c>
      <c r="O1549" s="8" t="str">
        <f>vw_scenario_analysis_dataset[[#This Row],[reporter_name]] &amp; "-" &amp; vw_scenario_analysis_dataset[[#This Row],[reference_year]]</f>
        <v>Uruguay-2023</v>
      </c>
    </row>
    <row r="1550" spans="1:15" x14ac:dyDescent="0.3">
      <c r="A1550" s="8" t="s">
        <v>358</v>
      </c>
      <c r="B1550" s="8" t="s">
        <v>359</v>
      </c>
      <c r="C1550" s="8">
        <v>2024</v>
      </c>
      <c r="D1550" s="8">
        <v>20496774746</v>
      </c>
      <c r="E1550" s="8">
        <v>82322859144</v>
      </c>
      <c r="F1550" s="8">
        <v>3386588</v>
      </c>
      <c r="G1550" s="8">
        <v>3.3257590600000002</v>
      </c>
      <c r="H1550" s="8">
        <v>51.458223760000003</v>
      </c>
      <c r="I1550" s="8">
        <v>6052.34</v>
      </c>
      <c r="J1550" s="8">
        <v>24308.5</v>
      </c>
      <c r="K1550" s="8">
        <v>24.9</v>
      </c>
      <c r="L1550" s="8">
        <v>79</v>
      </c>
      <c r="M1550" s="8">
        <v>18385552418</v>
      </c>
      <c r="N1550" s="8">
        <v>11.48</v>
      </c>
      <c r="O1550" s="8" t="str">
        <f>vw_scenario_analysis_dataset[[#This Row],[reporter_name]] &amp; "-" &amp; vw_scenario_analysis_dataset[[#This Row],[reference_year]]</f>
        <v>Uruguay-2024</v>
      </c>
    </row>
    <row r="1551" spans="1:15" x14ac:dyDescent="0.3">
      <c r="A1551" s="8" t="s">
        <v>360</v>
      </c>
      <c r="B1551" s="8" t="s">
        <v>360</v>
      </c>
      <c r="C1551" s="8">
        <v>2015</v>
      </c>
      <c r="D1551" s="8">
        <v>3003691727678</v>
      </c>
      <c r="E1551" s="8">
        <v>18300000000000</v>
      </c>
      <c r="F1551" s="8">
        <v>321815121</v>
      </c>
      <c r="G1551" s="8">
        <v>2.945550452</v>
      </c>
      <c r="H1551" s="8">
        <v>27.68821393</v>
      </c>
      <c r="I1551" s="8">
        <v>9333.59</v>
      </c>
      <c r="J1551" s="8">
        <v>56864.95</v>
      </c>
      <c r="K1551" s="8">
        <v>16.41</v>
      </c>
      <c r="L1551" s="8">
        <v>2</v>
      </c>
      <c r="M1551" s="8"/>
      <c r="N1551" s="8"/>
      <c r="O1551" s="8" t="str">
        <f>vw_scenario_analysis_dataset[[#This Row],[reporter_name]] &amp; "-" &amp; vw_scenario_analysis_dataset[[#This Row],[reference_year]]</f>
        <v>USA-2015</v>
      </c>
    </row>
    <row r="1552" spans="1:15" x14ac:dyDescent="0.3">
      <c r="A1552" s="8" t="s">
        <v>360</v>
      </c>
      <c r="B1552" s="8" t="s">
        <v>360</v>
      </c>
      <c r="C1552" s="8">
        <v>2016</v>
      </c>
      <c r="D1552" s="8">
        <v>2901812545912</v>
      </c>
      <c r="E1552" s="8">
        <v>18800000000000</v>
      </c>
      <c r="F1552" s="8">
        <v>324353340</v>
      </c>
      <c r="G1552" s="8">
        <v>1.819451479</v>
      </c>
      <c r="H1552" s="8">
        <v>26.452597789999999</v>
      </c>
      <c r="I1552" s="8">
        <v>8946.4500000000007</v>
      </c>
      <c r="J1552" s="8">
        <v>57961.48</v>
      </c>
      <c r="K1552" s="8">
        <v>15.44</v>
      </c>
      <c r="L1552" s="8">
        <v>2</v>
      </c>
      <c r="M1552" s="8">
        <v>3003691727678</v>
      </c>
      <c r="N1552" s="8">
        <v>-3.39</v>
      </c>
      <c r="O1552" s="8" t="str">
        <f>vw_scenario_analysis_dataset[[#This Row],[reporter_name]] &amp; "-" &amp; vw_scenario_analysis_dataset[[#This Row],[reference_year]]</f>
        <v>USA-2016</v>
      </c>
    </row>
    <row r="1553" spans="1:15" x14ac:dyDescent="0.3">
      <c r="A1553" s="8" t="s">
        <v>360</v>
      </c>
      <c r="B1553" s="8" t="s">
        <v>360</v>
      </c>
      <c r="C1553" s="8">
        <v>2017</v>
      </c>
      <c r="D1553" s="8">
        <v>3091619196308</v>
      </c>
      <c r="E1553" s="8">
        <v>19600000000000</v>
      </c>
      <c r="F1553" s="8">
        <v>326608609</v>
      </c>
      <c r="G1553" s="8">
        <v>2.4576223009999998</v>
      </c>
      <c r="H1553" s="8">
        <v>27.12533822</v>
      </c>
      <c r="I1553" s="8">
        <v>9465.82</v>
      </c>
      <c r="J1553" s="8">
        <v>60010.67</v>
      </c>
      <c r="K1553" s="8">
        <v>15.77</v>
      </c>
      <c r="L1553" s="8">
        <v>2</v>
      </c>
      <c r="M1553" s="8">
        <v>2901812545912</v>
      </c>
      <c r="N1553" s="8">
        <v>6.54</v>
      </c>
      <c r="O1553" s="8" t="str">
        <f>vw_scenario_analysis_dataset[[#This Row],[reporter_name]] &amp; "-" &amp; vw_scenario_analysis_dataset[[#This Row],[reference_year]]</f>
        <v>USA-2017</v>
      </c>
    </row>
    <row r="1554" spans="1:15" x14ac:dyDescent="0.3">
      <c r="A1554" s="8" t="s">
        <v>360</v>
      </c>
      <c r="B1554" s="8" t="s">
        <v>360</v>
      </c>
      <c r="C1554" s="8">
        <v>2018</v>
      </c>
      <c r="D1554" s="8">
        <v>3330605873182</v>
      </c>
      <c r="E1554" s="8">
        <v>20700000000000</v>
      </c>
      <c r="F1554" s="8">
        <v>328529577</v>
      </c>
      <c r="G1554" s="8">
        <v>2.9665050669999999</v>
      </c>
      <c r="H1554" s="8">
        <v>27.44535913</v>
      </c>
      <c r="I1554" s="8">
        <v>10137.92</v>
      </c>
      <c r="J1554" s="8">
        <v>63008.03</v>
      </c>
      <c r="K1554" s="8">
        <v>16.09</v>
      </c>
      <c r="L1554" s="8">
        <v>2</v>
      </c>
      <c r="M1554" s="8">
        <v>3091619196308</v>
      </c>
      <c r="N1554" s="8">
        <v>7.73</v>
      </c>
      <c r="O1554" s="8" t="str">
        <f>vw_scenario_analysis_dataset[[#This Row],[reporter_name]] &amp; "-" &amp; vw_scenario_analysis_dataset[[#This Row],[reference_year]]</f>
        <v>USA-2018</v>
      </c>
    </row>
    <row r="1555" spans="1:15" x14ac:dyDescent="0.3">
      <c r="A1555" s="8" t="s">
        <v>360</v>
      </c>
      <c r="B1555" s="8" t="s">
        <v>360</v>
      </c>
      <c r="C1555" s="8">
        <v>2019</v>
      </c>
      <c r="D1555" s="8">
        <v>3288552441566</v>
      </c>
      <c r="E1555" s="8">
        <v>21500000000000</v>
      </c>
      <c r="F1555" s="8">
        <v>330226227</v>
      </c>
      <c r="G1555" s="8">
        <v>2.5838253309999999</v>
      </c>
      <c r="H1555" s="8">
        <v>26.25848062</v>
      </c>
      <c r="I1555" s="8">
        <v>9958.48</v>
      </c>
      <c r="J1555" s="8">
        <v>65106.879999999997</v>
      </c>
      <c r="K1555" s="8">
        <v>15.3</v>
      </c>
      <c r="L1555" s="8">
        <v>2</v>
      </c>
      <c r="M1555" s="8">
        <v>3330605873182</v>
      </c>
      <c r="N1555" s="8">
        <v>-1.26</v>
      </c>
      <c r="O1555" s="8" t="str">
        <f>vw_scenario_analysis_dataset[[#This Row],[reporter_name]] &amp; "-" &amp; vw_scenario_analysis_dataset[[#This Row],[reference_year]]</f>
        <v>USA-2019</v>
      </c>
    </row>
    <row r="1556" spans="1:15" x14ac:dyDescent="0.3">
      <c r="A1556" s="8" t="s">
        <v>360</v>
      </c>
      <c r="B1556" s="8" t="s">
        <v>360</v>
      </c>
      <c r="C1556" s="8">
        <v>2020</v>
      </c>
      <c r="D1556" s="8">
        <v>2860507246978</v>
      </c>
      <c r="E1556" s="8">
        <v>21400000000000</v>
      </c>
      <c r="F1556" s="8">
        <v>331578104</v>
      </c>
      <c r="G1556" s="8">
        <v>-2.0813759780000001</v>
      </c>
      <c r="H1556" s="8">
        <v>23.13994375</v>
      </c>
      <c r="I1556" s="8">
        <v>8626.9500000000007</v>
      </c>
      <c r="J1556" s="8">
        <v>64539.85</v>
      </c>
      <c r="K1556" s="8">
        <v>13.37</v>
      </c>
      <c r="L1556" s="8">
        <v>2</v>
      </c>
      <c r="M1556" s="8">
        <v>3288552441566</v>
      </c>
      <c r="N1556" s="8">
        <v>-13.02</v>
      </c>
      <c r="O1556" s="8" t="str">
        <f>vw_scenario_analysis_dataset[[#This Row],[reporter_name]] &amp; "-" &amp; vw_scenario_analysis_dataset[[#This Row],[reference_year]]</f>
        <v>USA-2020</v>
      </c>
    </row>
    <row r="1557" spans="1:15" x14ac:dyDescent="0.3">
      <c r="A1557" s="8" t="s">
        <v>360</v>
      </c>
      <c r="B1557" s="8" t="s">
        <v>360</v>
      </c>
      <c r="C1557" s="8">
        <v>2021</v>
      </c>
      <c r="D1557" s="8">
        <v>3506273416212</v>
      </c>
      <c r="E1557" s="8">
        <v>23700000000000</v>
      </c>
      <c r="F1557" s="8">
        <v>332100166</v>
      </c>
      <c r="G1557" s="8">
        <v>6.1520224790000002</v>
      </c>
      <c r="H1557" s="8">
        <v>25.232726020000001</v>
      </c>
      <c r="I1557" s="8">
        <v>10557.88</v>
      </c>
      <c r="J1557" s="8">
        <v>71364.009999999995</v>
      </c>
      <c r="K1557" s="8">
        <v>14.79</v>
      </c>
      <c r="L1557" s="8">
        <v>2</v>
      </c>
      <c r="M1557" s="8">
        <v>2860507246978</v>
      </c>
      <c r="N1557" s="8">
        <v>22.58</v>
      </c>
      <c r="O1557" s="8" t="str">
        <f>vw_scenario_analysis_dataset[[#This Row],[reporter_name]] &amp; "-" &amp; vw_scenario_analysis_dataset[[#This Row],[reference_year]]</f>
        <v>USA-2021</v>
      </c>
    </row>
    <row r="1558" spans="1:15" x14ac:dyDescent="0.3">
      <c r="A1558" s="8" t="s">
        <v>360</v>
      </c>
      <c r="B1558" s="8" t="s">
        <v>360</v>
      </c>
      <c r="C1558" s="8">
        <v>2022</v>
      </c>
      <c r="D1558" s="8">
        <v>4124179665462</v>
      </c>
      <c r="E1558" s="8">
        <v>26100000000000</v>
      </c>
      <c r="F1558" s="8">
        <v>333996304</v>
      </c>
      <c r="G1558" s="8">
        <v>2.5242138509999998</v>
      </c>
      <c r="H1558" s="8">
        <v>26.907898159999998</v>
      </c>
      <c r="I1558" s="8">
        <v>12347.98</v>
      </c>
      <c r="J1558" s="8">
        <v>78144.58</v>
      </c>
      <c r="K1558" s="8">
        <v>15.8</v>
      </c>
      <c r="L1558" s="8">
        <v>2</v>
      </c>
      <c r="M1558" s="8">
        <v>3506273416212</v>
      </c>
      <c r="N1558" s="8">
        <v>17.62</v>
      </c>
      <c r="O1558" s="8" t="str">
        <f>vw_scenario_analysis_dataset[[#This Row],[reporter_name]] &amp; "-" &amp; vw_scenario_analysis_dataset[[#This Row],[reference_year]]</f>
        <v>USA-2022</v>
      </c>
    </row>
    <row r="1559" spans="1:15" x14ac:dyDescent="0.3">
      <c r="A1559" s="8" t="s">
        <v>360</v>
      </c>
      <c r="B1559" s="8" t="s">
        <v>360</v>
      </c>
      <c r="C1559" s="8">
        <v>2023</v>
      </c>
      <c r="D1559" s="8">
        <v>4037085167542</v>
      </c>
      <c r="E1559" s="8">
        <v>27800000000000</v>
      </c>
      <c r="F1559" s="8">
        <v>336755052</v>
      </c>
      <c r="G1559" s="8">
        <v>2.9343632240000002</v>
      </c>
      <c r="H1559" s="8">
        <v>24.92929818</v>
      </c>
      <c r="I1559" s="8">
        <v>11988.19</v>
      </c>
      <c r="J1559" s="8">
        <v>82552.58</v>
      </c>
      <c r="K1559" s="8">
        <v>14.52</v>
      </c>
      <c r="L1559" s="8">
        <v>2</v>
      </c>
      <c r="M1559" s="8">
        <v>4124179665462</v>
      </c>
      <c r="N1559" s="8">
        <v>-2.11</v>
      </c>
      <c r="O1559" s="8" t="str">
        <f>vw_scenario_analysis_dataset[[#This Row],[reporter_name]] &amp; "-" &amp; vw_scenario_analysis_dataset[[#This Row],[reference_year]]</f>
        <v>USA-2023</v>
      </c>
    </row>
    <row r="1560" spans="1:15" x14ac:dyDescent="0.3">
      <c r="A1560" s="8" t="s">
        <v>360</v>
      </c>
      <c r="B1560" s="8" t="s">
        <v>360</v>
      </c>
      <c r="C1560" s="8">
        <v>2024</v>
      </c>
      <c r="D1560" s="8">
        <v>4127605222246</v>
      </c>
      <c r="E1560" s="8">
        <v>29300000000000</v>
      </c>
      <c r="F1560" s="8">
        <v>340003797</v>
      </c>
      <c r="G1560" s="8">
        <v>2.7931871539999999</v>
      </c>
      <c r="H1560" s="8">
        <v>25.016017300000001</v>
      </c>
      <c r="I1560" s="8">
        <v>12139.88</v>
      </c>
      <c r="J1560" s="8">
        <v>86175.51</v>
      </c>
      <c r="K1560" s="8">
        <v>14.09</v>
      </c>
      <c r="L1560" s="8">
        <v>2</v>
      </c>
      <c r="M1560" s="8">
        <v>4037085167542</v>
      </c>
      <c r="N1560" s="8">
        <v>2.2400000000000002</v>
      </c>
      <c r="O1560" s="8" t="str">
        <f>vw_scenario_analysis_dataset[[#This Row],[reporter_name]] &amp; "-" &amp; vw_scenario_analysis_dataset[[#This Row],[reference_year]]</f>
        <v>USA-2024</v>
      </c>
    </row>
    <row r="1561" spans="1:15" x14ac:dyDescent="0.3">
      <c r="A1561" s="8" t="s">
        <v>361</v>
      </c>
      <c r="B1561" s="8" t="s">
        <v>362</v>
      </c>
      <c r="C1561" s="8">
        <v>2017</v>
      </c>
      <c r="D1561" s="8">
        <v>20158942006.419998</v>
      </c>
      <c r="E1561" s="8">
        <v>72276404058</v>
      </c>
      <c r="F1561" s="8">
        <v>31819178</v>
      </c>
      <c r="G1561" s="8">
        <v>4.7002740200000002</v>
      </c>
      <c r="H1561" s="8">
        <v>41.044306210000002</v>
      </c>
      <c r="I1561" s="8">
        <v>633.54999999999995</v>
      </c>
      <c r="J1561" s="8">
        <v>2271.4699999999998</v>
      </c>
      <c r="K1561" s="8">
        <v>27.89</v>
      </c>
      <c r="L1561" s="8">
        <v>82</v>
      </c>
      <c r="M1561" s="8"/>
      <c r="N1561" s="8"/>
      <c r="O1561" s="8" t="str">
        <f>vw_scenario_analysis_dataset[[#This Row],[reporter_name]] &amp; "-" &amp; vw_scenario_analysis_dataset[[#This Row],[reference_year]]</f>
        <v>Uzbekistan-2017</v>
      </c>
    </row>
    <row r="1562" spans="1:15" x14ac:dyDescent="0.3">
      <c r="A1562" s="8" t="s">
        <v>361</v>
      </c>
      <c r="B1562" s="8" t="s">
        <v>362</v>
      </c>
      <c r="C1562" s="8">
        <v>2018</v>
      </c>
      <c r="D1562" s="8">
        <v>21838023454.299995</v>
      </c>
      <c r="E1562" s="8">
        <v>61318332403</v>
      </c>
      <c r="F1562" s="8">
        <v>32373490</v>
      </c>
      <c r="G1562" s="8">
        <v>5.7236838079999997</v>
      </c>
      <c r="H1562" s="8">
        <v>61.395110019999997</v>
      </c>
      <c r="I1562" s="8">
        <v>674.57</v>
      </c>
      <c r="J1562" s="8">
        <v>1894.09</v>
      </c>
      <c r="K1562" s="8">
        <v>35.61</v>
      </c>
      <c r="L1562" s="8">
        <v>79</v>
      </c>
      <c r="M1562" s="8">
        <v>20158942006.419998</v>
      </c>
      <c r="N1562" s="8">
        <v>8.33</v>
      </c>
      <c r="O1562" s="8" t="str">
        <f>vw_scenario_analysis_dataset[[#This Row],[reporter_name]] &amp; "-" &amp; vw_scenario_analysis_dataset[[#This Row],[reference_year]]</f>
        <v>Uzbekistan-2018</v>
      </c>
    </row>
    <row r="1563" spans="1:15" x14ac:dyDescent="0.3">
      <c r="A1563" s="8" t="s">
        <v>361</v>
      </c>
      <c r="B1563" s="8" t="s">
        <v>362</v>
      </c>
      <c r="C1563" s="8">
        <v>2019</v>
      </c>
      <c r="D1563" s="8">
        <v>29859013380.86002</v>
      </c>
      <c r="E1563" s="8">
        <v>70170662563</v>
      </c>
      <c r="F1563" s="8">
        <v>32964701</v>
      </c>
      <c r="G1563" s="8">
        <v>6.7933109849999997</v>
      </c>
      <c r="H1563" s="8">
        <v>62.30037823</v>
      </c>
      <c r="I1563" s="8">
        <v>905.79</v>
      </c>
      <c r="J1563" s="8">
        <v>2128.66</v>
      </c>
      <c r="K1563" s="8">
        <v>42.55</v>
      </c>
      <c r="L1563" s="8">
        <v>70</v>
      </c>
      <c r="M1563" s="8">
        <v>21838023454.299995</v>
      </c>
      <c r="N1563" s="8">
        <v>36.729999999999997</v>
      </c>
      <c r="O1563" s="8" t="str">
        <f>vw_scenario_analysis_dataset[[#This Row],[reporter_name]] &amp; "-" &amp; vw_scenario_analysis_dataset[[#This Row],[reference_year]]</f>
        <v>Uzbekistan-2019</v>
      </c>
    </row>
    <row r="1564" spans="1:15" x14ac:dyDescent="0.3">
      <c r="A1564" s="8" t="s">
        <v>361</v>
      </c>
      <c r="B1564" s="8" t="s">
        <v>362</v>
      </c>
      <c r="C1564" s="8">
        <v>2020</v>
      </c>
      <c r="D1564" s="8">
        <v>26561125414.939999</v>
      </c>
      <c r="E1564" s="8">
        <v>70127127133</v>
      </c>
      <c r="F1564" s="8">
        <v>33586372</v>
      </c>
      <c r="G1564" s="8">
        <v>1.6216228159999999</v>
      </c>
      <c r="H1564" s="8">
        <v>53.107076999999997</v>
      </c>
      <c r="I1564" s="8">
        <v>790.83</v>
      </c>
      <c r="J1564" s="8">
        <v>2087.96</v>
      </c>
      <c r="K1564" s="8">
        <v>37.880000000000003</v>
      </c>
      <c r="L1564" s="8">
        <v>72</v>
      </c>
      <c r="M1564" s="8">
        <v>29859013380.86002</v>
      </c>
      <c r="N1564" s="8">
        <v>-11.04</v>
      </c>
      <c r="O1564" s="8" t="str">
        <f>vw_scenario_analysis_dataset[[#This Row],[reporter_name]] &amp; "-" &amp; vw_scenario_analysis_dataset[[#This Row],[reference_year]]</f>
        <v>Uzbekistan-2020</v>
      </c>
    </row>
    <row r="1565" spans="1:15" x14ac:dyDescent="0.3">
      <c r="A1565" s="8" t="s">
        <v>361</v>
      </c>
      <c r="B1565" s="8" t="s">
        <v>362</v>
      </c>
      <c r="C1565" s="8">
        <v>2021</v>
      </c>
      <c r="D1565" s="8">
        <v>28184495984.861015</v>
      </c>
      <c r="E1565" s="8">
        <v>81170051811</v>
      </c>
      <c r="F1565" s="8">
        <v>34243696</v>
      </c>
      <c r="G1565" s="8">
        <v>8.2044851239999996</v>
      </c>
      <c r="H1565" s="8">
        <v>54.747782209999997</v>
      </c>
      <c r="I1565" s="8">
        <v>823.06</v>
      </c>
      <c r="J1565" s="8">
        <v>2370.36</v>
      </c>
      <c r="K1565" s="8">
        <v>34.72</v>
      </c>
      <c r="L1565" s="8">
        <v>75</v>
      </c>
      <c r="M1565" s="8">
        <v>26561125414.939999</v>
      </c>
      <c r="N1565" s="8">
        <v>6.11</v>
      </c>
      <c r="O1565" s="8" t="str">
        <f>vw_scenario_analysis_dataset[[#This Row],[reporter_name]] &amp; "-" &amp; vw_scenario_analysis_dataset[[#This Row],[reference_year]]</f>
        <v>Uzbekistan-2021</v>
      </c>
    </row>
    <row r="1566" spans="1:15" x14ac:dyDescent="0.3">
      <c r="A1566" s="8" t="s">
        <v>361</v>
      </c>
      <c r="B1566" s="8" t="s">
        <v>362</v>
      </c>
      <c r="C1566" s="8">
        <v>2022</v>
      </c>
      <c r="D1566" s="8">
        <v>30573856875.296009</v>
      </c>
      <c r="E1566" s="8">
        <v>94286355836</v>
      </c>
      <c r="F1566" s="8">
        <v>34938955</v>
      </c>
      <c r="G1566" s="8">
        <v>6.0859233570000004</v>
      </c>
      <c r="H1566" s="8">
        <v>60.048358260000001</v>
      </c>
      <c r="I1566" s="8">
        <v>875.07</v>
      </c>
      <c r="J1566" s="8">
        <v>2698.6</v>
      </c>
      <c r="K1566" s="8">
        <v>32.43</v>
      </c>
      <c r="L1566" s="8">
        <v>75</v>
      </c>
      <c r="M1566" s="8">
        <v>28184495984.861015</v>
      </c>
      <c r="N1566" s="8">
        <v>8.48</v>
      </c>
      <c r="O1566" s="8" t="str">
        <f>vw_scenario_analysis_dataset[[#This Row],[reporter_name]] &amp; "-" &amp; vw_scenario_analysis_dataset[[#This Row],[reference_year]]</f>
        <v>Uzbekistan-2022</v>
      </c>
    </row>
    <row r="1567" spans="1:15" x14ac:dyDescent="0.3">
      <c r="A1567" s="8" t="s">
        <v>361</v>
      </c>
      <c r="B1567" s="8" t="s">
        <v>362</v>
      </c>
      <c r="C1567" s="8">
        <v>2023</v>
      </c>
      <c r="D1567" s="8">
        <v>42033833948.516014</v>
      </c>
      <c r="E1567" s="8">
        <v>108000000000</v>
      </c>
      <c r="F1567" s="8">
        <v>35652307</v>
      </c>
      <c r="G1567" s="8">
        <v>6.3160300420000004</v>
      </c>
      <c r="H1567" s="8">
        <v>63.102194300000001</v>
      </c>
      <c r="I1567" s="8">
        <v>1178.99</v>
      </c>
      <c r="J1567" s="8">
        <v>3029.26</v>
      </c>
      <c r="K1567" s="8">
        <v>38.92</v>
      </c>
      <c r="L1567" s="8">
        <v>64</v>
      </c>
      <c r="M1567" s="8">
        <v>30573856875.296009</v>
      </c>
      <c r="N1567" s="8">
        <v>37.479999999999997</v>
      </c>
      <c r="O1567" s="8" t="str">
        <f>vw_scenario_analysis_dataset[[#This Row],[reporter_name]] &amp; "-" &amp; vw_scenario_analysis_dataset[[#This Row],[reference_year]]</f>
        <v>Uzbekistan-2023</v>
      </c>
    </row>
    <row r="1568" spans="1:15" x14ac:dyDescent="0.3">
      <c r="A1568" s="8" t="s">
        <v>361</v>
      </c>
      <c r="B1568" s="8" t="s">
        <v>362</v>
      </c>
      <c r="C1568" s="8">
        <v>2024</v>
      </c>
      <c r="D1568" s="8">
        <v>39470891797.060013</v>
      </c>
      <c r="E1568" s="8">
        <v>121000000000</v>
      </c>
      <c r="F1568" s="8">
        <v>36361859</v>
      </c>
      <c r="G1568" s="8">
        <v>6.6761879620000002</v>
      </c>
      <c r="H1568" s="8">
        <v>57.529543259999997</v>
      </c>
      <c r="I1568" s="8">
        <v>1085.5</v>
      </c>
      <c r="J1568" s="8">
        <v>3327.66</v>
      </c>
      <c r="K1568" s="8">
        <v>32.619999999999997</v>
      </c>
      <c r="L1568" s="8">
        <v>67</v>
      </c>
      <c r="M1568" s="8">
        <v>42033833948.516014</v>
      </c>
      <c r="N1568" s="8">
        <v>-6.1</v>
      </c>
      <c r="O1568" s="8" t="str">
        <f>vw_scenario_analysis_dataset[[#This Row],[reporter_name]] &amp; "-" &amp; vw_scenario_analysis_dataset[[#This Row],[reference_year]]</f>
        <v>Uzbekistan-2024</v>
      </c>
    </row>
    <row r="1569" spans="1:15" x14ac:dyDescent="0.3">
      <c r="A1569" s="8" t="s">
        <v>363</v>
      </c>
      <c r="B1569" s="8" t="s">
        <v>364</v>
      </c>
      <c r="C1569" s="8">
        <v>2015</v>
      </c>
      <c r="D1569" s="8">
        <v>93737847.479000002</v>
      </c>
      <c r="E1569" s="8">
        <v>786555555.60000002</v>
      </c>
      <c r="F1569" s="8">
        <v>106960</v>
      </c>
      <c r="G1569" s="8">
        <v>2.785097918</v>
      </c>
      <c r="H1569" s="8"/>
      <c r="I1569" s="8">
        <v>876.38</v>
      </c>
      <c r="J1569" s="8">
        <v>7353.74</v>
      </c>
      <c r="K1569" s="8">
        <v>11.92</v>
      </c>
      <c r="L1569" s="8">
        <v>160</v>
      </c>
      <c r="M1569" s="8"/>
      <c r="N1569" s="8"/>
      <c r="O1569" s="8" t="str">
        <f>vw_scenario_analysis_dataset[[#This Row],[reporter_name]] &amp; "-" &amp; vw_scenario_analysis_dataset[[#This Row],[reference_year]]</f>
        <v>Saint Vincent and the Grenadines-2015</v>
      </c>
    </row>
    <row r="1570" spans="1:15" x14ac:dyDescent="0.3">
      <c r="A1570" s="8" t="s">
        <v>363</v>
      </c>
      <c r="B1570" s="8" t="s">
        <v>364</v>
      </c>
      <c r="C1570" s="8">
        <v>2016</v>
      </c>
      <c r="D1570" s="8">
        <v>86025737.441</v>
      </c>
      <c r="E1570" s="8">
        <v>814303703.70000005</v>
      </c>
      <c r="F1570" s="8">
        <v>106349</v>
      </c>
      <c r="G1570" s="8">
        <v>4.1496810049999997</v>
      </c>
      <c r="H1570" s="8"/>
      <c r="I1570" s="8">
        <v>808.9</v>
      </c>
      <c r="J1570" s="8">
        <v>7656.9</v>
      </c>
      <c r="K1570" s="8">
        <v>10.56</v>
      </c>
      <c r="L1570" s="8">
        <v>162</v>
      </c>
      <c r="M1570" s="8">
        <v>93737847.479000002</v>
      </c>
      <c r="N1570" s="8">
        <v>-8.23</v>
      </c>
      <c r="O1570" s="8" t="str">
        <f>vw_scenario_analysis_dataset[[#This Row],[reporter_name]] &amp; "-" &amp; vw_scenario_analysis_dataset[[#This Row],[reference_year]]</f>
        <v>Saint Vincent and the Grenadines-2016</v>
      </c>
    </row>
    <row r="1571" spans="1:15" x14ac:dyDescent="0.3">
      <c r="A1571" s="8" t="s">
        <v>363</v>
      </c>
      <c r="B1571" s="8" t="s">
        <v>364</v>
      </c>
      <c r="C1571" s="8">
        <v>2017</v>
      </c>
      <c r="D1571" s="8">
        <v>84598817.713000014</v>
      </c>
      <c r="E1571" s="8">
        <v>844040740.70000005</v>
      </c>
      <c r="F1571" s="8">
        <v>105663</v>
      </c>
      <c r="G1571" s="8">
        <v>1.5481017319999999</v>
      </c>
      <c r="H1571" s="8"/>
      <c r="I1571" s="8">
        <v>800.65</v>
      </c>
      <c r="J1571" s="8">
        <v>7988.04</v>
      </c>
      <c r="K1571" s="8">
        <v>10.02</v>
      </c>
      <c r="L1571" s="8">
        <v>163</v>
      </c>
      <c r="M1571" s="8">
        <v>86025737.441</v>
      </c>
      <c r="N1571" s="8">
        <v>-1.66</v>
      </c>
      <c r="O1571" s="8" t="str">
        <f>vw_scenario_analysis_dataset[[#This Row],[reporter_name]] &amp; "-" &amp; vw_scenario_analysis_dataset[[#This Row],[reference_year]]</f>
        <v>Saint Vincent and the Grenadines-2017</v>
      </c>
    </row>
    <row r="1572" spans="1:15" x14ac:dyDescent="0.3">
      <c r="A1572" s="8" t="s">
        <v>363</v>
      </c>
      <c r="B1572" s="8" t="s">
        <v>364</v>
      </c>
      <c r="C1572" s="8">
        <v>2018</v>
      </c>
      <c r="D1572" s="8">
        <v>87331771.584000036</v>
      </c>
      <c r="E1572" s="8">
        <v>884329629.60000002</v>
      </c>
      <c r="F1572" s="8">
        <v>104926</v>
      </c>
      <c r="G1572" s="8">
        <v>3.1756114420000001</v>
      </c>
      <c r="H1572" s="8"/>
      <c r="I1572" s="8">
        <v>832.32</v>
      </c>
      <c r="J1572" s="8">
        <v>8428.1299999999992</v>
      </c>
      <c r="K1572" s="8">
        <v>9.8800000000000008</v>
      </c>
      <c r="L1572" s="8">
        <v>160</v>
      </c>
      <c r="M1572" s="8">
        <v>84598817.713000014</v>
      </c>
      <c r="N1572" s="8">
        <v>3.23</v>
      </c>
      <c r="O1572" s="8" t="str">
        <f>vw_scenario_analysis_dataset[[#This Row],[reporter_name]] &amp; "-" &amp; vw_scenario_analysis_dataset[[#This Row],[reference_year]]</f>
        <v>Saint Vincent and the Grenadines-2018</v>
      </c>
    </row>
    <row r="1573" spans="1:15" x14ac:dyDescent="0.3">
      <c r="A1573" s="8" t="s">
        <v>363</v>
      </c>
      <c r="B1573" s="8" t="s">
        <v>364</v>
      </c>
      <c r="C1573" s="8">
        <v>2019</v>
      </c>
      <c r="D1573" s="8">
        <v>76314048.280000001</v>
      </c>
      <c r="E1573" s="8">
        <v>910481481.5</v>
      </c>
      <c r="F1573" s="8">
        <v>104167</v>
      </c>
      <c r="G1573" s="8">
        <v>0.66842848099999996</v>
      </c>
      <c r="H1573" s="8"/>
      <c r="I1573" s="8">
        <v>732.61</v>
      </c>
      <c r="J1573" s="8">
        <v>8740.59</v>
      </c>
      <c r="K1573" s="8">
        <v>8.3800000000000008</v>
      </c>
      <c r="L1573" s="8">
        <v>158</v>
      </c>
      <c r="M1573" s="8">
        <v>87331771.584000036</v>
      </c>
      <c r="N1573" s="8">
        <v>-12.62</v>
      </c>
      <c r="O1573" s="8" t="str">
        <f>vw_scenario_analysis_dataset[[#This Row],[reporter_name]] &amp; "-" &amp; vw_scenario_analysis_dataset[[#This Row],[reference_year]]</f>
        <v>Saint Vincent and the Grenadines-2019</v>
      </c>
    </row>
    <row r="1574" spans="1:15" x14ac:dyDescent="0.3">
      <c r="A1574" s="8" t="s">
        <v>363</v>
      </c>
      <c r="B1574" s="8" t="s">
        <v>364</v>
      </c>
      <c r="C1574" s="8">
        <v>2020</v>
      </c>
      <c r="D1574" s="8">
        <v>110429542.94000001</v>
      </c>
      <c r="E1574" s="8">
        <v>864566666.70000005</v>
      </c>
      <c r="F1574" s="8">
        <v>103526</v>
      </c>
      <c r="G1574" s="8">
        <v>-4.2689243440000002</v>
      </c>
      <c r="H1574" s="8"/>
      <c r="I1574" s="8">
        <v>1066.68</v>
      </c>
      <c r="J1574" s="8">
        <v>8351.2000000000007</v>
      </c>
      <c r="K1574" s="8">
        <v>12.77</v>
      </c>
      <c r="L1574" s="8">
        <v>150</v>
      </c>
      <c r="M1574" s="8">
        <v>76314048.280000001</v>
      </c>
      <c r="N1574" s="8">
        <v>44.7</v>
      </c>
      <c r="O1574" s="8" t="str">
        <f>vw_scenario_analysis_dataset[[#This Row],[reporter_name]] &amp; "-" &amp; vw_scenario_analysis_dataset[[#This Row],[reference_year]]</f>
        <v>Saint Vincent and the Grenadines-2020</v>
      </c>
    </row>
    <row r="1575" spans="1:15" x14ac:dyDescent="0.3">
      <c r="A1575" s="8" t="s">
        <v>363</v>
      </c>
      <c r="B1575" s="8" t="s">
        <v>364</v>
      </c>
      <c r="C1575" s="8">
        <v>2021</v>
      </c>
      <c r="D1575" s="8">
        <v>69438410.576000035</v>
      </c>
      <c r="E1575" s="8">
        <v>888677777.79999995</v>
      </c>
      <c r="F1575" s="8">
        <v>102841</v>
      </c>
      <c r="G1575" s="8">
        <v>2.0934012449999999</v>
      </c>
      <c r="H1575" s="8"/>
      <c r="I1575" s="8">
        <v>675.2</v>
      </c>
      <c r="J1575" s="8">
        <v>8641.2800000000007</v>
      </c>
      <c r="K1575" s="8">
        <v>7.81</v>
      </c>
      <c r="L1575" s="8">
        <v>152</v>
      </c>
      <c r="M1575" s="8">
        <v>110429542.94000001</v>
      </c>
      <c r="N1575" s="8">
        <v>-37.119999999999997</v>
      </c>
      <c r="O1575" s="8" t="str">
        <f>vw_scenario_analysis_dataset[[#This Row],[reporter_name]] &amp; "-" &amp; vw_scenario_analysis_dataset[[#This Row],[reference_year]]</f>
        <v>Saint Vincent and the Grenadines-2021</v>
      </c>
    </row>
    <row r="1576" spans="1:15" x14ac:dyDescent="0.3">
      <c r="A1576" s="8" t="s">
        <v>363</v>
      </c>
      <c r="B1576" s="8" t="s">
        <v>364</v>
      </c>
      <c r="C1576" s="8">
        <v>2022</v>
      </c>
      <c r="D1576" s="8">
        <v>89862347.938999981</v>
      </c>
      <c r="E1576" s="8">
        <v>989188888.89999998</v>
      </c>
      <c r="F1576" s="8">
        <v>102046</v>
      </c>
      <c r="G1576" s="8">
        <v>3.1108330030000002</v>
      </c>
      <c r="H1576" s="8"/>
      <c r="I1576" s="8">
        <v>880.61</v>
      </c>
      <c r="J1576" s="8">
        <v>9693.56</v>
      </c>
      <c r="K1576" s="8">
        <v>9.08</v>
      </c>
      <c r="L1576" s="8">
        <v>152</v>
      </c>
      <c r="M1576" s="8">
        <v>69438410.576000035</v>
      </c>
      <c r="N1576" s="8">
        <v>29.41</v>
      </c>
      <c r="O1576" s="8" t="str">
        <f>vw_scenario_analysis_dataset[[#This Row],[reporter_name]] &amp; "-" &amp; vw_scenario_analysis_dataset[[#This Row],[reference_year]]</f>
        <v>Saint Vincent and the Grenadines-2022</v>
      </c>
    </row>
    <row r="1577" spans="1:15" x14ac:dyDescent="0.3">
      <c r="A1577" s="8" t="s">
        <v>363</v>
      </c>
      <c r="B1577" s="8" t="s">
        <v>364</v>
      </c>
      <c r="C1577" s="8">
        <v>2023</v>
      </c>
      <c r="D1577" s="8">
        <v>81598564.541999996</v>
      </c>
      <c r="E1577" s="8">
        <v>1072237037</v>
      </c>
      <c r="F1577" s="8">
        <v>101323</v>
      </c>
      <c r="G1577" s="8">
        <v>5.326364721</v>
      </c>
      <c r="H1577" s="8"/>
      <c r="I1577" s="8">
        <v>805.33</v>
      </c>
      <c r="J1577" s="8">
        <v>10582.37</v>
      </c>
      <c r="K1577" s="8">
        <v>7.61</v>
      </c>
      <c r="L1577" s="8">
        <v>151</v>
      </c>
      <c r="M1577" s="8">
        <v>89862347.938999981</v>
      </c>
      <c r="N1577" s="8">
        <v>-9.1999999999999993</v>
      </c>
      <c r="O1577" s="8" t="str">
        <f>vw_scenario_analysis_dataset[[#This Row],[reporter_name]] &amp; "-" &amp; vw_scenario_analysis_dataset[[#This Row],[reference_year]]</f>
        <v>Saint Vincent and the Grenadines-2023</v>
      </c>
    </row>
    <row r="1578" spans="1:15" x14ac:dyDescent="0.3">
      <c r="A1578" s="8" t="s">
        <v>365</v>
      </c>
      <c r="B1578" s="8" t="s">
        <v>366</v>
      </c>
      <c r="C1578" s="8">
        <v>2015</v>
      </c>
      <c r="D1578" s="8">
        <v>324033484966</v>
      </c>
      <c r="E1578" s="8">
        <v>239000000000</v>
      </c>
      <c r="F1578" s="8">
        <v>92823254</v>
      </c>
      <c r="G1578" s="8">
        <v>6.9871543059999999</v>
      </c>
      <c r="H1578" s="8">
        <v>144.9142282</v>
      </c>
      <c r="I1578" s="8">
        <v>3490.87</v>
      </c>
      <c r="J1578" s="8">
        <v>2574.79</v>
      </c>
      <c r="K1578" s="8">
        <v>135.58000000000001</v>
      </c>
      <c r="L1578" s="8">
        <v>24</v>
      </c>
      <c r="M1578" s="8"/>
      <c r="N1578" s="8"/>
      <c r="O1578" s="8" t="str">
        <f>vw_scenario_analysis_dataset[[#This Row],[reporter_name]] &amp; "-" &amp; vw_scenario_analysis_dataset[[#This Row],[reference_year]]</f>
        <v>Viet Nam-2015</v>
      </c>
    </row>
    <row r="1579" spans="1:15" x14ac:dyDescent="0.3">
      <c r="A1579" s="8" t="s">
        <v>365</v>
      </c>
      <c r="B1579" s="8" t="s">
        <v>366</v>
      </c>
      <c r="C1579" s="8">
        <v>2016</v>
      </c>
      <c r="D1579" s="8">
        <v>353161573269.43976</v>
      </c>
      <c r="E1579" s="8">
        <v>257000000000</v>
      </c>
      <c r="F1579" s="8">
        <v>94000117</v>
      </c>
      <c r="G1579" s="8">
        <v>6.690008927</v>
      </c>
      <c r="H1579" s="8">
        <v>145.40950799999999</v>
      </c>
      <c r="I1579" s="8">
        <v>3757.03</v>
      </c>
      <c r="J1579" s="8">
        <v>2734.04</v>
      </c>
      <c r="K1579" s="8">
        <v>137.41999999999999</v>
      </c>
      <c r="L1579" s="8">
        <v>24</v>
      </c>
      <c r="M1579" s="8">
        <v>324033484966</v>
      </c>
      <c r="N1579" s="8">
        <v>8.99</v>
      </c>
      <c r="O1579" s="8" t="str">
        <f>vw_scenario_analysis_dataset[[#This Row],[reporter_name]] &amp; "-" &amp; vw_scenario_analysis_dataset[[#This Row],[reference_year]]</f>
        <v>Viet Nam-2016</v>
      </c>
    </row>
    <row r="1580" spans="1:15" x14ac:dyDescent="0.3">
      <c r="A1580" s="8" t="s">
        <v>365</v>
      </c>
      <c r="B1580" s="8" t="s">
        <v>366</v>
      </c>
      <c r="C1580" s="8">
        <v>2017</v>
      </c>
      <c r="D1580" s="8">
        <v>430237213998.00006</v>
      </c>
      <c r="E1580" s="8">
        <v>281000000000</v>
      </c>
      <c r="F1580" s="8">
        <v>95176977</v>
      </c>
      <c r="G1580" s="8">
        <v>6.9401903740000002</v>
      </c>
      <c r="H1580" s="8">
        <v>160.98008369999999</v>
      </c>
      <c r="I1580" s="8">
        <v>4520.3900000000003</v>
      </c>
      <c r="J1580" s="8">
        <v>2952.39</v>
      </c>
      <c r="K1580" s="8">
        <v>153.11000000000001</v>
      </c>
      <c r="L1580" s="8">
        <v>23</v>
      </c>
      <c r="M1580" s="8">
        <v>353161573269.43976</v>
      </c>
      <c r="N1580" s="8">
        <v>21.82</v>
      </c>
      <c r="O1580" s="8" t="str">
        <f>vw_scenario_analysis_dataset[[#This Row],[reporter_name]] &amp; "-" &amp; vw_scenario_analysis_dataset[[#This Row],[reference_year]]</f>
        <v>Viet Nam-2017</v>
      </c>
    </row>
    <row r="1581" spans="1:15" x14ac:dyDescent="0.3">
      <c r="A1581" s="8" t="s">
        <v>365</v>
      </c>
      <c r="B1581" s="8" t="s">
        <v>366</v>
      </c>
      <c r="C1581" s="8">
        <v>2018</v>
      </c>
      <c r="D1581" s="8">
        <v>487397396648.66028</v>
      </c>
      <c r="E1581" s="8">
        <v>310000000000</v>
      </c>
      <c r="F1581" s="8">
        <v>96237319</v>
      </c>
      <c r="G1581" s="8">
        <v>7.4650068559999996</v>
      </c>
      <c r="H1581" s="8">
        <v>164.66393679999999</v>
      </c>
      <c r="I1581" s="8">
        <v>5064.54</v>
      </c>
      <c r="J1581" s="8">
        <v>3221.2</v>
      </c>
      <c r="K1581" s="8">
        <v>157.22</v>
      </c>
      <c r="L1581" s="8">
        <v>23</v>
      </c>
      <c r="M1581" s="8">
        <v>430237213998.00006</v>
      </c>
      <c r="N1581" s="8">
        <v>13.29</v>
      </c>
      <c r="O1581" s="8" t="str">
        <f>vw_scenario_analysis_dataset[[#This Row],[reporter_name]] &amp; "-" &amp; vw_scenario_analysis_dataset[[#This Row],[reference_year]]</f>
        <v>Viet Nam-2018</v>
      </c>
    </row>
    <row r="1582" spans="1:15" x14ac:dyDescent="0.3">
      <c r="A1582" s="8" t="s">
        <v>365</v>
      </c>
      <c r="B1582" s="8" t="s">
        <v>366</v>
      </c>
      <c r="C1582" s="8">
        <v>2019</v>
      </c>
      <c r="D1582" s="8">
        <v>529220645299.65985</v>
      </c>
      <c r="E1582" s="8">
        <v>334000000000</v>
      </c>
      <c r="F1582" s="8">
        <v>97173776</v>
      </c>
      <c r="G1582" s="8">
        <v>7.3592627009999996</v>
      </c>
      <c r="H1582" s="8">
        <v>164.704215</v>
      </c>
      <c r="I1582" s="8">
        <v>5446.13</v>
      </c>
      <c r="J1582" s="8">
        <v>3437.14</v>
      </c>
      <c r="K1582" s="8">
        <v>158.44999999999999</v>
      </c>
      <c r="L1582" s="8">
        <v>19</v>
      </c>
      <c r="M1582" s="8">
        <v>487397396648.66028</v>
      </c>
      <c r="N1582" s="8">
        <v>8.58</v>
      </c>
      <c r="O1582" s="8" t="str">
        <f>vw_scenario_analysis_dataset[[#This Row],[reporter_name]] &amp; "-" &amp; vw_scenario_analysis_dataset[[#This Row],[reference_year]]</f>
        <v>Viet Nam-2019</v>
      </c>
    </row>
    <row r="1583" spans="1:15" x14ac:dyDescent="0.3">
      <c r="A1583" s="8" t="s">
        <v>365</v>
      </c>
      <c r="B1583" s="8" t="s">
        <v>366</v>
      </c>
      <c r="C1583" s="8">
        <v>2020</v>
      </c>
      <c r="D1583" s="8">
        <v>562882914473.78894</v>
      </c>
      <c r="E1583" s="8">
        <v>347000000000</v>
      </c>
      <c r="F1583" s="8">
        <v>98079191</v>
      </c>
      <c r="G1583" s="8">
        <v>2.8654132090000002</v>
      </c>
      <c r="H1583" s="8">
        <v>163.2458628</v>
      </c>
      <c r="I1583" s="8">
        <v>5739.07</v>
      </c>
      <c r="J1583" s="8">
        <v>3537.96</v>
      </c>
      <c r="K1583" s="8">
        <v>162.21</v>
      </c>
      <c r="L1583" s="8">
        <v>17</v>
      </c>
      <c r="M1583" s="8">
        <v>529220645299.65985</v>
      </c>
      <c r="N1583" s="8">
        <v>6.36</v>
      </c>
      <c r="O1583" s="8" t="str">
        <f>vw_scenario_analysis_dataset[[#This Row],[reporter_name]] &amp; "-" &amp; vw_scenario_analysis_dataset[[#This Row],[reference_year]]</f>
        <v>Viet Nam-2020</v>
      </c>
    </row>
    <row r="1584" spans="1:15" x14ac:dyDescent="0.3">
      <c r="A1584" s="8" t="s">
        <v>365</v>
      </c>
      <c r="B1584" s="8" t="s">
        <v>366</v>
      </c>
      <c r="C1584" s="8">
        <v>2021</v>
      </c>
      <c r="D1584" s="8">
        <v>671585195619.99792</v>
      </c>
      <c r="E1584" s="8">
        <v>366000000000</v>
      </c>
      <c r="F1584" s="8">
        <v>98935098</v>
      </c>
      <c r="G1584" s="8">
        <v>2.553728526</v>
      </c>
      <c r="H1584" s="8">
        <v>186.67583279999999</v>
      </c>
      <c r="I1584" s="8">
        <v>6788.14</v>
      </c>
      <c r="J1584" s="8">
        <v>3699.39</v>
      </c>
      <c r="K1584" s="8">
        <v>183.49</v>
      </c>
      <c r="L1584" s="8">
        <v>19</v>
      </c>
      <c r="M1584" s="8">
        <v>562882914473.78894</v>
      </c>
      <c r="N1584" s="8">
        <v>19.309999999999999</v>
      </c>
      <c r="O1584" s="8" t="str">
        <f>vw_scenario_analysis_dataset[[#This Row],[reporter_name]] &amp; "-" &amp; vw_scenario_analysis_dataset[[#This Row],[reference_year]]</f>
        <v>Viet Nam-2021</v>
      </c>
    </row>
    <row r="1585" spans="1:15" x14ac:dyDescent="0.3">
      <c r="A1585" s="8" t="s">
        <v>365</v>
      </c>
      <c r="B1585" s="8" t="s">
        <v>366</v>
      </c>
      <c r="C1585" s="8">
        <v>2022</v>
      </c>
      <c r="D1585" s="8">
        <v>741818314878.00183</v>
      </c>
      <c r="E1585" s="8">
        <v>413000000000</v>
      </c>
      <c r="F1585" s="8">
        <v>99680655</v>
      </c>
      <c r="G1585" s="8">
        <v>8.537500412</v>
      </c>
      <c r="H1585" s="8">
        <v>183.15361909999999</v>
      </c>
      <c r="I1585" s="8">
        <v>7441.95</v>
      </c>
      <c r="J1585" s="8">
        <v>4143.2299999999996</v>
      </c>
      <c r="K1585" s="8">
        <v>179.62</v>
      </c>
      <c r="L1585" s="8">
        <v>19</v>
      </c>
      <c r="M1585" s="8">
        <v>671585195619.99792</v>
      </c>
      <c r="N1585" s="8">
        <v>10.46</v>
      </c>
      <c r="O1585" s="8" t="str">
        <f>vw_scenario_analysis_dataset[[#This Row],[reporter_name]] &amp; "-" &amp; vw_scenario_analysis_dataset[[#This Row],[reference_year]]</f>
        <v>Viet Nam-2022</v>
      </c>
    </row>
    <row r="1586" spans="1:15" x14ac:dyDescent="0.3">
      <c r="A1586" s="8" t="s">
        <v>365</v>
      </c>
      <c r="B1586" s="8" t="s">
        <v>366</v>
      </c>
      <c r="C1586" s="8">
        <v>2023</v>
      </c>
      <c r="D1586" s="8">
        <v>706155026592.00183</v>
      </c>
      <c r="E1586" s="8">
        <v>434000000000</v>
      </c>
      <c r="F1586" s="8">
        <v>100352192</v>
      </c>
      <c r="G1586" s="8">
        <v>4.9786595949999999</v>
      </c>
      <c r="H1586" s="8">
        <v>164.9955855</v>
      </c>
      <c r="I1586" s="8">
        <v>7036.77</v>
      </c>
      <c r="J1586" s="8">
        <v>4324.7700000000004</v>
      </c>
      <c r="K1586" s="8">
        <v>162.71</v>
      </c>
      <c r="L1586" s="8">
        <v>19</v>
      </c>
      <c r="M1586" s="8">
        <v>741818314878.00183</v>
      </c>
      <c r="N1586" s="8">
        <v>-4.8099999999999996</v>
      </c>
      <c r="O1586" s="8" t="str">
        <f>vw_scenario_analysis_dataset[[#This Row],[reporter_name]] &amp; "-" &amp; vw_scenario_analysis_dataset[[#This Row],[reference_year]]</f>
        <v>Viet Nam-2023</v>
      </c>
    </row>
    <row r="1587" spans="1:15" x14ac:dyDescent="0.3">
      <c r="A1587" s="8" t="s">
        <v>367</v>
      </c>
      <c r="B1587" s="8" t="s">
        <v>368</v>
      </c>
      <c r="C1587" s="8">
        <v>2015</v>
      </c>
      <c r="D1587" s="8">
        <v>117855105</v>
      </c>
      <c r="E1587" s="8">
        <v>824150498.70000005</v>
      </c>
      <c r="F1587" s="8">
        <v>201782</v>
      </c>
      <c r="G1587" s="8">
        <v>3.850361817</v>
      </c>
      <c r="H1587" s="8">
        <v>74.634355009999993</v>
      </c>
      <c r="I1587" s="8">
        <v>584.07000000000005</v>
      </c>
      <c r="J1587" s="8">
        <v>4084.36</v>
      </c>
      <c r="K1587" s="8">
        <v>14.3</v>
      </c>
      <c r="L1587" s="8">
        <v>159</v>
      </c>
      <c r="M1587" s="8"/>
      <c r="N1587" s="8"/>
      <c r="O1587" s="8" t="str">
        <f>vw_scenario_analysis_dataset[[#This Row],[reporter_name]] &amp; "-" &amp; vw_scenario_analysis_dataset[[#This Row],[reference_year]]</f>
        <v>Samoa-2015</v>
      </c>
    </row>
    <row r="1588" spans="1:15" x14ac:dyDescent="0.3">
      <c r="A1588" s="8" t="s">
        <v>367</v>
      </c>
      <c r="B1588" s="8" t="s">
        <v>368</v>
      </c>
      <c r="C1588" s="8">
        <v>2016</v>
      </c>
      <c r="D1588" s="8">
        <v>112080977</v>
      </c>
      <c r="E1588" s="8">
        <v>843924796.70000005</v>
      </c>
      <c r="F1588" s="8">
        <v>203499</v>
      </c>
      <c r="G1588" s="8">
        <v>7.9838628780000001</v>
      </c>
      <c r="H1588" s="8">
        <v>75.21181747</v>
      </c>
      <c r="I1588" s="8">
        <v>550.77</v>
      </c>
      <c r="J1588" s="8">
        <v>4147.07</v>
      </c>
      <c r="K1588" s="8">
        <v>13.28</v>
      </c>
      <c r="L1588" s="8">
        <v>161</v>
      </c>
      <c r="M1588" s="8">
        <v>117855105</v>
      </c>
      <c r="N1588" s="8">
        <v>-4.9000000000000004</v>
      </c>
      <c r="O1588" s="8" t="str">
        <f>vw_scenario_analysis_dataset[[#This Row],[reporter_name]] &amp; "-" &amp; vw_scenario_analysis_dataset[[#This Row],[reference_year]]</f>
        <v>Samoa-2016</v>
      </c>
    </row>
    <row r="1589" spans="1:15" x14ac:dyDescent="0.3">
      <c r="A1589" s="8" t="s">
        <v>367</v>
      </c>
      <c r="B1589" s="8" t="s">
        <v>368</v>
      </c>
      <c r="C1589" s="8">
        <v>2017</v>
      </c>
      <c r="D1589" s="8">
        <v>88803628.393000051</v>
      </c>
      <c r="E1589" s="8">
        <v>884844384.5</v>
      </c>
      <c r="F1589" s="8">
        <v>205415</v>
      </c>
      <c r="G1589" s="8">
        <v>1.4062824</v>
      </c>
      <c r="H1589" s="8">
        <v>74.011080759999999</v>
      </c>
      <c r="I1589" s="8">
        <v>432.31</v>
      </c>
      <c r="J1589" s="8">
        <v>4307.59</v>
      </c>
      <c r="K1589" s="8">
        <v>10.039999999999999</v>
      </c>
      <c r="L1589" s="8">
        <v>162</v>
      </c>
      <c r="M1589" s="8">
        <v>112080977</v>
      </c>
      <c r="N1589" s="8">
        <v>-20.77</v>
      </c>
      <c r="O1589" s="8" t="str">
        <f>vw_scenario_analysis_dataset[[#This Row],[reporter_name]] &amp; "-" &amp; vw_scenario_analysis_dataset[[#This Row],[reference_year]]</f>
        <v>Samoa-2017</v>
      </c>
    </row>
    <row r="1590" spans="1:15" x14ac:dyDescent="0.3">
      <c r="A1590" s="8" t="s">
        <v>367</v>
      </c>
      <c r="B1590" s="8" t="s">
        <v>368</v>
      </c>
      <c r="C1590" s="8">
        <v>2018</v>
      </c>
      <c r="D1590" s="8">
        <v>92202610.699999988</v>
      </c>
      <c r="E1590" s="8">
        <v>878448433.39999998</v>
      </c>
      <c r="F1590" s="8">
        <v>207582</v>
      </c>
      <c r="G1590" s="8">
        <v>-0.60964710300000002</v>
      </c>
      <c r="H1590" s="8">
        <v>78.934968429999998</v>
      </c>
      <c r="I1590" s="8">
        <v>444.17</v>
      </c>
      <c r="J1590" s="8">
        <v>4231.8100000000004</v>
      </c>
      <c r="K1590" s="8">
        <v>10.5</v>
      </c>
      <c r="L1590" s="8">
        <v>158</v>
      </c>
      <c r="M1590" s="8">
        <v>88803628.393000051</v>
      </c>
      <c r="N1590" s="8">
        <v>3.83</v>
      </c>
      <c r="O1590" s="8" t="str">
        <f>vw_scenario_analysis_dataset[[#This Row],[reporter_name]] &amp; "-" &amp; vw_scenario_analysis_dataset[[#This Row],[reference_year]]</f>
        <v>Samoa-2018</v>
      </c>
    </row>
    <row r="1591" spans="1:15" x14ac:dyDescent="0.3">
      <c r="A1591" s="8" t="s">
        <v>367</v>
      </c>
      <c r="B1591" s="8" t="s">
        <v>368</v>
      </c>
      <c r="C1591" s="8">
        <v>2019</v>
      </c>
      <c r="D1591" s="8">
        <v>98544964.280000046</v>
      </c>
      <c r="E1591" s="8">
        <v>912950466.10000002</v>
      </c>
      <c r="F1591" s="8">
        <v>209780</v>
      </c>
      <c r="G1591" s="8">
        <v>4.451858917</v>
      </c>
      <c r="H1591" s="8">
        <v>83.331079579999994</v>
      </c>
      <c r="I1591" s="8">
        <v>469.75</v>
      </c>
      <c r="J1591" s="8">
        <v>4351.9399999999996</v>
      </c>
      <c r="K1591" s="8">
        <v>10.79</v>
      </c>
      <c r="L1591" s="8">
        <v>155</v>
      </c>
      <c r="M1591" s="8">
        <v>92202610.699999988</v>
      </c>
      <c r="N1591" s="8">
        <v>6.88</v>
      </c>
      <c r="O1591" s="8" t="str">
        <f>vw_scenario_analysis_dataset[[#This Row],[reporter_name]] &amp; "-" &amp; vw_scenario_analysis_dataset[[#This Row],[reference_year]]</f>
        <v>Samoa-2019</v>
      </c>
    </row>
    <row r="1592" spans="1:15" x14ac:dyDescent="0.3">
      <c r="A1592" s="8" t="s">
        <v>367</v>
      </c>
      <c r="B1592" s="8" t="s">
        <v>368</v>
      </c>
      <c r="C1592" s="8">
        <v>2021</v>
      </c>
      <c r="D1592" s="8">
        <v>57673170.920000024</v>
      </c>
      <c r="E1592" s="8">
        <v>859724936.10000002</v>
      </c>
      <c r="F1592" s="8">
        <v>213779</v>
      </c>
      <c r="G1592" s="8">
        <v>-5.0435058970000002</v>
      </c>
      <c r="H1592" s="8">
        <v>59.769779589999999</v>
      </c>
      <c r="I1592" s="8">
        <v>269.77999999999997</v>
      </c>
      <c r="J1592" s="8">
        <v>4021.56</v>
      </c>
      <c r="K1592" s="8">
        <v>6.71</v>
      </c>
      <c r="L1592" s="8">
        <v>154</v>
      </c>
      <c r="M1592" s="8">
        <v>98544964.280000046</v>
      </c>
      <c r="N1592" s="8">
        <v>-41.48</v>
      </c>
      <c r="O1592" s="8" t="str">
        <f>vw_scenario_analysis_dataset[[#This Row],[reporter_name]] &amp; "-" &amp; vw_scenario_analysis_dataset[[#This Row],[reference_year]]</f>
        <v>Samoa-2021</v>
      </c>
    </row>
    <row r="1593" spans="1:15" x14ac:dyDescent="0.3">
      <c r="A1593" s="8" t="s">
        <v>367</v>
      </c>
      <c r="B1593" s="8" t="s">
        <v>368</v>
      </c>
      <c r="C1593" s="8">
        <v>2022</v>
      </c>
      <c r="D1593" s="8">
        <v>86593060.366999999</v>
      </c>
      <c r="E1593" s="8">
        <v>889554711.79999995</v>
      </c>
      <c r="F1593" s="8">
        <v>215261</v>
      </c>
      <c r="G1593" s="8">
        <v>2.2670531079999998</v>
      </c>
      <c r="H1593" s="8">
        <v>60.847778980000001</v>
      </c>
      <c r="I1593" s="8">
        <v>402.27</v>
      </c>
      <c r="J1593" s="8">
        <v>4132.45</v>
      </c>
      <c r="K1593" s="8">
        <v>9.73</v>
      </c>
      <c r="L1593" s="8">
        <v>153</v>
      </c>
      <c r="M1593" s="8">
        <v>57673170.920000024</v>
      </c>
      <c r="N1593" s="8">
        <v>50.14</v>
      </c>
      <c r="O1593" s="8" t="str">
        <f>vw_scenario_analysis_dataset[[#This Row],[reporter_name]] &amp; "-" &amp; vw_scenario_analysis_dataset[[#This Row],[reference_year]]</f>
        <v>Samoa-2022</v>
      </c>
    </row>
    <row r="1594" spans="1:15" x14ac:dyDescent="0.3">
      <c r="A1594" s="8" t="s">
        <v>367</v>
      </c>
      <c r="B1594" s="8" t="s">
        <v>368</v>
      </c>
      <c r="C1594" s="8">
        <v>2023</v>
      </c>
      <c r="D1594" s="8">
        <v>85826188.103000015</v>
      </c>
      <c r="E1594" s="8">
        <v>1044909500</v>
      </c>
      <c r="F1594" s="8">
        <v>216663</v>
      </c>
      <c r="G1594" s="8">
        <v>15.23360647</v>
      </c>
      <c r="H1594" s="8">
        <v>80.840512570000001</v>
      </c>
      <c r="I1594" s="8">
        <v>396.13</v>
      </c>
      <c r="J1594" s="8">
        <v>4822.74</v>
      </c>
      <c r="K1594" s="8">
        <v>8.2100000000000009</v>
      </c>
      <c r="L1594" s="8">
        <v>150</v>
      </c>
      <c r="M1594" s="8">
        <v>86593060.366999999</v>
      </c>
      <c r="N1594" s="8">
        <v>-0.89</v>
      </c>
      <c r="O1594" s="8" t="str">
        <f>vw_scenario_analysis_dataset[[#This Row],[reporter_name]] &amp; "-" &amp; vw_scenario_analysis_dataset[[#This Row],[reference_year]]</f>
        <v>Samoa-2023</v>
      </c>
    </row>
    <row r="1595" spans="1:15" x14ac:dyDescent="0.3">
      <c r="A1595" s="8" t="s">
        <v>367</v>
      </c>
      <c r="B1595" s="8" t="s">
        <v>368</v>
      </c>
      <c r="C1595" s="8">
        <v>2024</v>
      </c>
      <c r="D1595" s="8">
        <v>83838809.731999993</v>
      </c>
      <c r="E1595" s="8">
        <v>1175749786</v>
      </c>
      <c r="F1595" s="8">
        <v>218019</v>
      </c>
      <c r="G1595" s="8">
        <v>4.7483863919999996</v>
      </c>
      <c r="H1595" s="8">
        <v>79.524147560000003</v>
      </c>
      <c r="I1595" s="8">
        <v>384.55</v>
      </c>
      <c r="J1595" s="8">
        <v>5392.88</v>
      </c>
      <c r="K1595" s="8">
        <v>7.13</v>
      </c>
      <c r="L1595" s="8">
        <v>129</v>
      </c>
      <c r="M1595" s="8">
        <v>85826188.103000015</v>
      </c>
      <c r="N1595" s="8">
        <v>-2.3199999999999998</v>
      </c>
      <c r="O1595" s="8" t="str">
        <f>vw_scenario_analysis_dataset[[#This Row],[reporter_name]] &amp; "-" &amp; vw_scenario_analysis_dataset[[#This Row],[reference_year]]</f>
        <v>Samoa-2024</v>
      </c>
    </row>
    <row r="1596" spans="1:15" x14ac:dyDescent="0.3">
      <c r="A1596" s="8" t="s">
        <v>369</v>
      </c>
      <c r="B1596" s="8" t="s">
        <v>370</v>
      </c>
      <c r="C1596" s="8">
        <v>2015</v>
      </c>
      <c r="D1596" s="8">
        <v>1019715470</v>
      </c>
      <c r="E1596" s="8">
        <v>42444490074</v>
      </c>
      <c r="F1596" s="8">
        <v>31159379</v>
      </c>
      <c r="G1596" s="8">
        <v>-27.994546249999999</v>
      </c>
      <c r="H1596" s="8">
        <v>30.367659079999999</v>
      </c>
      <c r="I1596" s="8">
        <v>32.729999999999997</v>
      </c>
      <c r="J1596" s="8">
        <v>1362.17</v>
      </c>
      <c r="K1596" s="8">
        <v>2.4</v>
      </c>
      <c r="L1596" s="8">
        <v>140</v>
      </c>
      <c r="M1596" s="8"/>
      <c r="N1596" s="8"/>
      <c r="O1596" s="8" t="str">
        <f>vw_scenario_analysis_dataset[[#This Row],[reporter_name]] &amp; "-" &amp; vw_scenario_analysis_dataset[[#This Row],[reference_year]]</f>
        <v>Yemen-2015</v>
      </c>
    </row>
    <row r="1597" spans="1:15" x14ac:dyDescent="0.3">
      <c r="A1597" s="8" t="s">
        <v>369</v>
      </c>
      <c r="B1597" s="8" t="s">
        <v>370</v>
      </c>
      <c r="C1597" s="8">
        <v>2018</v>
      </c>
      <c r="D1597" s="8">
        <v>30912264.138000004</v>
      </c>
      <c r="E1597" s="8">
        <v>21606160663</v>
      </c>
      <c r="F1597" s="8">
        <v>34085182</v>
      </c>
      <c r="G1597" s="8">
        <v>0.75244759299999997</v>
      </c>
      <c r="H1597" s="8">
        <v>56.07782272</v>
      </c>
      <c r="I1597" s="8">
        <v>0.91</v>
      </c>
      <c r="J1597" s="8">
        <v>633.89</v>
      </c>
      <c r="K1597" s="8">
        <v>0.14000000000000001</v>
      </c>
      <c r="L1597" s="8">
        <v>166</v>
      </c>
      <c r="M1597" s="8">
        <v>1019715470</v>
      </c>
      <c r="N1597" s="8">
        <v>-96.97</v>
      </c>
      <c r="O1597" s="8" t="str">
        <f>vw_scenario_analysis_dataset[[#This Row],[reporter_name]] &amp; "-" &amp; vw_scenario_analysis_dataset[[#This Row],[reference_year]]</f>
        <v>Yemen-2018</v>
      </c>
    </row>
    <row r="1598" spans="1:15" x14ac:dyDescent="0.3">
      <c r="A1598" s="8" t="s">
        <v>369</v>
      </c>
      <c r="B1598" s="8" t="s">
        <v>370</v>
      </c>
      <c r="C1598" s="8">
        <v>2019</v>
      </c>
      <c r="D1598" s="8">
        <v>47567106.542999998</v>
      </c>
      <c r="E1598" s="8"/>
      <c r="F1598" s="8">
        <v>35111408</v>
      </c>
      <c r="G1598" s="8"/>
      <c r="H1598" s="8"/>
      <c r="I1598" s="8">
        <v>1.35</v>
      </c>
      <c r="J1598" s="8"/>
      <c r="K1598" s="8"/>
      <c r="L1598" s="8">
        <v>163</v>
      </c>
      <c r="M1598" s="8">
        <v>30912264.138000004</v>
      </c>
      <c r="N1598" s="8">
        <v>53.88</v>
      </c>
      <c r="O1598" s="8" t="str">
        <f>vw_scenario_analysis_dataset[[#This Row],[reporter_name]] &amp; "-" &amp; vw_scenario_analysis_dataset[[#This Row],[reference_year]]</f>
        <v>Yemen-2019</v>
      </c>
    </row>
    <row r="1599" spans="1:15" x14ac:dyDescent="0.3">
      <c r="A1599" s="8" t="s">
        <v>369</v>
      </c>
      <c r="B1599" s="8" t="s">
        <v>370</v>
      </c>
      <c r="C1599" s="8">
        <v>2023</v>
      </c>
      <c r="D1599" s="8">
        <v>939469812.92400014</v>
      </c>
      <c r="E1599" s="8"/>
      <c r="F1599" s="8">
        <v>39390799</v>
      </c>
      <c r="G1599" s="8"/>
      <c r="H1599" s="8"/>
      <c r="I1599" s="8">
        <v>23.85</v>
      </c>
      <c r="J1599" s="8"/>
      <c r="K1599" s="8"/>
      <c r="L1599" s="8">
        <v>135</v>
      </c>
      <c r="M1599" s="8">
        <v>47567106.542999998</v>
      </c>
      <c r="N1599" s="8">
        <v>1875.04</v>
      </c>
      <c r="O1599" s="8" t="str">
        <f>vw_scenario_analysis_dataset[[#This Row],[reporter_name]] &amp; "-" &amp; vw_scenario_analysis_dataset[[#This Row],[reference_year]]</f>
        <v>Yemen-2023</v>
      </c>
    </row>
    <row r="1600" spans="1:15" x14ac:dyDescent="0.3">
      <c r="A1600" s="8" t="s">
        <v>369</v>
      </c>
      <c r="B1600" s="8" t="s">
        <v>370</v>
      </c>
      <c r="C1600" s="8">
        <v>2024</v>
      </c>
      <c r="D1600" s="8">
        <v>1204629303.263</v>
      </c>
      <c r="E1600" s="8"/>
      <c r="F1600" s="8">
        <v>40583164</v>
      </c>
      <c r="G1600" s="8"/>
      <c r="H1600" s="8"/>
      <c r="I1600" s="8">
        <v>29.68</v>
      </c>
      <c r="J1600" s="8"/>
      <c r="K1600" s="8"/>
      <c r="L1600" s="8">
        <v>118</v>
      </c>
      <c r="M1600" s="8">
        <v>939469812.92400014</v>
      </c>
      <c r="N1600" s="8">
        <v>28.22</v>
      </c>
      <c r="O1600" s="8" t="str">
        <f>vw_scenario_analysis_dataset[[#This Row],[reporter_name]] &amp; "-" &amp; vw_scenario_analysis_dataset[[#This Row],[reference_year]]</f>
        <v>Yemen-2024</v>
      </c>
    </row>
    <row r="1601" spans="1:15" x14ac:dyDescent="0.3">
      <c r="A1601" s="8" t="s">
        <v>371</v>
      </c>
      <c r="B1601" s="8" t="s">
        <v>372</v>
      </c>
      <c r="C1601" s="8">
        <v>2015</v>
      </c>
      <c r="D1601" s="8">
        <v>160071379748.47195</v>
      </c>
      <c r="E1601" s="8">
        <v>347000000000</v>
      </c>
      <c r="F1601" s="8">
        <v>56723537</v>
      </c>
      <c r="G1601" s="8">
        <v>1.3218622369999999</v>
      </c>
      <c r="H1601" s="8">
        <v>56.726676140000002</v>
      </c>
      <c r="I1601" s="8">
        <v>2821.96</v>
      </c>
      <c r="J1601" s="8">
        <v>6117.39</v>
      </c>
      <c r="K1601" s="8">
        <v>46.13</v>
      </c>
      <c r="L1601" s="8">
        <v>33</v>
      </c>
      <c r="M1601" s="8"/>
      <c r="N1601" s="8"/>
      <c r="O1601" s="8" t="str">
        <f>vw_scenario_analysis_dataset[[#This Row],[reporter_name]] &amp; "-" &amp; vw_scenario_analysis_dataset[[#This Row],[reference_year]]</f>
        <v>South Africa-2015</v>
      </c>
    </row>
    <row r="1602" spans="1:15" x14ac:dyDescent="0.3">
      <c r="A1602" s="8" t="s">
        <v>371</v>
      </c>
      <c r="B1602" s="8" t="s">
        <v>372</v>
      </c>
      <c r="C1602" s="8">
        <v>2016</v>
      </c>
      <c r="D1602" s="8">
        <v>151825194946.94901</v>
      </c>
      <c r="E1602" s="8">
        <v>324000000000</v>
      </c>
      <c r="F1602" s="8">
        <v>57259551</v>
      </c>
      <c r="G1602" s="8">
        <v>0.66455230799999998</v>
      </c>
      <c r="H1602" s="8">
        <v>55.861257500000001</v>
      </c>
      <c r="I1602" s="8">
        <v>2651.53</v>
      </c>
      <c r="J1602" s="8">
        <v>5658.44</v>
      </c>
      <c r="K1602" s="8">
        <v>46.86</v>
      </c>
      <c r="L1602" s="8">
        <v>35</v>
      </c>
      <c r="M1602" s="8">
        <v>160071379748.47195</v>
      </c>
      <c r="N1602" s="8">
        <v>-5.15</v>
      </c>
      <c r="O1602" s="8" t="str">
        <f>vw_scenario_analysis_dataset[[#This Row],[reporter_name]] &amp; "-" &amp; vw_scenario_analysis_dataset[[#This Row],[reference_year]]</f>
        <v>South Africa-2016</v>
      </c>
    </row>
    <row r="1603" spans="1:15" x14ac:dyDescent="0.3">
      <c r="A1603" s="8" t="s">
        <v>371</v>
      </c>
      <c r="B1603" s="8" t="s">
        <v>372</v>
      </c>
      <c r="C1603" s="8">
        <v>2017</v>
      </c>
      <c r="D1603" s="8">
        <v>176466437979.24509</v>
      </c>
      <c r="E1603" s="8">
        <v>381000000000</v>
      </c>
      <c r="F1603" s="8">
        <v>57635162</v>
      </c>
      <c r="G1603" s="8">
        <v>1.1579469520000001</v>
      </c>
      <c r="H1603" s="8">
        <v>53.535931830000003</v>
      </c>
      <c r="I1603" s="8">
        <v>3061.78</v>
      </c>
      <c r="J1603" s="8">
        <v>6610.55</v>
      </c>
      <c r="K1603" s="8">
        <v>46.32</v>
      </c>
      <c r="L1603" s="8">
        <v>34</v>
      </c>
      <c r="M1603" s="8">
        <v>151825194946.94901</v>
      </c>
      <c r="N1603" s="8">
        <v>16.23</v>
      </c>
      <c r="O1603" s="8" t="str">
        <f>vw_scenario_analysis_dataset[[#This Row],[reporter_name]] &amp; "-" &amp; vw_scenario_analysis_dataset[[#This Row],[reference_year]]</f>
        <v>South Africa-2017</v>
      </c>
    </row>
    <row r="1604" spans="1:15" x14ac:dyDescent="0.3">
      <c r="A1604" s="8" t="s">
        <v>371</v>
      </c>
      <c r="B1604" s="8" t="s">
        <v>372</v>
      </c>
      <c r="C1604" s="8">
        <v>2018</v>
      </c>
      <c r="D1604" s="8">
        <v>187354868689.20212</v>
      </c>
      <c r="E1604" s="8">
        <v>405000000000</v>
      </c>
      <c r="F1604" s="8">
        <v>58613001</v>
      </c>
      <c r="G1604" s="8">
        <v>1.5567838469999999</v>
      </c>
      <c r="H1604" s="8">
        <v>54.485545129999998</v>
      </c>
      <c r="I1604" s="8">
        <v>3196.47</v>
      </c>
      <c r="J1604" s="8">
        <v>6909.73</v>
      </c>
      <c r="K1604" s="8">
        <v>46.26</v>
      </c>
      <c r="L1604" s="8">
        <v>34</v>
      </c>
      <c r="M1604" s="8">
        <v>176466437979.24509</v>
      </c>
      <c r="N1604" s="8">
        <v>6.17</v>
      </c>
      <c r="O1604" s="8" t="str">
        <f>vw_scenario_analysis_dataset[[#This Row],[reporter_name]] &amp; "-" &amp; vw_scenario_analysis_dataset[[#This Row],[reference_year]]</f>
        <v>South Africa-2018</v>
      </c>
    </row>
    <row r="1605" spans="1:15" x14ac:dyDescent="0.3">
      <c r="A1605" s="8" t="s">
        <v>371</v>
      </c>
      <c r="B1605" s="8" t="s">
        <v>372</v>
      </c>
      <c r="C1605" s="8">
        <v>2019</v>
      </c>
      <c r="D1605" s="8">
        <v>178791976667.84811</v>
      </c>
      <c r="E1605" s="8">
        <v>389000000000</v>
      </c>
      <c r="F1605" s="8">
        <v>59587885</v>
      </c>
      <c r="G1605" s="8">
        <v>0.25993557699999997</v>
      </c>
      <c r="H1605" s="8">
        <v>53.897996409999998</v>
      </c>
      <c r="I1605" s="8">
        <v>3000.48</v>
      </c>
      <c r="J1605" s="8">
        <v>6528.17</v>
      </c>
      <c r="K1605" s="8">
        <v>45.96</v>
      </c>
      <c r="L1605" s="8">
        <v>34</v>
      </c>
      <c r="M1605" s="8">
        <v>187354868689.20212</v>
      </c>
      <c r="N1605" s="8">
        <v>-4.57</v>
      </c>
      <c r="O1605" s="8" t="str">
        <f>vw_scenario_analysis_dataset[[#This Row],[reporter_name]] &amp; "-" &amp; vw_scenario_analysis_dataset[[#This Row],[reference_year]]</f>
        <v>South Africa-2019</v>
      </c>
    </row>
    <row r="1606" spans="1:15" x14ac:dyDescent="0.3">
      <c r="A1606" s="8" t="s">
        <v>371</v>
      </c>
      <c r="B1606" s="8" t="s">
        <v>372</v>
      </c>
      <c r="C1606" s="8">
        <v>2020</v>
      </c>
      <c r="D1606" s="8">
        <v>170453532900.10794</v>
      </c>
      <c r="E1606" s="8">
        <v>338000000000</v>
      </c>
      <c r="F1606" s="8">
        <v>60562381</v>
      </c>
      <c r="G1606" s="8">
        <v>-6.1689177150000001</v>
      </c>
      <c r="H1606" s="8">
        <v>50.759659079999999</v>
      </c>
      <c r="I1606" s="8">
        <v>2814.51</v>
      </c>
      <c r="J1606" s="8">
        <v>5581.02</v>
      </c>
      <c r="K1606" s="8">
        <v>50.43</v>
      </c>
      <c r="L1606" s="8">
        <v>34</v>
      </c>
      <c r="M1606" s="8">
        <v>178791976667.84811</v>
      </c>
      <c r="N1606" s="8">
        <v>-4.66</v>
      </c>
      <c r="O1606" s="8" t="str">
        <f>vw_scenario_analysis_dataset[[#This Row],[reporter_name]] &amp; "-" &amp; vw_scenario_analysis_dataset[[#This Row],[reference_year]]</f>
        <v>South Africa-2020</v>
      </c>
    </row>
    <row r="1607" spans="1:15" x14ac:dyDescent="0.3">
      <c r="A1607" s="8" t="s">
        <v>371</v>
      </c>
      <c r="B1607" s="8" t="s">
        <v>372</v>
      </c>
      <c r="C1607" s="8">
        <v>2021</v>
      </c>
      <c r="D1607" s="8">
        <v>242642557691.13815</v>
      </c>
      <c r="E1607" s="8">
        <v>420000000000</v>
      </c>
      <c r="F1607" s="8">
        <v>61502603</v>
      </c>
      <c r="G1607" s="8">
        <v>4.8586486510000002</v>
      </c>
      <c r="H1607" s="8">
        <v>56.164713630000001</v>
      </c>
      <c r="I1607" s="8">
        <v>3945.24</v>
      </c>
      <c r="J1607" s="8">
        <v>6828.98</v>
      </c>
      <c r="K1607" s="8">
        <v>57.77</v>
      </c>
      <c r="L1607" s="8">
        <v>33</v>
      </c>
      <c r="M1607" s="8">
        <v>170453532900.10794</v>
      </c>
      <c r="N1607" s="8">
        <v>42.35</v>
      </c>
      <c r="O1607" s="8" t="str">
        <f>vw_scenario_analysis_dataset[[#This Row],[reporter_name]] &amp; "-" &amp; vw_scenario_analysis_dataset[[#This Row],[reference_year]]</f>
        <v>South Africa-2021</v>
      </c>
    </row>
    <row r="1608" spans="1:15" x14ac:dyDescent="0.3">
      <c r="A1608" s="8" t="s">
        <v>371</v>
      </c>
      <c r="B1608" s="8" t="s">
        <v>372</v>
      </c>
      <c r="C1608" s="8">
        <v>2022</v>
      </c>
      <c r="D1608" s="8">
        <v>243232564135.75903</v>
      </c>
      <c r="E1608" s="8">
        <v>408000000000</v>
      </c>
      <c r="F1608" s="8">
        <v>62378410</v>
      </c>
      <c r="G1608" s="8">
        <v>2.0581366170000002</v>
      </c>
      <c r="H1608" s="8">
        <v>64.947134399999996</v>
      </c>
      <c r="I1608" s="8">
        <v>3899.31</v>
      </c>
      <c r="J1608" s="8">
        <v>6540.72</v>
      </c>
      <c r="K1608" s="8">
        <v>59.62</v>
      </c>
      <c r="L1608" s="8">
        <v>33</v>
      </c>
      <c r="M1608" s="8">
        <v>242642557691.13815</v>
      </c>
      <c r="N1608" s="8">
        <v>0.24</v>
      </c>
      <c r="O1608" s="8" t="str">
        <f>vw_scenario_analysis_dataset[[#This Row],[reporter_name]] &amp; "-" &amp; vw_scenario_analysis_dataset[[#This Row],[reference_year]]</f>
        <v>South Africa-2022</v>
      </c>
    </row>
    <row r="1609" spans="1:15" x14ac:dyDescent="0.3">
      <c r="A1609" s="8" t="s">
        <v>371</v>
      </c>
      <c r="B1609" s="8" t="s">
        <v>372</v>
      </c>
      <c r="C1609" s="8">
        <v>2023</v>
      </c>
      <c r="D1609" s="8">
        <v>221215047769.06314</v>
      </c>
      <c r="E1609" s="8">
        <v>381000000000</v>
      </c>
      <c r="F1609" s="8">
        <v>63212384</v>
      </c>
      <c r="G1609" s="8">
        <v>0.806104551</v>
      </c>
      <c r="H1609" s="8">
        <v>65.679875969999998</v>
      </c>
      <c r="I1609" s="8">
        <v>3499.55</v>
      </c>
      <c r="J1609" s="8">
        <v>6027.3</v>
      </c>
      <c r="K1609" s="8">
        <v>58.06</v>
      </c>
      <c r="L1609" s="8">
        <v>33</v>
      </c>
      <c r="M1609" s="8">
        <v>243232564135.75903</v>
      </c>
      <c r="N1609" s="8">
        <v>-9.0500000000000007</v>
      </c>
      <c r="O1609" s="8" t="str">
        <f>vw_scenario_analysis_dataset[[#This Row],[reporter_name]] &amp; "-" &amp; vw_scenario_analysis_dataset[[#This Row],[reference_year]]</f>
        <v>South Africa-2023</v>
      </c>
    </row>
    <row r="1610" spans="1:15" x14ac:dyDescent="0.3">
      <c r="A1610" s="8" t="s">
        <v>371</v>
      </c>
      <c r="B1610" s="8" t="s">
        <v>372</v>
      </c>
      <c r="C1610" s="8">
        <v>2024</v>
      </c>
      <c r="D1610" s="8">
        <v>220084667048.7659</v>
      </c>
      <c r="E1610" s="8">
        <v>401000000000</v>
      </c>
      <c r="F1610" s="8">
        <v>64007187</v>
      </c>
      <c r="G1610" s="8">
        <v>0.53484353200000001</v>
      </c>
      <c r="H1610" s="8">
        <v>61.64677047</v>
      </c>
      <c r="I1610" s="8">
        <v>3438.44</v>
      </c>
      <c r="J1610" s="8">
        <v>6264.92</v>
      </c>
      <c r="K1610" s="8">
        <v>54.88</v>
      </c>
      <c r="L1610" s="8">
        <v>31</v>
      </c>
      <c r="M1610" s="8">
        <v>221215047769.06314</v>
      </c>
      <c r="N1610" s="8">
        <v>-0.51</v>
      </c>
      <c r="O1610" s="8" t="str">
        <f>vw_scenario_analysis_dataset[[#This Row],[reporter_name]] &amp; "-" &amp; vw_scenario_analysis_dataset[[#This Row],[reference_year]]</f>
        <v>South Africa-2024</v>
      </c>
    </row>
    <row r="1611" spans="1:15" x14ac:dyDescent="0.3">
      <c r="A1611" s="8" t="s">
        <v>373</v>
      </c>
      <c r="B1611" s="8" t="s">
        <v>374</v>
      </c>
      <c r="C1611" s="8">
        <v>2015</v>
      </c>
      <c r="D1611" s="8">
        <v>13130285023.215006</v>
      </c>
      <c r="E1611" s="8">
        <v>21251216799</v>
      </c>
      <c r="F1611" s="8">
        <v>16399089</v>
      </c>
      <c r="G1611" s="8">
        <v>2.9203751119999999</v>
      </c>
      <c r="H1611" s="8">
        <v>79.865268760000006</v>
      </c>
      <c r="I1611" s="8">
        <v>800.67</v>
      </c>
      <c r="J1611" s="8">
        <v>1295.8800000000001</v>
      </c>
      <c r="K1611" s="8">
        <v>61.79</v>
      </c>
      <c r="L1611" s="8">
        <v>89</v>
      </c>
      <c r="M1611" s="8"/>
      <c r="N1611" s="8"/>
      <c r="O1611" s="8" t="str">
        <f>vw_scenario_analysis_dataset[[#This Row],[reporter_name]] &amp; "-" &amp; vw_scenario_analysis_dataset[[#This Row],[reference_year]]</f>
        <v>Zambia-2015</v>
      </c>
    </row>
    <row r="1612" spans="1:15" x14ac:dyDescent="0.3">
      <c r="A1612" s="8" t="s">
        <v>373</v>
      </c>
      <c r="B1612" s="8" t="s">
        <v>374</v>
      </c>
      <c r="C1612" s="8">
        <v>2016</v>
      </c>
      <c r="D1612" s="8">
        <v>12758165119.56601</v>
      </c>
      <c r="E1612" s="8">
        <v>20958412538</v>
      </c>
      <c r="F1612" s="8">
        <v>16914423</v>
      </c>
      <c r="G1612" s="8">
        <v>3.7551003170000001</v>
      </c>
      <c r="H1612" s="8">
        <v>73.958561250000002</v>
      </c>
      <c r="I1612" s="8">
        <v>754.28</v>
      </c>
      <c r="J1612" s="8">
        <v>1239.0899999999999</v>
      </c>
      <c r="K1612" s="8">
        <v>60.87</v>
      </c>
      <c r="L1612" s="8">
        <v>91</v>
      </c>
      <c r="M1612" s="8">
        <v>13130285023.215006</v>
      </c>
      <c r="N1612" s="8">
        <v>-2.83</v>
      </c>
      <c r="O1612" s="8" t="str">
        <f>vw_scenario_analysis_dataset[[#This Row],[reporter_name]] &amp; "-" &amp; vw_scenario_analysis_dataset[[#This Row],[reference_year]]</f>
        <v>Zambia-2016</v>
      </c>
    </row>
    <row r="1613" spans="1:15" x14ac:dyDescent="0.3">
      <c r="A1613" s="8" t="s">
        <v>373</v>
      </c>
      <c r="B1613" s="8" t="s">
        <v>374</v>
      </c>
      <c r="C1613" s="8">
        <v>2017</v>
      </c>
      <c r="D1613" s="8">
        <v>16056426758.766989</v>
      </c>
      <c r="E1613" s="8">
        <v>25873601261</v>
      </c>
      <c r="F1613" s="8">
        <v>17441320</v>
      </c>
      <c r="G1613" s="8">
        <v>3.5258627709999999</v>
      </c>
      <c r="H1613" s="8">
        <v>71.585694649999994</v>
      </c>
      <c r="I1613" s="8">
        <v>920.6</v>
      </c>
      <c r="J1613" s="8">
        <v>1483.47</v>
      </c>
      <c r="K1613" s="8">
        <v>62.06</v>
      </c>
      <c r="L1613" s="8">
        <v>87</v>
      </c>
      <c r="M1613" s="8">
        <v>12758165119.56601</v>
      </c>
      <c r="N1613" s="8">
        <v>25.85</v>
      </c>
      <c r="O1613" s="8" t="str">
        <f>vw_scenario_analysis_dataset[[#This Row],[reporter_name]] &amp; "-" &amp; vw_scenario_analysis_dataset[[#This Row],[reference_year]]</f>
        <v>Zambia-2017</v>
      </c>
    </row>
    <row r="1614" spans="1:15" x14ac:dyDescent="0.3">
      <c r="A1614" s="8" t="s">
        <v>373</v>
      </c>
      <c r="B1614" s="8" t="s">
        <v>374</v>
      </c>
      <c r="C1614" s="8">
        <v>2018</v>
      </c>
      <c r="D1614" s="8">
        <v>18044916270.721004</v>
      </c>
      <c r="E1614" s="8">
        <v>26311507274</v>
      </c>
      <c r="F1614" s="8">
        <v>17973569</v>
      </c>
      <c r="G1614" s="8">
        <v>4.0344938969999999</v>
      </c>
      <c r="H1614" s="8">
        <v>74.888369530000006</v>
      </c>
      <c r="I1614" s="8">
        <v>1003.97</v>
      </c>
      <c r="J1614" s="8">
        <v>1463.9</v>
      </c>
      <c r="K1614" s="8">
        <v>68.58</v>
      </c>
      <c r="L1614" s="8">
        <v>85</v>
      </c>
      <c r="M1614" s="8">
        <v>16056426758.766989</v>
      </c>
      <c r="N1614" s="8">
        <v>12.38</v>
      </c>
      <c r="O1614" s="8" t="str">
        <f>vw_scenario_analysis_dataset[[#This Row],[reporter_name]] &amp; "-" &amp; vw_scenario_analysis_dataset[[#This Row],[reference_year]]</f>
        <v>Zambia-2018</v>
      </c>
    </row>
    <row r="1615" spans="1:15" x14ac:dyDescent="0.3">
      <c r="A1615" s="8" t="s">
        <v>373</v>
      </c>
      <c r="B1615" s="8" t="s">
        <v>374</v>
      </c>
      <c r="C1615" s="8">
        <v>2019</v>
      </c>
      <c r="D1615" s="8">
        <v>14078810310.758001</v>
      </c>
      <c r="E1615" s="8">
        <v>23308667781</v>
      </c>
      <c r="F1615" s="8">
        <v>18513839</v>
      </c>
      <c r="G1615" s="8">
        <v>1.4413060259999999</v>
      </c>
      <c r="H1615" s="8">
        <v>68.79120494</v>
      </c>
      <c r="I1615" s="8">
        <v>760.45</v>
      </c>
      <c r="J1615" s="8">
        <v>1258.99</v>
      </c>
      <c r="K1615" s="8">
        <v>60.4</v>
      </c>
      <c r="L1615" s="8">
        <v>90</v>
      </c>
      <c r="M1615" s="8">
        <v>18044916270.721004</v>
      </c>
      <c r="N1615" s="8">
        <v>-21.98</v>
      </c>
      <c r="O1615" s="8" t="str">
        <f>vw_scenario_analysis_dataset[[#This Row],[reporter_name]] &amp; "-" &amp; vw_scenario_analysis_dataset[[#This Row],[reference_year]]</f>
        <v>Zambia-2019</v>
      </c>
    </row>
    <row r="1616" spans="1:15" x14ac:dyDescent="0.3">
      <c r="A1616" s="8" t="s">
        <v>373</v>
      </c>
      <c r="B1616" s="8" t="s">
        <v>374</v>
      </c>
      <c r="C1616" s="8">
        <v>2020</v>
      </c>
      <c r="D1616" s="8">
        <v>15847843833.143015</v>
      </c>
      <c r="E1616" s="8">
        <v>18137764931</v>
      </c>
      <c r="F1616" s="8">
        <v>19059395</v>
      </c>
      <c r="G1616" s="8">
        <v>-2.7850550649999999</v>
      </c>
      <c r="H1616" s="8">
        <v>79.206849410000004</v>
      </c>
      <c r="I1616" s="8">
        <v>831.5</v>
      </c>
      <c r="J1616" s="8">
        <v>951.64</v>
      </c>
      <c r="K1616" s="8">
        <v>87.37</v>
      </c>
      <c r="L1616" s="8">
        <v>82</v>
      </c>
      <c r="M1616" s="8">
        <v>14078810310.758001</v>
      </c>
      <c r="N1616" s="8">
        <v>12.57</v>
      </c>
      <c r="O1616" s="8" t="str">
        <f>vw_scenario_analysis_dataset[[#This Row],[reporter_name]] &amp; "-" &amp; vw_scenario_analysis_dataset[[#This Row],[reference_year]]</f>
        <v>Zambia-2020</v>
      </c>
    </row>
    <row r="1617" spans="1:15" x14ac:dyDescent="0.3">
      <c r="A1617" s="8" t="s">
        <v>373</v>
      </c>
      <c r="B1617" s="8" t="s">
        <v>374</v>
      </c>
      <c r="C1617" s="8">
        <v>2021</v>
      </c>
      <c r="D1617" s="8">
        <v>22026281233.378998</v>
      </c>
      <c r="E1617" s="8">
        <v>22096416932</v>
      </c>
      <c r="F1617" s="8">
        <v>19603607</v>
      </c>
      <c r="G1617" s="8">
        <v>6.2349220470000004</v>
      </c>
      <c r="H1617" s="8">
        <v>86.208511189999996</v>
      </c>
      <c r="I1617" s="8">
        <v>1123.58</v>
      </c>
      <c r="J1617" s="8">
        <v>1127.1600000000001</v>
      </c>
      <c r="K1617" s="8">
        <v>99.68</v>
      </c>
      <c r="L1617" s="8">
        <v>81</v>
      </c>
      <c r="M1617" s="8">
        <v>15847843833.143015</v>
      </c>
      <c r="N1617" s="8">
        <v>38.99</v>
      </c>
      <c r="O1617" s="8" t="str">
        <f>vw_scenario_analysis_dataset[[#This Row],[reporter_name]] &amp; "-" &amp; vw_scenario_analysis_dataset[[#This Row],[reference_year]]</f>
        <v>Zambia-2021</v>
      </c>
    </row>
    <row r="1618" spans="1:15" x14ac:dyDescent="0.3">
      <c r="A1618" s="8" t="s">
        <v>373</v>
      </c>
      <c r="B1618" s="8" t="s">
        <v>374</v>
      </c>
      <c r="C1618" s="8">
        <v>2022</v>
      </c>
      <c r="D1618" s="8">
        <v>23285538818.321991</v>
      </c>
      <c r="E1618" s="8">
        <v>29163782140</v>
      </c>
      <c r="F1618" s="8">
        <v>20152938</v>
      </c>
      <c r="G1618" s="8">
        <v>5.2112236039999997</v>
      </c>
      <c r="H1618" s="8">
        <v>69.297315420000004</v>
      </c>
      <c r="I1618" s="8">
        <v>1155.44</v>
      </c>
      <c r="J1618" s="8">
        <v>1447.12</v>
      </c>
      <c r="K1618" s="8">
        <v>79.84</v>
      </c>
      <c r="L1618" s="8">
        <v>81</v>
      </c>
      <c r="M1618" s="8">
        <v>22026281233.378998</v>
      </c>
      <c r="N1618" s="8">
        <v>5.72</v>
      </c>
      <c r="O1618" s="8" t="str">
        <f>vw_scenario_analysis_dataset[[#This Row],[reporter_name]] &amp; "-" &amp; vw_scenario_analysis_dataset[[#This Row],[reference_year]]</f>
        <v>Zambia-2022</v>
      </c>
    </row>
    <row r="1619" spans="1:15" x14ac:dyDescent="0.3">
      <c r="A1619" s="8" t="s">
        <v>373</v>
      </c>
      <c r="B1619" s="8" t="s">
        <v>374</v>
      </c>
      <c r="C1619" s="8">
        <v>2023</v>
      </c>
      <c r="D1619" s="8">
        <v>20862367431.222008</v>
      </c>
      <c r="E1619" s="8">
        <v>27577956471</v>
      </c>
      <c r="F1619" s="8">
        <v>20723965</v>
      </c>
      <c r="G1619" s="8">
        <v>5.3679428549999999</v>
      </c>
      <c r="H1619" s="8">
        <v>78.241887050000003</v>
      </c>
      <c r="I1619" s="8">
        <v>1006.68</v>
      </c>
      <c r="J1619" s="8">
        <v>1330.73</v>
      </c>
      <c r="K1619" s="8">
        <v>75.650000000000006</v>
      </c>
      <c r="L1619" s="8">
        <v>83</v>
      </c>
      <c r="M1619" s="8">
        <v>23285538818.321991</v>
      </c>
      <c r="N1619" s="8">
        <v>-10.41</v>
      </c>
      <c r="O1619" s="8" t="str">
        <f>vw_scenario_analysis_dataset[[#This Row],[reporter_name]] &amp; "-" &amp; vw_scenario_analysis_dataset[[#This Row],[reference_year]]</f>
        <v>Zambia-2023</v>
      </c>
    </row>
    <row r="1620" spans="1:15" x14ac:dyDescent="0.3">
      <c r="A1620" s="8" t="s">
        <v>373</v>
      </c>
      <c r="B1620" s="8" t="s">
        <v>374</v>
      </c>
      <c r="C1620" s="8">
        <v>2024</v>
      </c>
      <c r="D1620" s="8">
        <v>22551659006.072994</v>
      </c>
      <c r="E1620" s="8">
        <v>25303185342</v>
      </c>
      <c r="F1620" s="8">
        <v>21314956</v>
      </c>
      <c r="G1620" s="8">
        <v>3.8200482550000001</v>
      </c>
      <c r="H1620" s="8">
        <v>62.534887410000003</v>
      </c>
      <c r="I1620" s="8">
        <v>1058.02</v>
      </c>
      <c r="J1620" s="8">
        <v>1187.1099999999999</v>
      </c>
      <c r="K1620" s="8">
        <v>89.13</v>
      </c>
      <c r="L1620" s="8">
        <v>76</v>
      </c>
      <c r="M1620" s="8">
        <v>20862367431.222008</v>
      </c>
      <c r="N1620" s="8">
        <v>8.1</v>
      </c>
      <c r="O1620" s="8" t="str">
        <f>vw_scenario_analysis_dataset[[#This Row],[reporter_name]] &amp; "-" &amp; vw_scenario_analysis_dataset[[#This Row],[reference_year]]</f>
        <v>Zambia-2024</v>
      </c>
    </row>
    <row r="1621" spans="1:15" x14ac:dyDescent="0.3">
      <c r="A1621" s="8" t="s">
        <v>375</v>
      </c>
      <c r="B1621" s="8" t="s">
        <v>376</v>
      </c>
      <c r="C1621" s="8">
        <v>2015</v>
      </c>
      <c r="D1621" s="8">
        <v>6821318261.1800013</v>
      </c>
      <c r="E1621" s="8">
        <v>19973250000</v>
      </c>
      <c r="F1621" s="8">
        <v>14399013</v>
      </c>
      <c r="G1621" s="8">
        <v>1.7798535639999999</v>
      </c>
      <c r="H1621" s="8">
        <v>56.749652660000002</v>
      </c>
      <c r="I1621" s="8">
        <v>473.74</v>
      </c>
      <c r="J1621" s="8">
        <v>1387.13</v>
      </c>
      <c r="K1621" s="8">
        <v>34.15</v>
      </c>
      <c r="L1621" s="8">
        <v>105</v>
      </c>
      <c r="M1621" s="8"/>
      <c r="N1621" s="8"/>
      <c r="O1621" s="8" t="str">
        <f>vw_scenario_analysis_dataset[[#This Row],[reporter_name]] &amp; "-" &amp; vw_scenario_analysis_dataset[[#This Row],[reference_year]]</f>
        <v>Zimbabwe-2015</v>
      </c>
    </row>
    <row r="1622" spans="1:15" x14ac:dyDescent="0.3">
      <c r="A1622" s="8" t="s">
        <v>375</v>
      </c>
      <c r="B1622" s="8" t="s">
        <v>376</v>
      </c>
      <c r="C1622" s="8">
        <v>2016</v>
      </c>
      <c r="D1622" s="8">
        <v>6682302191.9000015</v>
      </c>
      <c r="E1622" s="8">
        <v>20559250000</v>
      </c>
      <c r="F1622" s="8">
        <v>14600294</v>
      </c>
      <c r="G1622" s="8">
        <v>0.75579405899999996</v>
      </c>
      <c r="H1622" s="8">
        <v>51.219037659999998</v>
      </c>
      <c r="I1622" s="8">
        <v>457.68</v>
      </c>
      <c r="J1622" s="8">
        <v>1408.14</v>
      </c>
      <c r="K1622" s="8">
        <v>32.5</v>
      </c>
      <c r="L1622" s="8">
        <v>106</v>
      </c>
      <c r="M1622" s="8">
        <v>6821318261.1800013</v>
      </c>
      <c r="N1622" s="8">
        <v>-2.04</v>
      </c>
      <c r="O1622" s="8" t="str">
        <f>vw_scenario_analysis_dataset[[#This Row],[reporter_name]] &amp; "-" &amp; vw_scenario_analysis_dataset[[#This Row],[reference_year]]</f>
        <v>Zimbabwe-2016</v>
      </c>
    </row>
    <row r="1623" spans="1:15" x14ac:dyDescent="0.3">
      <c r="A1623" s="8" t="s">
        <v>375</v>
      </c>
      <c r="B1623" s="8" t="s">
        <v>376</v>
      </c>
      <c r="C1623" s="8">
        <v>2017</v>
      </c>
      <c r="D1623" s="8">
        <v>6960763733.9000015</v>
      </c>
      <c r="E1623" s="8">
        <v>51035657371</v>
      </c>
      <c r="F1623" s="8">
        <v>14812482</v>
      </c>
      <c r="G1623" s="8">
        <v>4.7344111780000002</v>
      </c>
      <c r="H1623" s="8">
        <v>55.028317829999999</v>
      </c>
      <c r="I1623" s="8">
        <v>469.93</v>
      </c>
      <c r="J1623" s="8">
        <v>3445.45</v>
      </c>
      <c r="K1623" s="8">
        <v>13.64</v>
      </c>
      <c r="L1623" s="8">
        <v>108</v>
      </c>
      <c r="M1623" s="8">
        <v>6682302191.9000015</v>
      </c>
      <c r="N1623" s="8">
        <v>4.17</v>
      </c>
      <c r="O1623" s="8" t="str">
        <f>vw_scenario_analysis_dataset[[#This Row],[reporter_name]] &amp; "-" &amp; vw_scenario_analysis_dataset[[#This Row],[reference_year]]</f>
        <v>Zimbabwe-2017</v>
      </c>
    </row>
    <row r="1624" spans="1:15" x14ac:dyDescent="0.3">
      <c r="A1624" s="8" t="s">
        <v>375</v>
      </c>
      <c r="B1624" s="8" t="s">
        <v>376</v>
      </c>
      <c r="C1624" s="8">
        <v>2018</v>
      </c>
      <c r="D1624" s="8">
        <v>8074534139.8999977</v>
      </c>
      <c r="E1624" s="8">
        <v>34141666667</v>
      </c>
      <c r="F1624" s="8">
        <v>15034452</v>
      </c>
      <c r="G1624" s="8">
        <v>5.0099215429999999</v>
      </c>
      <c r="H1624" s="8">
        <v>54.550316590000001</v>
      </c>
      <c r="I1624" s="8">
        <v>537.07000000000005</v>
      </c>
      <c r="J1624" s="8">
        <v>2270.9</v>
      </c>
      <c r="K1624" s="8">
        <v>23.65</v>
      </c>
      <c r="L1624" s="8">
        <v>103</v>
      </c>
      <c r="M1624" s="8">
        <v>6960763733.9000015</v>
      </c>
      <c r="N1624" s="8">
        <v>16</v>
      </c>
      <c r="O1624" s="8" t="str">
        <f>vw_scenario_analysis_dataset[[#This Row],[reporter_name]] &amp; "-" &amp; vw_scenario_analysis_dataset[[#This Row],[reference_year]]</f>
        <v>Zimbabwe-2018</v>
      </c>
    </row>
    <row r="1625" spans="1:15" x14ac:dyDescent="0.3">
      <c r="A1625" s="8" t="s">
        <v>375</v>
      </c>
      <c r="B1625" s="8" t="s">
        <v>376</v>
      </c>
      <c r="C1625" s="8">
        <v>2019</v>
      </c>
      <c r="D1625" s="8">
        <v>8558767075.3600006</v>
      </c>
      <c r="E1625" s="8">
        <v>33360632553</v>
      </c>
      <c r="F1625" s="8">
        <v>15271368</v>
      </c>
      <c r="G1625" s="8">
        <v>-6.3324497600000003</v>
      </c>
      <c r="H1625" s="8">
        <v>36.517868499999999</v>
      </c>
      <c r="I1625" s="8">
        <v>560.45000000000005</v>
      </c>
      <c r="J1625" s="8">
        <v>2184.52</v>
      </c>
      <c r="K1625" s="8">
        <v>25.66</v>
      </c>
      <c r="L1625" s="8">
        <v>103</v>
      </c>
      <c r="M1625" s="8">
        <v>8074534139.8999977</v>
      </c>
      <c r="N1625" s="8">
        <v>6</v>
      </c>
      <c r="O1625" s="8" t="str">
        <f>vw_scenario_analysis_dataset[[#This Row],[reporter_name]] &amp; "-" &amp; vw_scenario_analysis_dataset[[#This Row],[reference_year]]</f>
        <v>Zimbabwe-2019</v>
      </c>
    </row>
    <row r="1626" spans="1:15" x14ac:dyDescent="0.3">
      <c r="A1626" s="8" t="s">
        <v>375</v>
      </c>
      <c r="B1626" s="8" t="s">
        <v>376</v>
      </c>
      <c r="C1626" s="8">
        <v>2020</v>
      </c>
      <c r="D1626" s="8">
        <v>8789623253.998003</v>
      </c>
      <c r="E1626" s="8">
        <v>31979753645</v>
      </c>
      <c r="F1626" s="8">
        <v>15526888</v>
      </c>
      <c r="G1626" s="8">
        <v>-7.8169506020000004</v>
      </c>
      <c r="H1626" s="8">
        <v>31.82256988</v>
      </c>
      <c r="I1626" s="8">
        <v>566.09</v>
      </c>
      <c r="J1626" s="8">
        <v>2059.64</v>
      </c>
      <c r="K1626" s="8">
        <v>27.48</v>
      </c>
      <c r="L1626" s="8">
        <v>100</v>
      </c>
      <c r="M1626" s="8">
        <v>8558767075.3600006</v>
      </c>
      <c r="N1626" s="8">
        <v>2.7</v>
      </c>
      <c r="O1626" s="8" t="str">
        <f>vw_scenario_analysis_dataset[[#This Row],[reporter_name]] &amp; "-" &amp; vw_scenario_analysis_dataset[[#This Row],[reference_year]]</f>
        <v>Zimbabwe-2020</v>
      </c>
    </row>
    <row r="1627" spans="1:15" x14ac:dyDescent="0.3">
      <c r="A1627" s="8" t="s">
        <v>375</v>
      </c>
      <c r="B1627" s="8" t="s">
        <v>376</v>
      </c>
      <c r="C1627" s="8">
        <v>2021</v>
      </c>
      <c r="D1627" s="8">
        <v>12072376480.082001</v>
      </c>
      <c r="E1627" s="8">
        <v>41287852524</v>
      </c>
      <c r="F1627" s="8">
        <v>15797210</v>
      </c>
      <c r="G1627" s="8">
        <v>8.468016768</v>
      </c>
      <c r="H1627" s="8">
        <v>34.940116949999997</v>
      </c>
      <c r="I1627" s="8">
        <v>764.21</v>
      </c>
      <c r="J1627" s="8">
        <v>2613.62</v>
      </c>
      <c r="K1627" s="8">
        <v>29.24</v>
      </c>
      <c r="L1627" s="8">
        <v>98</v>
      </c>
      <c r="M1627" s="8">
        <v>8789623253.998003</v>
      </c>
      <c r="N1627" s="8">
        <v>37.35</v>
      </c>
      <c r="O1627" s="8" t="str">
        <f>vw_scenario_analysis_dataset[[#This Row],[reporter_name]] &amp; "-" &amp; vw_scenario_analysis_dataset[[#This Row],[reference_year]]</f>
        <v>Zimbabwe-2021</v>
      </c>
    </row>
    <row r="1628" spans="1:15" x14ac:dyDescent="0.3">
      <c r="A1628" s="8" t="s">
        <v>375</v>
      </c>
      <c r="B1628" s="8" t="s">
        <v>376</v>
      </c>
      <c r="C1628" s="8">
        <v>2022</v>
      </c>
      <c r="D1628" s="8">
        <v>13172416698.749998</v>
      </c>
      <c r="E1628" s="8">
        <v>40757585309</v>
      </c>
      <c r="F1628" s="8">
        <v>16069056</v>
      </c>
      <c r="G1628" s="8">
        <v>6.1392632760000003</v>
      </c>
      <c r="H1628" s="8">
        <v>43.615076430000002</v>
      </c>
      <c r="I1628" s="8">
        <v>819.74</v>
      </c>
      <c r="J1628" s="8">
        <v>2536.4</v>
      </c>
      <c r="K1628" s="8">
        <v>32.32</v>
      </c>
      <c r="L1628" s="8">
        <v>99</v>
      </c>
      <c r="M1628" s="8">
        <v>12072376480.082001</v>
      </c>
      <c r="N1628" s="8">
        <v>9.11</v>
      </c>
      <c r="O1628" s="8" t="str">
        <f>vw_scenario_analysis_dataset[[#This Row],[reporter_name]] &amp; "-" &amp; vw_scenario_analysis_dataset[[#This Row],[reference_year]]</f>
        <v>Zimbabwe-2022</v>
      </c>
    </row>
    <row r="1629" spans="1:15" x14ac:dyDescent="0.3">
      <c r="A1629" s="8" t="s">
        <v>375</v>
      </c>
      <c r="B1629" s="8" t="s">
        <v>376</v>
      </c>
      <c r="C1629" s="8">
        <v>2023</v>
      </c>
      <c r="D1629" s="8">
        <v>14451171906.619997</v>
      </c>
      <c r="E1629" s="8">
        <v>35871781303</v>
      </c>
      <c r="F1629" s="8">
        <v>16340822</v>
      </c>
      <c r="G1629" s="8">
        <v>5.3508687909999999</v>
      </c>
      <c r="H1629" s="8">
        <v>40.291261200000001</v>
      </c>
      <c r="I1629" s="8">
        <v>884.36</v>
      </c>
      <c r="J1629" s="8">
        <v>2195.23</v>
      </c>
      <c r="K1629" s="8">
        <v>40.29</v>
      </c>
      <c r="L1629" s="8">
        <v>94</v>
      </c>
      <c r="M1629" s="8">
        <v>13172416698.749998</v>
      </c>
      <c r="N1629" s="8">
        <v>9.7100000000000009</v>
      </c>
      <c r="O1629" s="8" t="str">
        <f>vw_scenario_analysis_dataset[[#This Row],[reporter_name]] &amp; "-" &amp; vw_scenario_analysis_dataset[[#This Row],[reference_year]]</f>
        <v>Zimbabwe-2023</v>
      </c>
    </row>
    <row r="1630" spans="1:15" x14ac:dyDescent="0.3">
      <c r="A1630" s="8" t="s">
        <v>375</v>
      </c>
      <c r="B1630" s="8" t="s">
        <v>376</v>
      </c>
      <c r="C1630" s="8">
        <v>2024</v>
      </c>
      <c r="D1630" s="8">
        <v>14868878012.427999</v>
      </c>
      <c r="E1630" s="8">
        <v>41521975830</v>
      </c>
      <c r="F1630" s="8">
        <v>16634373</v>
      </c>
      <c r="G1630" s="8">
        <v>1.6764945490000001</v>
      </c>
      <c r="H1630" s="8">
        <v>41.503952720000001</v>
      </c>
      <c r="I1630" s="8">
        <v>893.86</v>
      </c>
      <c r="J1630" s="8">
        <v>2496.16</v>
      </c>
      <c r="K1630" s="8">
        <v>35.81</v>
      </c>
      <c r="L1630" s="8">
        <v>89</v>
      </c>
      <c r="M1630" s="8">
        <v>14451171906.619997</v>
      </c>
      <c r="N1630" s="8">
        <v>2.89</v>
      </c>
      <c r="O1630" s="8" t="str">
        <f>vw_scenario_analysis_dataset[[#This Row],[reporter_name]] &amp; "-" &amp; vw_scenario_analysis_dataset[[#This Row],[reference_year]]</f>
        <v>Zimbabwe-2024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DB645-9CDB-4A01-A7F0-1C6BBDAA393F}">
  <sheetPr>
    <tabColor theme="4" tint="0.39997558519241921"/>
  </sheetPr>
  <dimension ref="A1:U47"/>
  <sheetViews>
    <sheetView showGridLines="0" topLeftCell="A13" zoomScale="120" zoomScaleNormal="120" workbookViewId="0">
      <selection activeCell="G26" sqref="G26:H26"/>
    </sheetView>
  </sheetViews>
  <sheetFormatPr defaultRowHeight="14.4" x14ac:dyDescent="0.3"/>
  <cols>
    <col min="1" max="1" width="8.88671875" style="3"/>
    <col min="2" max="2" width="18.109375" style="3" customWidth="1"/>
    <col min="3" max="3" width="21.33203125" style="3" bestFit="1" customWidth="1"/>
    <col min="4" max="12" width="8.88671875" style="3"/>
    <col min="13" max="13" width="18.33203125" style="3" customWidth="1"/>
    <col min="14" max="16384" width="8.88671875" style="3"/>
  </cols>
  <sheetData>
    <row r="1" spans="1:21" ht="14.4" customHeight="1" x14ac:dyDescent="0.3">
      <c r="A1" s="15" t="s">
        <v>416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21" x14ac:dyDescent="0.3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21" ht="14.4" customHeight="1" x14ac:dyDescent="0.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</row>
    <row r="4" spans="1:21" x14ac:dyDescent="0.3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</row>
    <row r="5" spans="1:21" x14ac:dyDescent="0.3">
      <c r="A5"/>
      <c r="B5"/>
      <c r="C5"/>
      <c r="D5"/>
      <c r="E5"/>
      <c r="F5"/>
      <c r="G5"/>
      <c r="H5"/>
      <c r="I5"/>
      <c r="J5"/>
      <c r="K5"/>
      <c r="L5"/>
      <c r="M5"/>
    </row>
    <row r="6" spans="1:21" x14ac:dyDescent="0.3">
      <c r="A6"/>
      <c r="B6"/>
      <c r="C6"/>
      <c r="D6"/>
      <c r="E6"/>
      <c r="F6"/>
      <c r="G6"/>
      <c r="H6"/>
      <c r="I6"/>
      <c r="J6"/>
      <c r="K6"/>
      <c r="L6"/>
      <c r="M6"/>
    </row>
    <row r="7" spans="1:21" ht="18" x14ac:dyDescent="0.3">
      <c r="A7" s="16" t="s">
        <v>378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</row>
    <row r="9" spans="1:21" ht="15.6" x14ac:dyDescent="0.3">
      <c r="A9" s="17" t="s">
        <v>379</v>
      </c>
      <c r="B9" s="17"/>
      <c r="C9" s="18" t="s">
        <v>382</v>
      </c>
      <c r="D9" s="18"/>
      <c r="E9" s="18"/>
      <c r="F9"/>
      <c r="G9"/>
      <c r="H9"/>
      <c r="I9"/>
      <c r="J9"/>
      <c r="K9"/>
      <c r="L9"/>
      <c r="M9"/>
    </row>
    <row r="10" spans="1:21" ht="15.6" x14ac:dyDescent="0.3">
      <c r="A10" s="17" t="s">
        <v>380</v>
      </c>
      <c r="B10" s="17"/>
      <c r="C10" s="18" t="s">
        <v>383</v>
      </c>
      <c r="D10" s="18"/>
      <c r="E10" s="18"/>
      <c r="F10"/>
      <c r="G10"/>
      <c r="H10"/>
      <c r="I10"/>
      <c r="J10"/>
      <c r="K10"/>
      <c r="L10"/>
      <c r="M10"/>
    </row>
    <row r="11" spans="1:21" ht="15.6" x14ac:dyDescent="0.3">
      <c r="A11" s="17" t="s">
        <v>381</v>
      </c>
      <c r="B11" s="17"/>
      <c r="C11" s="19">
        <f ca="1">TODAY()</f>
        <v>46234</v>
      </c>
      <c r="D11" s="19"/>
      <c r="E11" s="19"/>
      <c r="F11"/>
      <c r="G11"/>
      <c r="H11"/>
      <c r="I11"/>
      <c r="J11"/>
      <c r="K11"/>
      <c r="L11"/>
      <c r="M11"/>
    </row>
    <row r="12" spans="1:2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T12" s="23"/>
      <c r="U12" s="23"/>
    </row>
    <row r="13" spans="1:21" x14ac:dyDescent="0.3">
      <c r="A13"/>
      <c r="B13"/>
      <c r="C13"/>
      <c r="D13"/>
      <c r="E13"/>
      <c r="F13"/>
      <c r="G13"/>
      <c r="H13"/>
      <c r="I13"/>
      <c r="J13"/>
      <c r="K13"/>
      <c r="L13"/>
      <c r="M13"/>
    </row>
    <row r="14" spans="1:21" ht="18" x14ac:dyDescent="0.3">
      <c r="A14" s="16" t="s">
        <v>388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</row>
    <row r="15" spans="1:21" x14ac:dyDescent="0.3">
      <c r="A15"/>
      <c r="B15"/>
      <c r="C15"/>
      <c r="D15"/>
      <c r="E15"/>
      <c r="F15"/>
      <c r="G15"/>
      <c r="H15"/>
      <c r="I15"/>
      <c r="J15"/>
      <c r="K15"/>
      <c r="L15"/>
      <c r="M15"/>
    </row>
    <row r="16" spans="1:21" ht="15.6" x14ac:dyDescent="0.3">
      <c r="A16" s="17" t="s">
        <v>385</v>
      </c>
      <c r="B16" s="17"/>
      <c r="C16" s="6" t="s">
        <v>81</v>
      </c>
      <c r="D16"/>
      <c r="E16"/>
      <c r="F16"/>
      <c r="G16" s="7"/>
      <c r="H16" s="28"/>
      <c r="I16" s="28"/>
      <c r="J16" s="18" t="s">
        <v>400</v>
      </c>
      <c r="K16" s="18"/>
      <c r="L16" s="18" t="str">
        <f>C16&amp;"-"&amp;C17</f>
        <v>China-2017</v>
      </c>
      <c r="M16" s="18"/>
    </row>
    <row r="17" spans="1:17" ht="15.6" x14ac:dyDescent="0.3">
      <c r="A17" s="17" t="s">
        <v>384</v>
      </c>
      <c r="B17" s="17"/>
      <c r="C17" s="6">
        <v>2017</v>
      </c>
      <c r="D17"/>
      <c r="E17"/>
      <c r="F17"/>
      <c r="G17"/>
      <c r="H17"/>
      <c r="I17"/>
      <c r="J17"/>
      <c r="K17"/>
      <c r="L17"/>
      <c r="M17"/>
    </row>
    <row r="18" spans="1:17" ht="15.6" x14ac:dyDescent="0.3">
      <c r="A18" s="2"/>
      <c r="B18" s="2"/>
      <c r="C18" s="7"/>
      <c r="D18"/>
      <c r="E18"/>
      <c r="F18"/>
      <c r="G18"/>
      <c r="H18"/>
      <c r="I18"/>
      <c r="J18"/>
      <c r="K18"/>
      <c r="L18"/>
      <c r="M18"/>
    </row>
    <row r="19" spans="1:17" x14ac:dyDescent="0.3">
      <c r="A19"/>
      <c r="B19"/>
      <c r="C19"/>
      <c r="D19"/>
      <c r="E19"/>
      <c r="F19"/>
      <c r="G19"/>
      <c r="H19"/>
      <c r="I19"/>
      <c r="J19"/>
      <c r="K19"/>
      <c r="L19"/>
      <c r="M19"/>
    </row>
    <row r="20" spans="1:17" x14ac:dyDescent="0.3">
      <c r="A20"/>
      <c r="B20"/>
      <c r="C20"/>
      <c r="D20"/>
      <c r="E20"/>
      <c r="F20"/>
      <c r="G20"/>
      <c r="H20"/>
      <c r="I20"/>
      <c r="J20"/>
      <c r="K20"/>
      <c r="L20"/>
      <c r="M20"/>
    </row>
    <row r="21" spans="1:17" ht="18" x14ac:dyDescent="0.3">
      <c r="A21" s="16" t="s">
        <v>389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</row>
    <row r="22" spans="1:17" ht="15" thickBot="1" x14ac:dyDescent="0.35"/>
    <row r="23" spans="1:17" ht="18" thickBot="1" x14ac:dyDescent="0.35">
      <c r="A23" s="26" t="s">
        <v>390</v>
      </c>
      <c r="B23" s="27"/>
      <c r="C23" s="27" t="s">
        <v>391</v>
      </c>
      <c r="D23" s="27"/>
      <c r="E23" s="27" t="s">
        <v>404</v>
      </c>
      <c r="F23" s="27"/>
      <c r="G23" s="27" t="s">
        <v>392</v>
      </c>
      <c r="H23" s="27"/>
      <c r="I23" s="27" t="s">
        <v>393</v>
      </c>
      <c r="J23" s="27"/>
    </row>
    <row r="24" spans="1:17" ht="15.6" x14ac:dyDescent="0.3">
      <c r="A24" s="21" t="s">
        <v>394</v>
      </c>
      <c r="B24" s="21"/>
      <c r="C24" s="24">
        <f>IFERROR(_xlfn.XLOOKUP($L$16,SQL_Data_Import!$O:$O,SQL_Data_Import!$D:$D)/1000000000, "No Data Available")</f>
        <v>4526.741008602</v>
      </c>
      <c r="D24" s="24"/>
      <c r="E24" s="30" t="s">
        <v>405</v>
      </c>
      <c r="F24" s="30"/>
      <c r="G24" s="30">
        <v>5000</v>
      </c>
      <c r="H24" s="30"/>
      <c r="I24" s="34">
        <f t="shared" ref="I24:I31" si="0">IFERROR((G24-C24)/C24,"")</f>
        <v>0.10454739745408083</v>
      </c>
      <c r="J24" s="34"/>
    </row>
    <row r="25" spans="1:17" ht="15.6" x14ac:dyDescent="0.3">
      <c r="A25" s="22" t="s">
        <v>395</v>
      </c>
      <c r="B25" s="22"/>
      <c r="C25" s="25">
        <f>IFERROR(_xlfn.XLOOKUP($L$16,SQL_Data_Import!$O:$O,SQL_Data_Import!$E:$E)/1000000000, "No Data Available")</f>
        <v>12500</v>
      </c>
      <c r="D25" s="25"/>
      <c r="E25" s="29" t="s">
        <v>405</v>
      </c>
      <c r="F25" s="29"/>
      <c r="G25" s="29">
        <v>13298.98</v>
      </c>
      <c r="H25" s="29"/>
      <c r="I25" s="32">
        <f t="shared" si="0"/>
        <v>6.3918399999999959E-2</v>
      </c>
      <c r="J25" s="32"/>
    </row>
    <row r="26" spans="1:17" ht="15.6" x14ac:dyDescent="0.3">
      <c r="A26" s="22" t="s">
        <v>396</v>
      </c>
      <c r="B26" s="22"/>
      <c r="C26" s="25">
        <f>IFERROR(_xlfn.XLOOKUP($L$16,SQL_Data_Import!$O:$O,SQL_Data_Import!$F:$F)/1000000000, "No Data Available")</f>
        <v>1.396215</v>
      </c>
      <c r="D26" s="25"/>
      <c r="E26" s="29" t="s">
        <v>406</v>
      </c>
      <c r="F26" s="29"/>
      <c r="G26" s="29">
        <v>1.54</v>
      </c>
      <c r="H26" s="29"/>
      <c r="I26" s="32">
        <f t="shared" si="0"/>
        <v>0.10298199059600424</v>
      </c>
      <c r="J26" s="32"/>
      <c r="L26" s="23"/>
      <c r="M26" s="23"/>
    </row>
    <row r="27" spans="1:17" ht="15.6" x14ac:dyDescent="0.3">
      <c r="A27" s="22" t="s">
        <v>401</v>
      </c>
      <c r="B27" s="22"/>
      <c r="C27" s="20">
        <f>IFERROR(_xlfn.XLOOKUP($L$16,SQL_Data_Import!$O:$O,SQL_Data_Import!$G:$G), "No Data Available")</f>
        <v>6.8912391660000001</v>
      </c>
      <c r="D27" s="20"/>
      <c r="E27" s="29" t="s">
        <v>407</v>
      </c>
      <c r="F27" s="29"/>
      <c r="G27" s="33">
        <v>1.62</v>
      </c>
      <c r="H27" s="33"/>
      <c r="I27" s="32">
        <f t="shared" si="0"/>
        <v>-0.76491891211775709</v>
      </c>
      <c r="J27" s="32"/>
      <c r="L27" s="23"/>
      <c r="M27" s="23"/>
    </row>
    <row r="28" spans="1:17" ht="15.6" x14ac:dyDescent="0.3">
      <c r="A28" s="22" t="s">
        <v>402</v>
      </c>
      <c r="B28" s="22"/>
      <c r="C28" s="20">
        <f>IFERROR(_xlfn.XLOOKUP($L$16,SQL_Data_Import!$O:$O,SQL_Data_Import!$H:$H), "No Data Available")</f>
        <v>36.950852619999999</v>
      </c>
      <c r="D28" s="20"/>
      <c r="E28" s="29" t="s">
        <v>407</v>
      </c>
      <c r="F28" s="29"/>
      <c r="G28" s="33">
        <v>63.2</v>
      </c>
      <c r="H28" s="33"/>
      <c r="I28" s="32">
        <f t="shared" si="0"/>
        <v>0.71038001883053714</v>
      </c>
      <c r="J28" s="32"/>
      <c r="L28" s="23"/>
      <c r="M28" s="23"/>
    </row>
    <row r="29" spans="1:17" ht="15.6" x14ac:dyDescent="0.3">
      <c r="A29" s="22" t="s">
        <v>397</v>
      </c>
      <c r="B29" s="22"/>
      <c r="C29" s="25">
        <f>IFERROR(_xlfn.XLOOKUP($L$16,SQL_Data_Import!$O:$O,SQL_Data_Import!$I:$I),"No Data Available")</f>
        <v>3242.15</v>
      </c>
      <c r="D29" s="25"/>
      <c r="E29" s="29" t="s">
        <v>408</v>
      </c>
      <c r="F29" s="29"/>
      <c r="G29" s="29">
        <v>630.75</v>
      </c>
      <c r="H29" s="29"/>
      <c r="I29" s="32">
        <f t="shared" si="0"/>
        <v>-0.80545317150656204</v>
      </c>
      <c r="J29" s="32"/>
      <c r="L29" s="23"/>
      <c r="M29" s="23"/>
    </row>
    <row r="30" spans="1:17" ht="15.6" x14ac:dyDescent="0.3">
      <c r="A30" s="22" t="s">
        <v>398</v>
      </c>
      <c r="B30" s="22"/>
      <c r="C30" s="25">
        <f>IFERROR(_xlfn.XLOOKUP($L$16,SQL_Data_Import!$O:$O,SQL_Data_Import!$J:$J), "No Data Available")</f>
        <v>8952.7800000000007</v>
      </c>
      <c r="D30" s="25"/>
      <c r="E30" s="29" t="s">
        <v>408</v>
      </c>
      <c r="F30" s="29"/>
      <c r="G30" s="29">
        <v>2787.98</v>
      </c>
      <c r="H30" s="29"/>
      <c r="I30" s="32">
        <f t="shared" si="0"/>
        <v>-0.68859058303677745</v>
      </c>
      <c r="J30" s="32"/>
      <c r="L30" s="23"/>
      <c r="M30" s="23"/>
    </row>
    <row r="31" spans="1:17" ht="15.6" x14ac:dyDescent="0.3">
      <c r="A31" s="22" t="s">
        <v>403</v>
      </c>
      <c r="B31" s="22"/>
      <c r="C31" s="20">
        <f>IFERROR(_xlfn.XLOOKUP($L$16,SQL_Data_Import!$O:$O,SQL_Data_Import!$K:$K), "No Data Available")</f>
        <v>36.21</v>
      </c>
      <c r="D31" s="20"/>
      <c r="E31" s="29" t="s">
        <v>407</v>
      </c>
      <c r="F31" s="29"/>
      <c r="G31" s="33">
        <v>31.5</v>
      </c>
      <c r="H31" s="33"/>
      <c r="I31" s="32">
        <f t="shared" si="0"/>
        <v>-0.13007456503728254</v>
      </c>
      <c r="J31" s="32"/>
      <c r="L31" s="23"/>
      <c r="M31" s="23"/>
    </row>
    <row r="32" spans="1:17" x14ac:dyDescent="0.3">
      <c r="I32" s="23"/>
      <c r="J32" s="23"/>
      <c r="P32" s="23"/>
      <c r="Q32" s="23"/>
    </row>
    <row r="33" spans="1:17" x14ac:dyDescent="0.3">
      <c r="G33" s="35"/>
      <c r="H33" s="35"/>
      <c r="I33" s="23"/>
      <c r="J33" s="23"/>
      <c r="P33" s="23"/>
      <c r="Q33" s="23"/>
    </row>
    <row r="34" spans="1:17" x14ac:dyDescent="0.3">
      <c r="I34" s="23"/>
      <c r="J34" s="23"/>
    </row>
    <row r="35" spans="1:17" ht="18" x14ac:dyDescent="0.3">
      <c r="A35" s="31" t="s">
        <v>409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</row>
    <row r="36" spans="1:17" x14ac:dyDescent="0.3">
      <c r="I36" s="23"/>
      <c r="J36" s="23"/>
    </row>
    <row r="37" spans="1:17" ht="15.6" x14ac:dyDescent="0.3">
      <c r="A37" s="36" t="s">
        <v>410</v>
      </c>
      <c r="B37" s="36"/>
      <c r="C37" s="36"/>
      <c r="D37" s="36"/>
      <c r="E37" s="5"/>
    </row>
    <row r="38" spans="1:17" ht="15.6" x14ac:dyDescent="0.3">
      <c r="A38" s="5"/>
      <c r="B38" s="5"/>
      <c r="C38" s="5"/>
      <c r="D38" s="5"/>
      <c r="E38" s="5"/>
    </row>
    <row r="39" spans="1:17" ht="15.6" x14ac:dyDescent="0.3">
      <c r="A39" s="36" t="s">
        <v>411</v>
      </c>
      <c r="B39" s="36"/>
      <c r="C39" s="36"/>
      <c r="D39" s="5"/>
      <c r="E39" s="5"/>
    </row>
    <row r="40" spans="1:17" ht="15.6" x14ac:dyDescent="0.3">
      <c r="A40" s="5"/>
      <c r="B40" s="5"/>
      <c r="C40" s="5"/>
      <c r="D40" s="5"/>
      <c r="E40" s="5"/>
    </row>
    <row r="41" spans="1:17" ht="15.6" x14ac:dyDescent="0.3">
      <c r="A41" s="36" t="s">
        <v>412</v>
      </c>
      <c r="B41" s="36"/>
      <c r="C41" s="36"/>
      <c r="D41" s="5"/>
      <c r="E41" s="5"/>
    </row>
    <row r="42" spans="1:17" ht="15.6" x14ac:dyDescent="0.3">
      <c r="A42" s="5"/>
      <c r="B42" s="5"/>
      <c r="C42" s="5"/>
      <c r="D42" s="5"/>
      <c r="E42" s="5"/>
    </row>
    <row r="43" spans="1:17" ht="15.6" x14ac:dyDescent="0.3">
      <c r="A43" s="36" t="s">
        <v>413</v>
      </c>
      <c r="B43" s="36"/>
      <c r="C43" s="36"/>
      <c r="D43" s="5"/>
      <c r="E43" s="5"/>
    </row>
    <row r="44" spans="1:17" ht="15.6" x14ac:dyDescent="0.3">
      <c r="A44" s="5"/>
      <c r="B44" s="5"/>
      <c r="C44" s="5"/>
      <c r="D44" s="5"/>
      <c r="E44" s="5"/>
    </row>
    <row r="45" spans="1:17" ht="15.6" x14ac:dyDescent="0.3">
      <c r="A45" s="36" t="s">
        <v>414</v>
      </c>
      <c r="B45" s="36"/>
      <c r="C45" s="36"/>
      <c r="D45" s="5"/>
      <c r="E45" s="5"/>
    </row>
    <row r="46" spans="1:17" ht="15.6" x14ac:dyDescent="0.3">
      <c r="A46" s="5"/>
      <c r="B46" s="5"/>
      <c r="C46" s="5"/>
      <c r="D46" s="5"/>
      <c r="E46" s="5"/>
    </row>
    <row r="47" spans="1:17" ht="15.6" x14ac:dyDescent="0.3">
      <c r="A47" s="5" t="s">
        <v>415</v>
      </c>
      <c r="B47" s="5"/>
      <c r="C47" s="5"/>
      <c r="D47" s="5"/>
      <c r="E47" s="5"/>
    </row>
  </sheetData>
  <mergeCells count="80">
    <mergeCell ref="A29:B29"/>
    <mergeCell ref="A45:C45"/>
    <mergeCell ref="A43:C43"/>
    <mergeCell ref="A41:C41"/>
    <mergeCell ref="A39:C39"/>
    <mergeCell ref="A37:D37"/>
    <mergeCell ref="C30:D30"/>
    <mergeCell ref="E26:F26"/>
    <mergeCell ref="E27:F27"/>
    <mergeCell ref="E28:F28"/>
    <mergeCell ref="E30:F30"/>
    <mergeCell ref="G33:H33"/>
    <mergeCell ref="G29:H29"/>
    <mergeCell ref="E29:F29"/>
    <mergeCell ref="G30:H30"/>
    <mergeCell ref="G31:H31"/>
    <mergeCell ref="E31:F31"/>
    <mergeCell ref="G26:H26"/>
    <mergeCell ref="G23:H23"/>
    <mergeCell ref="I23:J23"/>
    <mergeCell ref="G24:H24"/>
    <mergeCell ref="I24:J24"/>
    <mergeCell ref="G25:H25"/>
    <mergeCell ref="I25:J25"/>
    <mergeCell ref="I26:J26"/>
    <mergeCell ref="G27:H27"/>
    <mergeCell ref="I27:J27"/>
    <mergeCell ref="G28:H28"/>
    <mergeCell ref="I28:J28"/>
    <mergeCell ref="E24:F24"/>
    <mergeCell ref="I36:J36"/>
    <mergeCell ref="L26:M26"/>
    <mergeCell ref="L27:M27"/>
    <mergeCell ref="L28:M28"/>
    <mergeCell ref="L29:M29"/>
    <mergeCell ref="L30:M30"/>
    <mergeCell ref="L31:M31"/>
    <mergeCell ref="A35:M35"/>
    <mergeCell ref="I29:J29"/>
    <mergeCell ref="I30:J30"/>
    <mergeCell ref="I31:J31"/>
    <mergeCell ref="C29:D29"/>
    <mergeCell ref="C31:D31"/>
    <mergeCell ref="A30:B30"/>
    <mergeCell ref="A31:B31"/>
    <mergeCell ref="P32:Q32"/>
    <mergeCell ref="P33:Q33"/>
    <mergeCell ref="I32:J32"/>
    <mergeCell ref="I33:J33"/>
    <mergeCell ref="I34:J34"/>
    <mergeCell ref="T12:U12"/>
    <mergeCell ref="C24:D24"/>
    <mergeCell ref="C25:D25"/>
    <mergeCell ref="C26:D26"/>
    <mergeCell ref="C27:D27"/>
    <mergeCell ref="A14:M14"/>
    <mergeCell ref="A16:B16"/>
    <mergeCell ref="A17:B17"/>
    <mergeCell ref="A21:M21"/>
    <mergeCell ref="A23:B23"/>
    <mergeCell ref="C23:D23"/>
    <mergeCell ref="E23:F23"/>
    <mergeCell ref="H16:I16"/>
    <mergeCell ref="J16:K16"/>
    <mergeCell ref="L16:M16"/>
    <mergeCell ref="E25:F25"/>
    <mergeCell ref="C28:D28"/>
    <mergeCell ref="A24:B24"/>
    <mergeCell ref="A25:B25"/>
    <mergeCell ref="A26:B26"/>
    <mergeCell ref="A27:B27"/>
    <mergeCell ref="A28:B28"/>
    <mergeCell ref="A1:M4"/>
    <mergeCell ref="A7:M7"/>
    <mergeCell ref="A9:B9"/>
    <mergeCell ref="A10:B10"/>
    <mergeCell ref="A11:B11"/>
    <mergeCell ref="C10:E10"/>
    <mergeCell ref="C9:E9"/>
    <mergeCell ref="C11:E11"/>
  </mergeCells>
  <conditionalFormatting sqref="I24:J31">
    <cfRule type="cellIs" dxfId="22" priority="1" operator="equal">
      <formula>0</formula>
    </cfRule>
    <cfRule type="cellIs" dxfId="21" priority="2" operator="equal">
      <formula>0</formula>
    </cfRule>
    <cfRule type="cellIs" dxfId="20" priority="3" operator="lessThan">
      <formula>0</formula>
    </cfRule>
    <cfRule type="cellIs" dxfId="19" priority="4" operator="greaterThan">
      <formula>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2B49192-0B65-4B5A-ACBC-8F66039B3BFC}">
          <x14:formula1>
            <xm:f>'Hidden Sheet'!$A$1:$A$183</xm:f>
          </x14:formula1>
          <xm:sqref>C16</xm:sqref>
        </x14:dataValidation>
        <x14:dataValidation type="list" allowBlank="1" showInputMessage="1" showErrorMessage="1" xr:uid="{BCE7DA07-5DA9-4841-90AA-53C38AA7CD19}">
          <x14:formula1>
            <xm:f>'Hidden Sheet'!$E$1:$E$11</xm:f>
          </x14:formula1>
          <xm:sqref>C17:C18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C7F57-C19F-4AF0-8151-9DB760AC5D6D}">
  <sheetPr>
    <tabColor rgb="FFFFC000"/>
  </sheetPr>
  <dimension ref="A1:R58"/>
  <sheetViews>
    <sheetView showGridLines="0" topLeftCell="A5" zoomScale="120" zoomScaleNormal="120" workbookViewId="0">
      <selection activeCell="Q17" sqref="Q17"/>
    </sheetView>
  </sheetViews>
  <sheetFormatPr defaultRowHeight="14.4" x14ac:dyDescent="0.3"/>
  <cols>
    <col min="1" max="1" width="14.21875" customWidth="1"/>
    <col min="2" max="2" width="16.33203125" customWidth="1"/>
    <col min="4" max="4" width="10.33203125" bestFit="1" customWidth="1"/>
  </cols>
  <sheetData>
    <row r="1" spans="1:13" x14ac:dyDescent="0.3">
      <c r="A1" s="15" t="s">
        <v>377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x14ac:dyDescent="0.3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x14ac:dyDescent="0.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</row>
    <row r="4" spans="1:13" x14ac:dyDescent="0.3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</row>
    <row r="7" spans="1:13" ht="18" x14ac:dyDescent="0.3">
      <c r="A7" s="16" t="s">
        <v>417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</row>
    <row r="9" spans="1:13" ht="15.6" x14ac:dyDescent="0.3">
      <c r="A9" s="17" t="s">
        <v>418</v>
      </c>
      <c r="B9" s="17"/>
      <c r="C9" s="17"/>
      <c r="D9" s="37" t="str">
        <f>Assumptions!$C$9</f>
        <v>High Exports Growth</v>
      </c>
      <c r="E9" s="37"/>
      <c r="F9" s="37"/>
    </row>
    <row r="10" spans="1:13" ht="15.6" x14ac:dyDescent="0.3">
      <c r="A10" s="17" t="s">
        <v>421</v>
      </c>
      <c r="B10" s="17"/>
      <c r="C10" s="17"/>
      <c r="D10" s="37" t="str">
        <f>Assumptions!C16</f>
        <v>China</v>
      </c>
      <c r="E10" s="37"/>
      <c r="F10" s="37"/>
    </row>
    <row r="11" spans="1:13" ht="15.6" x14ac:dyDescent="0.3">
      <c r="A11" s="17" t="s">
        <v>419</v>
      </c>
      <c r="B11" s="17"/>
      <c r="C11" s="17"/>
      <c r="D11" s="37">
        <f>Assumptions!C17</f>
        <v>2017</v>
      </c>
      <c r="E11" s="37"/>
      <c r="F11" s="37"/>
    </row>
    <row r="12" spans="1:13" ht="15.6" x14ac:dyDescent="0.3">
      <c r="A12" s="17" t="s">
        <v>420</v>
      </c>
      <c r="B12" s="17"/>
      <c r="C12" s="17"/>
      <c r="D12" s="38">
        <f ca="1">TODAY()</f>
        <v>46234</v>
      </c>
      <c r="E12" s="38"/>
      <c r="F12" s="38"/>
    </row>
    <row r="15" spans="1:13" ht="18" x14ac:dyDescent="0.3">
      <c r="A15" s="16" t="s">
        <v>422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</row>
    <row r="16" spans="1:13" ht="15" thickBot="1" x14ac:dyDescent="0.35"/>
    <row r="17" spans="1:18" ht="18" thickBot="1" x14ac:dyDescent="0.35">
      <c r="A17" s="26" t="s">
        <v>423</v>
      </c>
      <c r="B17" s="27"/>
      <c r="C17" s="27" t="s">
        <v>424</v>
      </c>
      <c r="D17" s="27"/>
      <c r="E17" s="27" t="s">
        <v>425</v>
      </c>
      <c r="F17" s="27"/>
      <c r="G17" s="27" t="s">
        <v>426</v>
      </c>
      <c r="H17" s="27"/>
      <c r="I17" s="27" t="s">
        <v>427</v>
      </c>
      <c r="J17" s="27"/>
      <c r="K17" s="27" t="s">
        <v>404</v>
      </c>
      <c r="L17" s="43"/>
    </row>
    <row r="18" spans="1:18" ht="15.6" x14ac:dyDescent="0.3">
      <c r="A18" s="21" t="s">
        <v>394</v>
      </c>
      <c r="B18" s="21"/>
      <c r="C18" s="46">
        <f>Assumptions!C24</f>
        <v>4526.741008602</v>
      </c>
      <c r="D18" s="46"/>
      <c r="E18" s="40">
        <f>Assumptions!G24</f>
        <v>5000</v>
      </c>
      <c r="F18" s="40"/>
      <c r="G18" s="50">
        <f t="shared" ref="G18:G25" si="0">E18-C18</f>
        <v>473.25899139800003</v>
      </c>
      <c r="H18" s="40"/>
      <c r="I18" s="39">
        <f>Assumptions!I24</f>
        <v>0.10454739745408083</v>
      </c>
      <c r="J18" s="40"/>
      <c r="K18" s="44" t="s">
        <v>405</v>
      </c>
      <c r="L18" s="44"/>
    </row>
    <row r="19" spans="1:18" ht="15.6" x14ac:dyDescent="0.3">
      <c r="A19" s="22" t="s">
        <v>395</v>
      </c>
      <c r="B19" s="22"/>
      <c r="C19" s="47">
        <f>Assumptions!C25</f>
        <v>12500</v>
      </c>
      <c r="D19" s="47"/>
      <c r="E19" s="42">
        <f>Assumptions!G25</f>
        <v>13298.98</v>
      </c>
      <c r="F19" s="42"/>
      <c r="G19" s="49">
        <f t="shared" si="0"/>
        <v>798.97999999999956</v>
      </c>
      <c r="H19" s="42"/>
      <c r="I19" s="41">
        <f>Assumptions!I25</f>
        <v>6.3918399999999959E-2</v>
      </c>
      <c r="J19" s="42"/>
      <c r="K19" s="45" t="s">
        <v>405</v>
      </c>
      <c r="L19" s="45"/>
      <c r="Q19" s="48"/>
      <c r="R19" s="48"/>
    </row>
    <row r="20" spans="1:18" ht="15.6" x14ac:dyDescent="0.3">
      <c r="A20" s="22" t="s">
        <v>396</v>
      </c>
      <c r="B20" s="22"/>
      <c r="C20" s="47">
        <f>Assumptions!C26</f>
        <v>1.396215</v>
      </c>
      <c r="D20" s="47"/>
      <c r="E20" s="42">
        <f>Assumptions!G26</f>
        <v>1.54</v>
      </c>
      <c r="F20" s="42"/>
      <c r="G20" s="49">
        <f t="shared" si="0"/>
        <v>0.14378500000000005</v>
      </c>
      <c r="H20" s="42"/>
      <c r="I20" s="41">
        <f>Assumptions!I26</f>
        <v>0.10298199059600424</v>
      </c>
      <c r="J20" s="42"/>
      <c r="K20" s="45" t="s">
        <v>406</v>
      </c>
      <c r="L20" s="45"/>
    </row>
    <row r="21" spans="1:18" ht="15.6" x14ac:dyDescent="0.3">
      <c r="A21" s="22" t="s">
        <v>431</v>
      </c>
      <c r="B21" s="22"/>
      <c r="C21" s="47">
        <f>Assumptions!C27</f>
        <v>6.8912391660000001</v>
      </c>
      <c r="D21" s="47"/>
      <c r="E21" s="42">
        <f>Assumptions!G27</f>
        <v>1.62</v>
      </c>
      <c r="F21" s="42"/>
      <c r="G21" s="49">
        <f t="shared" si="0"/>
        <v>-5.271239166</v>
      </c>
      <c r="H21" s="42"/>
      <c r="I21" s="41">
        <f>Assumptions!I27</f>
        <v>-0.76491891211775709</v>
      </c>
      <c r="J21" s="42"/>
      <c r="K21" s="45" t="s">
        <v>407</v>
      </c>
      <c r="L21" s="45"/>
    </row>
    <row r="22" spans="1:18" ht="15.6" x14ac:dyDescent="0.3">
      <c r="A22" s="22" t="s">
        <v>428</v>
      </c>
      <c r="B22" s="22"/>
      <c r="C22" s="47">
        <f>Assumptions!C28</f>
        <v>36.950852619999999</v>
      </c>
      <c r="D22" s="47"/>
      <c r="E22" s="42">
        <f>Assumptions!G28</f>
        <v>63.2</v>
      </c>
      <c r="F22" s="42"/>
      <c r="G22" s="49">
        <f t="shared" si="0"/>
        <v>26.249147380000004</v>
      </c>
      <c r="H22" s="42"/>
      <c r="I22" s="41">
        <f>Assumptions!I28</f>
        <v>0.71038001883053714</v>
      </c>
      <c r="J22" s="42"/>
      <c r="K22" s="45" t="s">
        <v>407</v>
      </c>
      <c r="L22" s="45"/>
    </row>
    <row r="23" spans="1:18" ht="15.6" x14ac:dyDescent="0.3">
      <c r="A23" s="22" t="s">
        <v>429</v>
      </c>
      <c r="B23" s="22"/>
      <c r="C23" s="47">
        <f>Assumptions!C29</f>
        <v>3242.15</v>
      </c>
      <c r="D23" s="47"/>
      <c r="E23" s="42">
        <f>Assumptions!G29</f>
        <v>630.75</v>
      </c>
      <c r="F23" s="42"/>
      <c r="G23" s="49">
        <f t="shared" si="0"/>
        <v>-2611.4</v>
      </c>
      <c r="H23" s="42"/>
      <c r="I23" s="41">
        <f>Assumptions!I29</f>
        <v>-0.80545317150656204</v>
      </c>
      <c r="J23" s="42"/>
      <c r="K23" s="45" t="s">
        <v>408</v>
      </c>
      <c r="L23" s="45"/>
    </row>
    <row r="24" spans="1:18" ht="15.6" x14ac:dyDescent="0.3">
      <c r="A24" s="22" t="s">
        <v>398</v>
      </c>
      <c r="B24" s="22"/>
      <c r="C24" s="47">
        <f>Assumptions!C30</f>
        <v>8952.7800000000007</v>
      </c>
      <c r="D24" s="47"/>
      <c r="E24" s="42">
        <f>Assumptions!G30</f>
        <v>2787.98</v>
      </c>
      <c r="F24" s="42"/>
      <c r="G24" s="49">
        <f t="shared" si="0"/>
        <v>-6164.8000000000011</v>
      </c>
      <c r="H24" s="42"/>
      <c r="I24" s="41">
        <f>Assumptions!I30</f>
        <v>-0.68859058303677745</v>
      </c>
      <c r="J24" s="42"/>
      <c r="K24" s="45" t="s">
        <v>408</v>
      </c>
      <c r="L24" s="45"/>
    </row>
    <row r="25" spans="1:18" ht="15.6" x14ac:dyDescent="0.3">
      <c r="A25" s="22" t="s">
        <v>430</v>
      </c>
      <c r="B25" s="22"/>
      <c r="C25" s="47">
        <f>Assumptions!C31</f>
        <v>36.21</v>
      </c>
      <c r="D25" s="47"/>
      <c r="E25" s="42">
        <f>Assumptions!G31</f>
        <v>31.5</v>
      </c>
      <c r="F25" s="42"/>
      <c r="G25" s="47">
        <f t="shared" si="0"/>
        <v>-4.7100000000000009</v>
      </c>
      <c r="H25" s="37"/>
      <c r="I25" s="41">
        <f>Assumptions!I31</f>
        <v>-0.13007456503728254</v>
      </c>
      <c r="J25" s="42"/>
      <c r="K25" s="45" t="s">
        <v>407</v>
      </c>
      <c r="L25" s="45"/>
    </row>
    <row r="28" spans="1:18" ht="18" x14ac:dyDescent="0.3">
      <c r="A28" s="16" t="s">
        <v>432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</row>
    <row r="30" spans="1:18" ht="15" thickBot="1" x14ac:dyDescent="0.35"/>
    <row r="31" spans="1:18" ht="18" thickBot="1" x14ac:dyDescent="0.35">
      <c r="A31" s="26" t="s">
        <v>423</v>
      </c>
      <c r="B31" s="27"/>
      <c r="C31" s="26" t="s">
        <v>436</v>
      </c>
      <c r="D31" s="43"/>
    </row>
    <row r="32" spans="1:18" ht="15.6" x14ac:dyDescent="0.3">
      <c r="A32" s="21" t="s">
        <v>434</v>
      </c>
      <c r="B32" s="21"/>
      <c r="C32" s="52">
        <f>E18/E20</f>
        <v>3246.7532467532465</v>
      </c>
      <c r="D32" s="52"/>
    </row>
    <row r="33" spans="1:13" ht="15.6" x14ac:dyDescent="0.3">
      <c r="A33" s="22" t="s">
        <v>433</v>
      </c>
      <c r="B33" s="22"/>
      <c r="C33" s="53">
        <f>E19/E20</f>
        <v>8635.7012987012986</v>
      </c>
      <c r="D33" s="53"/>
    </row>
    <row r="34" spans="1:13" ht="15.6" x14ac:dyDescent="0.3">
      <c r="A34" s="22" t="s">
        <v>435</v>
      </c>
      <c r="B34" s="22"/>
      <c r="C34" s="54">
        <f>E18/E19</f>
        <v>0.37596868331255479</v>
      </c>
      <c r="D34" s="54"/>
      <c r="E34" s="51"/>
      <c r="F34" s="51"/>
    </row>
    <row r="38" spans="1:13" ht="18" x14ac:dyDescent="0.3">
      <c r="A38" s="16" t="s">
        <v>437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</row>
    <row r="39" spans="1:13" ht="15" thickBot="1" x14ac:dyDescent="0.35"/>
    <row r="40" spans="1:13" ht="18" thickBot="1" x14ac:dyDescent="0.35">
      <c r="A40" s="26" t="s">
        <v>423</v>
      </c>
      <c r="B40" s="27"/>
      <c r="C40" s="27" t="s">
        <v>438</v>
      </c>
      <c r="D40" s="43"/>
    </row>
    <row r="41" spans="1:13" ht="15.6" x14ac:dyDescent="0.3">
      <c r="A41" s="21" t="s">
        <v>394</v>
      </c>
      <c r="B41" s="21"/>
      <c r="C41" s="55" t="str">
        <f>IF(I18&gt;0,"Improved",IF(I18&lt;0,"Declined","No Change"))</f>
        <v>Improved</v>
      </c>
      <c r="D41" s="55"/>
    </row>
    <row r="42" spans="1:13" ht="15.6" x14ac:dyDescent="0.3">
      <c r="A42" s="22" t="s">
        <v>395</v>
      </c>
      <c r="B42" s="22"/>
      <c r="C42" s="56" t="str">
        <f t="shared" ref="C42:C48" si="1">IF(I19&gt;0,"Improved",IF(I19&lt;0,"Declined","No Change"))</f>
        <v>Improved</v>
      </c>
      <c r="D42" s="56"/>
    </row>
    <row r="43" spans="1:13" ht="15.6" x14ac:dyDescent="0.3">
      <c r="A43" s="22" t="s">
        <v>396</v>
      </c>
      <c r="B43" s="22"/>
      <c r="C43" s="56" t="str">
        <f t="shared" si="1"/>
        <v>Improved</v>
      </c>
      <c r="D43" s="56"/>
    </row>
    <row r="44" spans="1:13" ht="15.6" x14ac:dyDescent="0.3">
      <c r="A44" s="22" t="s">
        <v>431</v>
      </c>
      <c r="B44" s="22"/>
      <c r="C44" s="56" t="str">
        <f>IF(I21&gt;0,"Improved",IF(I21&lt;0,"Declined","No Change"))</f>
        <v>Declined</v>
      </c>
      <c r="D44" s="56"/>
    </row>
    <row r="45" spans="1:13" ht="15.6" x14ac:dyDescent="0.3">
      <c r="A45" s="22" t="s">
        <v>428</v>
      </c>
      <c r="B45" s="22"/>
      <c r="C45" s="56" t="str">
        <f t="shared" si="1"/>
        <v>Improved</v>
      </c>
      <c r="D45" s="56"/>
    </row>
    <row r="46" spans="1:13" ht="15.6" x14ac:dyDescent="0.3">
      <c r="A46" s="22" t="s">
        <v>429</v>
      </c>
      <c r="B46" s="22"/>
      <c r="C46" s="56" t="str">
        <f t="shared" si="1"/>
        <v>Declined</v>
      </c>
      <c r="D46" s="56"/>
    </row>
    <row r="47" spans="1:13" ht="15.6" x14ac:dyDescent="0.3">
      <c r="A47" s="22" t="s">
        <v>398</v>
      </c>
      <c r="B47" s="22"/>
      <c r="C47" s="56" t="str">
        <f t="shared" si="1"/>
        <v>Declined</v>
      </c>
      <c r="D47" s="56"/>
    </row>
    <row r="48" spans="1:13" ht="15.6" x14ac:dyDescent="0.3">
      <c r="A48" s="22" t="s">
        <v>430</v>
      </c>
      <c r="B48" s="22"/>
      <c r="C48" s="56" t="str">
        <f t="shared" si="1"/>
        <v>Declined</v>
      </c>
      <c r="D48" s="56"/>
    </row>
    <row r="51" spans="1:13" ht="18" x14ac:dyDescent="0.3">
      <c r="A51" s="16" t="s">
        <v>439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</row>
    <row r="53" spans="1:13" x14ac:dyDescent="0.3">
      <c r="A53" s="57" t="str">
        <f>IF(I18&gt;0.2, "Exports increased significantly.", "Exports increased moderately.")</f>
        <v>Exports increased moderately.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</row>
    <row r="54" spans="1:13" ht="15.6" customHeight="1" x14ac:dyDescent="0.3">
      <c r="A54" s="60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2"/>
    </row>
    <row r="55" spans="1:13" ht="15.6" customHeight="1" x14ac:dyDescent="0.3">
      <c r="A55" s="57" t="str">
        <f>IF(C34&gt;0.3, "Trade intensity improved.", "Trade intensity remained stable.")</f>
        <v>Trade intensity improved.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</row>
    <row r="56" spans="1:13" ht="15.6" customHeight="1" x14ac:dyDescent="0.3">
      <c r="A56" s="60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2"/>
    </row>
    <row r="57" spans="1:13" ht="15.6" customHeight="1" x14ac:dyDescent="0.3">
      <c r="A57" s="57" t="str">
        <f>IF(C33&gt;C24, "Income per capita improved.", "No improvement observed.")</f>
        <v>No improvement observed.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</row>
    <row r="58" spans="1:13" x14ac:dyDescent="0.3">
      <c r="A58" s="60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2"/>
    </row>
  </sheetData>
  <mergeCells count="99">
    <mergeCell ref="A53:M54"/>
    <mergeCell ref="A55:M56"/>
    <mergeCell ref="A57:M58"/>
    <mergeCell ref="C47:D47"/>
    <mergeCell ref="C48:D48"/>
    <mergeCell ref="A51:M51"/>
    <mergeCell ref="A47:B47"/>
    <mergeCell ref="A48:B48"/>
    <mergeCell ref="C43:D43"/>
    <mergeCell ref="C44:D44"/>
    <mergeCell ref="C45:D45"/>
    <mergeCell ref="C46:D46"/>
    <mergeCell ref="A44:B44"/>
    <mergeCell ref="A43:B43"/>
    <mergeCell ref="A45:B45"/>
    <mergeCell ref="A46:B46"/>
    <mergeCell ref="A38:M38"/>
    <mergeCell ref="A40:B40"/>
    <mergeCell ref="C40:D40"/>
    <mergeCell ref="A41:B41"/>
    <mergeCell ref="A42:B42"/>
    <mergeCell ref="C41:D41"/>
    <mergeCell ref="C42:D42"/>
    <mergeCell ref="A34:B34"/>
    <mergeCell ref="E34:F34"/>
    <mergeCell ref="C31:D31"/>
    <mergeCell ref="C32:D32"/>
    <mergeCell ref="C33:D33"/>
    <mergeCell ref="C34:D34"/>
    <mergeCell ref="I25:J25"/>
    <mergeCell ref="A28:M28"/>
    <mergeCell ref="A31:B31"/>
    <mergeCell ref="A32:B32"/>
    <mergeCell ref="A33:B33"/>
    <mergeCell ref="Q19:R19"/>
    <mergeCell ref="E25:F25"/>
    <mergeCell ref="G21:H21"/>
    <mergeCell ref="G18:H18"/>
    <mergeCell ref="G19:H19"/>
    <mergeCell ref="G20:H20"/>
    <mergeCell ref="G22:H22"/>
    <mergeCell ref="G23:H23"/>
    <mergeCell ref="G24:H24"/>
    <mergeCell ref="G25:H25"/>
    <mergeCell ref="K22:L22"/>
    <mergeCell ref="K23:L23"/>
    <mergeCell ref="K24:L24"/>
    <mergeCell ref="K25:L25"/>
    <mergeCell ref="E18:F18"/>
    <mergeCell ref="E19:F19"/>
    <mergeCell ref="K21:L21"/>
    <mergeCell ref="E20:F20"/>
    <mergeCell ref="E22:F22"/>
    <mergeCell ref="E23:F23"/>
    <mergeCell ref="E24:F24"/>
    <mergeCell ref="E21:F21"/>
    <mergeCell ref="I21:J21"/>
    <mergeCell ref="I22:J22"/>
    <mergeCell ref="I23:J23"/>
    <mergeCell ref="I24:J24"/>
    <mergeCell ref="A24:B24"/>
    <mergeCell ref="A25:B25"/>
    <mergeCell ref="C18:D18"/>
    <mergeCell ref="C19:D19"/>
    <mergeCell ref="C20:D20"/>
    <mergeCell ref="C21:D21"/>
    <mergeCell ref="C22:D22"/>
    <mergeCell ref="C23:D23"/>
    <mergeCell ref="C24:D24"/>
    <mergeCell ref="C25:D25"/>
    <mergeCell ref="A18:B18"/>
    <mergeCell ref="A19:B19"/>
    <mergeCell ref="A20:B20"/>
    <mergeCell ref="A21:B21"/>
    <mergeCell ref="A22:B22"/>
    <mergeCell ref="A23:B23"/>
    <mergeCell ref="A15:M15"/>
    <mergeCell ref="A17:B17"/>
    <mergeCell ref="C17:D17"/>
    <mergeCell ref="E17:F17"/>
    <mergeCell ref="G17:H17"/>
    <mergeCell ref="I17:J17"/>
    <mergeCell ref="I18:J18"/>
    <mergeCell ref="I19:J19"/>
    <mergeCell ref="I20:J20"/>
    <mergeCell ref="K17:L17"/>
    <mergeCell ref="K18:L18"/>
    <mergeCell ref="K19:L19"/>
    <mergeCell ref="K20:L20"/>
    <mergeCell ref="A1:M4"/>
    <mergeCell ref="A7:M7"/>
    <mergeCell ref="A9:C9"/>
    <mergeCell ref="A10:C10"/>
    <mergeCell ref="A11:C11"/>
    <mergeCell ref="A12:C12"/>
    <mergeCell ref="D9:F9"/>
    <mergeCell ref="D10:F10"/>
    <mergeCell ref="D11:F11"/>
    <mergeCell ref="D12:F12"/>
  </mergeCells>
  <conditionalFormatting sqref="A53">
    <cfRule type="containsText" dxfId="18" priority="6" operator="containsText" text="Exports increased moderately.">
      <formula>NOT(ISERROR(SEARCH("Exports increased moderately.",A53)))</formula>
    </cfRule>
    <cfRule type="containsText" dxfId="17" priority="7" operator="containsText" text="Exports increased significantly.">
      <formula>NOT(ISERROR(SEARCH("Exports increased significantly.",A53)))</formula>
    </cfRule>
  </conditionalFormatting>
  <conditionalFormatting sqref="A53:M54">
    <cfRule type="containsText" dxfId="16" priority="5" operator="containsText" text="Exports increased significantly.">
      <formula>NOT(ISERROR(SEARCH("Exports increased significantly.",A53)))</formula>
    </cfRule>
  </conditionalFormatting>
  <conditionalFormatting sqref="A55:M56">
    <cfRule type="containsText" dxfId="15" priority="3" operator="containsText" text="Trade intensity remained stable.">
      <formula>NOT(ISERROR(SEARCH("Trade intensity remained stable.",A55)))</formula>
    </cfRule>
    <cfRule type="containsText" dxfId="14" priority="4" operator="containsText" text="Trade intensity improved.">
      <formula>NOT(ISERROR(SEARCH("Trade intensity improved.",A55)))</formula>
    </cfRule>
  </conditionalFormatting>
  <conditionalFormatting sqref="A57:M58">
    <cfRule type="containsText" dxfId="13" priority="1" operator="containsText" text="No improvement observed.">
      <formula>NOT(ISERROR(SEARCH("No improvement observed.",A57)))</formula>
    </cfRule>
    <cfRule type="containsText" dxfId="12" priority="2" operator="containsText" text="Income per capita improved.">
      <formula>NOT(ISERROR(SEARCH("Income per capita improved.",A57)))</formula>
    </cfRule>
  </conditionalFormatting>
  <conditionalFormatting sqref="C41:D48">
    <cfRule type="containsText" dxfId="11" priority="8" operator="containsText" text="No Change">
      <formula>NOT(ISERROR(SEARCH("No Change",C41)))</formula>
    </cfRule>
    <cfRule type="containsText" dxfId="10" priority="9" operator="containsText" text="Improved">
      <formula>NOT(ISERROR(SEARCH("Improved",C41)))</formula>
    </cfRule>
    <cfRule type="containsText" dxfId="9" priority="10" operator="containsText" text="Declined">
      <formula>NOT(ISERROR(SEARCH("Declined",C41)))</formula>
    </cfRule>
  </conditionalFormatting>
  <conditionalFormatting sqref="I18:J25">
    <cfRule type="cellIs" dxfId="8" priority="11" operator="equal">
      <formula>0</formula>
    </cfRule>
    <cfRule type="cellIs" dxfId="7" priority="12" operator="lessThan">
      <formula>0</formula>
    </cfRule>
    <cfRule type="cellIs" dxfId="6" priority="13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F9007-F1F0-4D95-81BF-DB3291B1DC2E}">
  <sheetPr>
    <tabColor rgb="FF7030A0"/>
  </sheetPr>
  <dimension ref="A1:M60"/>
  <sheetViews>
    <sheetView showGridLines="0" topLeftCell="A24" zoomScale="120" zoomScaleNormal="120" workbookViewId="0">
      <selection activeCell="J67" sqref="J67"/>
    </sheetView>
  </sheetViews>
  <sheetFormatPr defaultRowHeight="14.4" x14ac:dyDescent="0.3"/>
  <cols>
    <col min="1" max="1" width="13.21875" customWidth="1"/>
    <col min="3" max="3" width="15.44140625" customWidth="1"/>
    <col min="5" max="5" width="18" customWidth="1"/>
    <col min="7" max="7" width="21.5546875" customWidth="1"/>
    <col min="9" max="9" width="13.88671875" customWidth="1"/>
  </cols>
  <sheetData>
    <row r="1" spans="1:13" x14ac:dyDescent="0.3">
      <c r="A1" s="15" t="s">
        <v>440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x14ac:dyDescent="0.3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x14ac:dyDescent="0.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</row>
    <row r="4" spans="1:13" x14ac:dyDescent="0.3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</row>
    <row r="7" spans="1:13" ht="18" x14ac:dyDescent="0.3">
      <c r="A7" s="16" t="s">
        <v>417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</row>
    <row r="9" spans="1:13" ht="15.6" x14ac:dyDescent="0.3">
      <c r="A9" s="17" t="s">
        <v>418</v>
      </c>
      <c r="B9" s="17"/>
      <c r="C9" s="17"/>
      <c r="D9" s="37" t="str">
        <f>Assumptions!C9</f>
        <v>High Exports Growth</v>
      </c>
      <c r="E9" s="37"/>
      <c r="F9" s="37"/>
    </row>
    <row r="10" spans="1:13" ht="15.6" x14ac:dyDescent="0.3">
      <c r="A10" s="17" t="s">
        <v>421</v>
      </c>
      <c r="B10" s="17"/>
      <c r="C10" s="17"/>
      <c r="D10" s="37" t="str">
        <f>Assumptions!C16</f>
        <v>China</v>
      </c>
      <c r="E10" s="37"/>
      <c r="F10" s="37"/>
    </row>
    <row r="11" spans="1:13" ht="15.6" x14ac:dyDescent="0.3">
      <c r="A11" s="17" t="s">
        <v>419</v>
      </c>
      <c r="B11" s="17"/>
      <c r="C11" s="17"/>
      <c r="D11" s="37">
        <f>Assumptions!C17</f>
        <v>2017</v>
      </c>
      <c r="E11" s="37"/>
      <c r="F11" s="37"/>
    </row>
    <row r="12" spans="1:13" ht="15.6" x14ac:dyDescent="0.3">
      <c r="A12" s="17" t="s">
        <v>420</v>
      </c>
      <c r="B12" s="17"/>
      <c r="C12" s="17"/>
      <c r="D12" s="38">
        <f ca="1">TODAY()</f>
        <v>46234</v>
      </c>
      <c r="E12" s="38"/>
      <c r="F12" s="38"/>
    </row>
    <row r="13" spans="1:13" ht="15.6" x14ac:dyDescent="0.3">
      <c r="A13" s="2"/>
      <c r="B13" s="2"/>
      <c r="C13" s="2"/>
      <c r="D13" s="13"/>
      <c r="E13" s="13"/>
      <c r="F13" s="13"/>
    </row>
    <row r="14" spans="1:13" ht="15.6" x14ac:dyDescent="0.3">
      <c r="A14" s="17" t="s">
        <v>450</v>
      </c>
      <c r="B14" s="17"/>
      <c r="C14" s="17"/>
      <c r="D14" s="47">
        <f>Scenario_Model!$C$18</f>
        <v>4526.741008602</v>
      </c>
      <c r="E14" s="37"/>
      <c r="F14" s="37"/>
      <c r="G14" s="47" t="s">
        <v>405</v>
      </c>
      <c r="H14" s="37"/>
      <c r="I14" s="37"/>
    </row>
    <row r="15" spans="1:13" ht="15.6" x14ac:dyDescent="0.3">
      <c r="A15" s="17" t="s">
        <v>451</v>
      </c>
      <c r="B15" s="17"/>
      <c r="C15" s="17"/>
      <c r="D15" s="47">
        <f>Scenario_Model!$C$19</f>
        <v>12500</v>
      </c>
      <c r="E15" s="37"/>
      <c r="F15" s="37"/>
      <c r="G15" s="47" t="s">
        <v>405</v>
      </c>
      <c r="H15" s="37"/>
      <c r="I15" s="37"/>
    </row>
    <row r="16" spans="1:13" ht="15.6" x14ac:dyDescent="0.3">
      <c r="A16" s="17" t="s">
        <v>452</v>
      </c>
      <c r="B16" s="17"/>
      <c r="C16" s="17"/>
      <c r="D16" s="47">
        <f>Scenario_Model!$C$20</f>
        <v>1.396215</v>
      </c>
      <c r="E16" s="37"/>
      <c r="F16" s="37"/>
      <c r="G16" s="47" t="s">
        <v>406</v>
      </c>
      <c r="H16" s="37"/>
      <c r="I16" s="37"/>
    </row>
    <row r="18" spans="1:13" ht="18" x14ac:dyDescent="0.3">
      <c r="A18" s="16" t="s">
        <v>441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</row>
    <row r="19" spans="1:13" ht="18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5" thickBot="1" x14ac:dyDescent="0.35"/>
    <row r="21" spans="1:13" ht="18" thickBot="1" x14ac:dyDescent="0.35">
      <c r="A21" s="26" t="s">
        <v>442</v>
      </c>
      <c r="B21" s="27"/>
      <c r="C21" s="27" t="s">
        <v>443</v>
      </c>
      <c r="D21" s="27"/>
      <c r="E21" s="27" t="s">
        <v>429</v>
      </c>
      <c r="F21" s="27"/>
      <c r="G21" s="27" t="s">
        <v>444</v>
      </c>
      <c r="H21" s="27"/>
    </row>
    <row r="22" spans="1:13" ht="15.6" x14ac:dyDescent="0.3">
      <c r="A22" s="63">
        <v>-0.1</v>
      </c>
      <c r="B22" s="21"/>
      <c r="C22" s="46">
        <f>Assumptions!$C$24*(1+Sensitivity_Analysis!A22)</f>
        <v>4074.0669077418002</v>
      </c>
      <c r="D22" s="46"/>
      <c r="E22" s="46">
        <f>C22/Scenario_Model!$C$20</f>
        <v>2917.9366413781545</v>
      </c>
      <c r="F22" s="46"/>
      <c r="G22" s="65">
        <f>C22/Scenario_Model!$C$19</f>
        <v>0.32592535261934402</v>
      </c>
      <c r="H22" s="65"/>
    </row>
    <row r="23" spans="1:13" ht="15.6" x14ac:dyDescent="0.3">
      <c r="A23" s="64">
        <v>-0.05</v>
      </c>
      <c r="B23" s="22"/>
      <c r="C23" s="46">
        <f>Assumptions!$C$24*(1+Sensitivity_Analysis!A23)</f>
        <v>4300.4039581718998</v>
      </c>
      <c r="D23" s="46"/>
      <c r="E23" s="46">
        <f>C23/Scenario_Model!$C$20</f>
        <v>3080.0442325658296</v>
      </c>
      <c r="F23" s="46"/>
      <c r="G23" s="65">
        <f>C23/Scenario_Model!$C$19</f>
        <v>0.344032316653752</v>
      </c>
      <c r="H23" s="65"/>
    </row>
    <row r="24" spans="1:13" ht="15.6" x14ac:dyDescent="0.3">
      <c r="A24" s="63">
        <v>0</v>
      </c>
      <c r="B24" s="21"/>
      <c r="C24" s="46">
        <f>Assumptions!$C$24*(1+Sensitivity_Analysis!A24)</f>
        <v>4526.741008602</v>
      </c>
      <c r="D24" s="46"/>
      <c r="E24" s="46">
        <f>C24/Scenario_Model!$C$20</f>
        <v>3242.1518237535051</v>
      </c>
      <c r="F24" s="46"/>
      <c r="G24" s="65">
        <f>C24/Scenario_Model!$C$19</f>
        <v>0.36213928068815998</v>
      </c>
      <c r="H24" s="65"/>
    </row>
    <row r="25" spans="1:13" ht="15.6" x14ac:dyDescent="0.3">
      <c r="A25" s="63">
        <v>0.05</v>
      </c>
      <c r="B25" s="21"/>
      <c r="C25" s="46">
        <f>Assumptions!$C$24*(1+Sensitivity_Analysis!A25)</f>
        <v>4753.0780590321001</v>
      </c>
      <c r="D25" s="46"/>
      <c r="E25" s="46">
        <f>C25/Scenario_Model!$C$20</f>
        <v>3404.2594149411802</v>
      </c>
      <c r="F25" s="46"/>
      <c r="G25" s="65">
        <f>C25/Scenario_Model!$C$19</f>
        <v>0.38024624472256802</v>
      </c>
      <c r="H25" s="65"/>
    </row>
    <row r="26" spans="1:13" ht="15.6" x14ac:dyDescent="0.3">
      <c r="A26" s="63">
        <v>0.1</v>
      </c>
      <c r="B26" s="21"/>
      <c r="C26" s="46">
        <f>Assumptions!$C$24*(1+Sensitivity_Analysis!A26)</f>
        <v>4979.4151094622002</v>
      </c>
      <c r="D26" s="46"/>
      <c r="E26" s="46">
        <f>C26/Scenario_Model!$C$20</f>
        <v>3566.3670061288558</v>
      </c>
      <c r="F26" s="46"/>
      <c r="G26" s="65">
        <f>C26/Scenario_Model!$C$19</f>
        <v>0.398353208756976</v>
      </c>
      <c r="H26" s="65"/>
    </row>
    <row r="30" spans="1:13" ht="18" x14ac:dyDescent="0.3">
      <c r="A30" s="16" t="s">
        <v>445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</row>
    <row r="32" spans="1:13" ht="15" thickBot="1" x14ac:dyDescent="0.35"/>
    <row r="33" spans="1:13" ht="18" thickBot="1" x14ac:dyDescent="0.35">
      <c r="A33" s="26" t="s">
        <v>446</v>
      </c>
      <c r="B33" s="27"/>
      <c r="C33" s="27" t="s">
        <v>395</v>
      </c>
      <c r="D33" s="27"/>
      <c r="E33" s="27" t="s">
        <v>398</v>
      </c>
      <c r="F33" s="27"/>
      <c r="G33" s="27" t="s">
        <v>444</v>
      </c>
      <c r="H33" s="43"/>
    </row>
    <row r="34" spans="1:13" ht="15.6" x14ac:dyDescent="0.3">
      <c r="A34" s="63">
        <v>-0.1</v>
      </c>
      <c r="B34" s="21"/>
      <c r="C34" s="46">
        <f>Assumptions!$C$25*(1+Sensitivity_Analysis!A34)</f>
        <v>11250</v>
      </c>
      <c r="D34" s="46"/>
      <c r="E34" s="46">
        <f>C34/Assumptions!$C$26</f>
        <v>8057.4983079253552</v>
      </c>
      <c r="F34" s="46"/>
      <c r="G34" s="65">
        <f>Assumptions!$C$24/Sensitivity_Analysis!C34</f>
        <v>0.40237697854240001</v>
      </c>
      <c r="H34" s="65"/>
    </row>
    <row r="35" spans="1:13" ht="15.6" x14ac:dyDescent="0.3">
      <c r="A35" s="64">
        <v>-0.05</v>
      </c>
      <c r="B35" s="22"/>
      <c r="C35" s="47">
        <f>Assumptions!$C$25*(1+Sensitivity_Analysis!A35)</f>
        <v>11875</v>
      </c>
      <c r="D35" s="47"/>
      <c r="E35" s="47">
        <f>C35/Assumptions!$C$26</f>
        <v>8505.1371028100966</v>
      </c>
      <c r="F35" s="47"/>
      <c r="G35" s="54">
        <f>Assumptions!$C$24/Sensitivity_Analysis!C35</f>
        <v>0.38119924282964213</v>
      </c>
      <c r="H35" s="54"/>
    </row>
    <row r="36" spans="1:13" ht="15.6" x14ac:dyDescent="0.3">
      <c r="A36" s="64">
        <v>0</v>
      </c>
      <c r="B36" s="22"/>
      <c r="C36" s="47">
        <f>Assumptions!$C$25*(1+Sensitivity_Analysis!A36)</f>
        <v>12500</v>
      </c>
      <c r="D36" s="47"/>
      <c r="E36" s="47">
        <f>C36/Assumptions!$C$26</f>
        <v>8952.7758976948389</v>
      </c>
      <c r="F36" s="47"/>
      <c r="G36" s="54">
        <f>Assumptions!$C$24/Sensitivity_Analysis!C36</f>
        <v>0.36213928068815998</v>
      </c>
      <c r="H36" s="54"/>
    </row>
    <row r="37" spans="1:13" ht="15.6" x14ac:dyDescent="0.3">
      <c r="A37" s="64">
        <v>0.05</v>
      </c>
      <c r="B37" s="22"/>
      <c r="C37" s="47">
        <f>Assumptions!$C$25*(1+Sensitivity_Analysis!A37)</f>
        <v>13125</v>
      </c>
      <c r="D37" s="47"/>
      <c r="E37" s="47">
        <f>C37/Assumptions!$C$26</f>
        <v>9400.4146925795812</v>
      </c>
      <c r="F37" s="47"/>
      <c r="G37" s="54">
        <f>Assumptions!$C$24/Sensitivity_Analysis!C37</f>
        <v>0.34489455303634287</v>
      </c>
      <c r="H37" s="54"/>
    </row>
    <row r="38" spans="1:13" ht="15.6" x14ac:dyDescent="0.3">
      <c r="A38" s="64">
        <v>0.1</v>
      </c>
      <c r="B38" s="22"/>
      <c r="C38" s="47">
        <f>Assumptions!$C$25*(1+Sensitivity_Analysis!A38)</f>
        <v>13750.000000000002</v>
      </c>
      <c r="D38" s="47"/>
      <c r="E38" s="47">
        <f>C38/Assumptions!$C$26</f>
        <v>9848.0534874643254</v>
      </c>
      <c r="F38" s="47"/>
      <c r="G38" s="54">
        <f>Assumptions!$C$24/Sensitivity_Analysis!C38</f>
        <v>0.3292175278983272</v>
      </c>
      <c r="H38" s="54"/>
    </row>
    <row r="42" spans="1:13" ht="18" x14ac:dyDescent="0.3">
      <c r="A42" s="16" t="s">
        <v>447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</row>
    <row r="43" spans="1:13" ht="15" thickBot="1" x14ac:dyDescent="0.35"/>
    <row r="44" spans="1:13" ht="18" thickBot="1" x14ac:dyDescent="0.35">
      <c r="A44" s="26" t="s">
        <v>448</v>
      </c>
      <c r="B44" s="27"/>
      <c r="C44" s="27" t="s">
        <v>429</v>
      </c>
      <c r="D44" s="27"/>
      <c r="E44" s="27" t="s">
        <v>449</v>
      </c>
      <c r="F44" s="27"/>
      <c r="G44" s="27" t="s">
        <v>398</v>
      </c>
      <c r="H44" s="43"/>
    </row>
    <row r="45" spans="1:13" ht="15.6" x14ac:dyDescent="0.3">
      <c r="A45" s="63">
        <v>-0.1</v>
      </c>
      <c r="B45" s="21"/>
      <c r="C45" s="46">
        <f>Assumptions!$C$24/Sensitivity_Analysis!E45</f>
        <v>3602.3909152816723</v>
      </c>
      <c r="D45" s="46"/>
      <c r="E45" s="46">
        <f>Assumptions!$C$26*(1+Sensitivity_Analysis!$A45)</f>
        <v>1.2565934999999999</v>
      </c>
      <c r="F45" s="46"/>
      <c r="G45" s="46">
        <f>Assumptions!$C$25/Sensitivity_Analysis!E45</f>
        <v>9947.5287752164895</v>
      </c>
      <c r="H45" s="46"/>
    </row>
    <row r="46" spans="1:13" ht="15.6" x14ac:dyDescent="0.3">
      <c r="A46" s="64">
        <v>-0.05</v>
      </c>
      <c r="B46" s="22"/>
      <c r="C46" s="46">
        <f>Assumptions!$C$24/Sensitivity_Analysis!E46</f>
        <v>3412.7913934247422</v>
      </c>
      <c r="D46" s="46"/>
      <c r="E46" s="46">
        <f>Assumptions!$C$26*(1+Sensitivity_Analysis!$A46)</f>
        <v>1.32640425</v>
      </c>
      <c r="F46" s="46"/>
      <c r="G46" s="46">
        <f>Assumptions!$C$25/Sensitivity_Analysis!E46</f>
        <v>9423.9746291524625</v>
      </c>
      <c r="H46" s="46"/>
    </row>
    <row r="47" spans="1:13" ht="15.6" x14ac:dyDescent="0.3">
      <c r="A47" s="64">
        <v>0</v>
      </c>
      <c r="B47" s="22"/>
      <c r="C47" s="46">
        <f>Assumptions!$C$24/Sensitivity_Analysis!E47</f>
        <v>3242.1518237535051</v>
      </c>
      <c r="D47" s="46"/>
      <c r="E47" s="46">
        <f>Assumptions!$C$26*(1+Sensitivity_Analysis!$A47)</f>
        <v>1.396215</v>
      </c>
      <c r="F47" s="46"/>
      <c r="G47" s="46">
        <f>Assumptions!$C$25/Sensitivity_Analysis!E47</f>
        <v>8952.7758976948389</v>
      </c>
      <c r="H47" s="46"/>
    </row>
    <row r="48" spans="1:13" ht="15.6" x14ac:dyDescent="0.3">
      <c r="A48" s="64">
        <v>0.05</v>
      </c>
      <c r="B48" s="22"/>
      <c r="C48" s="46">
        <f>Assumptions!$C$24/Sensitivity_Analysis!E48</f>
        <v>3087.7636416700047</v>
      </c>
      <c r="D48" s="46"/>
      <c r="E48" s="46">
        <f>Assumptions!$C$26*(1+Sensitivity_Analysis!$A48)</f>
        <v>1.46602575</v>
      </c>
      <c r="F48" s="46"/>
      <c r="G48" s="46">
        <f>Assumptions!$C$25/Sensitivity_Analysis!E48</f>
        <v>8526.4532358998476</v>
      </c>
      <c r="H48" s="46"/>
    </row>
    <row r="49" spans="1:13" ht="15.6" x14ac:dyDescent="0.3">
      <c r="A49" s="64">
        <v>0.1</v>
      </c>
      <c r="B49" s="22"/>
      <c r="C49" s="46">
        <f>Assumptions!$C$24/Sensitivity_Analysis!E49</f>
        <v>2947.4107488668228</v>
      </c>
      <c r="D49" s="46"/>
      <c r="E49" s="46">
        <f>Assumptions!$C$26*(1+Sensitivity_Analysis!$A49)</f>
        <v>1.5358365</v>
      </c>
      <c r="F49" s="46"/>
      <c r="G49" s="46">
        <f>Assumptions!$C$25/Sensitivity_Analysis!E49</f>
        <v>8138.8871797225811</v>
      </c>
      <c r="H49" s="46"/>
      <c r="J49" s="66"/>
      <c r="K49" s="66"/>
    </row>
    <row r="53" spans="1:13" ht="18" x14ac:dyDescent="0.3">
      <c r="A53" s="16" t="s">
        <v>453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</row>
    <row r="54" spans="1:13" ht="15" thickBot="1" x14ac:dyDescent="0.35"/>
    <row r="55" spans="1:13" ht="18" thickBot="1" x14ac:dyDescent="0.35">
      <c r="A55" s="26" t="s">
        <v>423</v>
      </c>
      <c r="B55" s="27"/>
      <c r="C55" s="27" t="s">
        <v>424</v>
      </c>
      <c r="D55" s="27"/>
      <c r="E55" s="27" t="s">
        <v>454</v>
      </c>
      <c r="F55" s="27"/>
      <c r="G55" s="4" t="s">
        <v>456</v>
      </c>
      <c r="H55" s="26" t="s">
        <v>458</v>
      </c>
      <c r="I55" s="27" t="s">
        <v>457</v>
      </c>
      <c r="J55" s="26" t="s">
        <v>457</v>
      </c>
      <c r="K55" s="43"/>
    </row>
    <row r="56" spans="1:13" ht="15.6" x14ac:dyDescent="0.3">
      <c r="A56" s="63" t="s">
        <v>455</v>
      </c>
      <c r="B56" s="21"/>
      <c r="C56" s="46">
        <f>Scenario_Model!C18</f>
        <v>4526.741008602</v>
      </c>
      <c r="D56" s="46"/>
      <c r="E56" s="46">
        <f>MAX(C22:D26)</f>
        <v>4979.4151094622002</v>
      </c>
      <c r="F56" s="46"/>
      <c r="G56" s="10">
        <f>MIN(C22:D26)</f>
        <v>4074.0669077418002</v>
      </c>
      <c r="H56" s="24">
        <f>E56-G56</f>
        <v>905.34820172040008</v>
      </c>
      <c r="I56" s="67"/>
      <c r="J56" s="67" t="str">
        <f>IF(H56&gt;=1000, "Very High Impact", IF(H56&gt;=500, "Medium Impact", IF(H56&gt;=100, "Moderate Impact", "Low Impact")))</f>
        <v>Medium Impact</v>
      </c>
      <c r="K56" s="67"/>
    </row>
    <row r="57" spans="1:13" ht="15.6" x14ac:dyDescent="0.3">
      <c r="A57" s="64" t="s">
        <v>395</v>
      </c>
      <c r="B57" s="22"/>
      <c r="C57" s="46">
        <f>Scenario_Model!C19</f>
        <v>12500</v>
      </c>
      <c r="D57" s="46"/>
      <c r="E57" s="46">
        <f>MAX(C34:D38)</f>
        <v>13750.000000000002</v>
      </c>
      <c r="F57" s="46"/>
      <c r="G57" s="10">
        <f>MIN(C34:D38)</f>
        <v>11250</v>
      </c>
      <c r="H57" s="24">
        <f t="shared" ref="H57:H60" si="0">E57-G57</f>
        <v>2500.0000000000018</v>
      </c>
      <c r="I57" s="67"/>
      <c r="J57" s="67" t="str">
        <f>IF(H57&gt;=1000, "Very High Impact", IF(H57&gt;=500, "Medium Impact", IF(H57&gt;=100, "Moderate Impact", "Low Impact")))</f>
        <v>Very High Impact</v>
      </c>
      <c r="K57" s="67"/>
    </row>
    <row r="58" spans="1:13" ht="15.6" x14ac:dyDescent="0.3">
      <c r="A58" s="64" t="s">
        <v>429</v>
      </c>
      <c r="B58" s="22"/>
      <c r="C58" s="46">
        <f>Scenario_Model!C23</f>
        <v>3242.15</v>
      </c>
      <c r="D58" s="46"/>
      <c r="E58" s="46">
        <f>MAX(C45:D49)</f>
        <v>3602.3909152816723</v>
      </c>
      <c r="F58" s="46"/>
      <c r="G58" s="10">
        <f>MIN(C45:D49)</f>
        <v>2947.4107488668228</v>
      </c>
      <c r="H58" s="24">
        <f t="shared" si="0"/>
        <v>654.98016641484946</v>
      </c>
      <c r="I58" s="67"/>
      <c r="J58" s="67" t="str">
        <f>IF(H58&gt;=1000, "Very High Impact", IF(H58&gt;=500, "Medium Impact", IF(H58&gt;=100, "Moderate Impact", "Low Impact")))</f>
        <v>Medium Impact</v>
      </c>
      <c r="K58" s="67"/>
    </row>
    <row r="59" spans="1:13" ht="15.6" x14ac:dyDescent="0.3">
      <c r="A59" s="64" t="s">
        <v>398</v>
      </c>
      <c r="B59" s="22"/>
      <c r="C59" s="46">
        <f>Scenario_Model!C24</f>
        <v>8952.7800000000007</v>
      </c>
      <c r="D59" s="46"/>
      <c r="E59" s="46">
        <f>MAX(G45:H49)</f>
        <v>9947.5287752164895</v>
      </c>
      <c r="F59" s="46"/>
      <c r="G59" s="10">
        <f>MIN(G45:H49)</f>
        <v>8138.8871797225811</v>
      </c>
      <c r="H59" s="24">
        <f t="shared" si="0"/>
        <v>1808.6415954939084</v>
      </c>
      <c r="I59" s="67"/>
      <c r="J59" s="67" t="str">
        <f>IF(H59&gt;=1000, "Very High Impact", IF(H59&gt;=500, "Medium Impact", IF(H59&gt;=100, "Moderate Impact", "Low Impact")))</f>
        <v>Very High Impact</v>
      </c>
      <c r="K59" s="67"/>
    </row>
    <row r="60" spans="1:13" ht="15.6" x14ac:dyDescent="0.3">
      <c r="A60" s="64" t="s">
        <v>444</v>
      </c>
      <c r="B60" s="22"/>
      <c r="C60" s="46">
        <f>Scenario_Model!C25</f>
        <v>36.21</v>
      </c>
      <c r="D60" s="46"/>
      <c r="E60" s="65">
        <f>MAX(G34:H38)</f>
        <v>0.40237697854240001</v>
      </c>
      <c r="F60" s="65"/>
      <c r="G60" s="12">
        <f>MIN(G34:H38)</f>
        <v>0.3292175278983272</v>
      </c>
      <c r="H60" s="68">
        <f t="shared" si="0"/>
        <v>7.315945064407281E-2</v>
      </c>
      <c r="I60" s="68"/>
      <c r="J60" s="67" t="str">
        <f>IF(H60&gt;=1000, "Very High Impact", IF(H60&gt;=500, "Medium Impact", IF(H60&gt;=100, "Moderate Impact", "Low Impact")))</f>
        <v>Low Impact</v>
      </c>
      <c r="K60" s="67"/>
    </row>
  </sheetData>
  <mergeCells count="126">
    <mergeCell ref="J57:K57"/>
    <mergeCell ref="J58:K58"/>
    <mergeCell ref="J59:K59"/>
    <mergeCell ref="J60:K60"/>
    <mergeCell ref="E59:F59"/>
    <mergeCell ref="E60:F60"/>
    <mergeCell ref="H55:I55"/>
    <mergeCell ref="J55:K55"/>
    <mergeCell ref="H56:I56"/>
    <mergeCell ref="H57:I57"/>
    <mergeCell ref="H58:I58"/>
    <mergeCell ref="H59:I59"/>
    <mergeCell ref="H60:I60"/>
    <mergeCell ref="J56:K56"/>
    <mergeCell ref="E55:F55"/>
    <mergeCell ref="E56:F56"/>
    <mergeCell ref="E57:F57"/>
    <mergeCell ref="E58:F58"/>
    <mergeCell ref="C56:D56"/>
    <mergeCell ref="C57:D57"/>
    <mergeCell ref="C58:D58"/>
    <mergeCell ref="C59:D59"/>
    <mergeCell ref="C60:D60"/>
    <mergeCell ref="A59:B59"/>
    <mergeCell ref="A60:B60"/>
    <mergeCell ref="A55:B55"/>
    <mergeCell ref="C55:D55"/>
    <mergeCell ref="A56:B56"/>
    <mergeCell ref="A57:B57"/>
    <mergeCell ref="A58:B58"/>
    <mergeCell ref="A46:B46"/>
    <mergeCell ref="E46:F46"/>
    <mergeCell ref="G46:H46"/>
    <mergeCell ref="A47:B47"/>
    <mergeCell ref="E47:F47"/>
    <mergeCell ref="G47:H47"/>
    <mergeCell ref="A44:B44"/>
    <mergeCell ref="E44:F44"/>
    <mergeCell ref="G44:H44"/>
    <mergeCell ref="A45:B45"/>
    <mergeCell ref="C44:D44"/>
    <mergeCell ref="C45:D45"/>
    <mergeCell ref="C46:D46"/>
    <mergeCell ref="C47:D47"/>
    <mergeCell ref="E45:F45"/>
    <mergeCell ref="G45:H45"/>
    <mergeCell ref="J49:K49"/>
    <mergeCell ref="A53:M53"/>
    <mergeCell ref="A48:B48"/>
    <mergeCell ref="E48:F48"/>
    <mergeCell ref="G48:H48"/>
    <mergeCell ref="A49:B49"/>
    <mergeCell ref="E49:F49"/>
    <mergeCell ref="G49:H49"/>
    <mergeCell ref="C48:D48"/>
    <mergeCell ref="C49:D49"/>
    <mergeCell ref="A37:B37"/>
    <mergeCell ref="C37:D37"/>
    <mergeCell ref="E37:F37"/>
    <mergeCell ref="G37:H37"/>
    <mergeCell ref="A38:B38"/>
    <mergeCell ref="C38:D38"/>
    <mergeCell ref="E38:F38"/>
    <mergeCell ref="G38:H38"/>
    <mergeCell ref="A42:M42"/>
    <mergeCell ref="A35:B35"/>
    <mergeCell ref="C35:D35"/>
    <mergeCell ref="E35:F35"/>
    <mergeCell ref="G35:H35"/>
    <mergeCell ref="A36:B36"/>
    <mergeCell ref="C36:D36"/>
    <mergeCell ref="E36:F36"/>
    <mergeCell ref="G36:H36"/>
    <mergeCell ref="A30:M30"/>
    <mergeCell ref="A33:B33"/>
    <mergeCell ref="C33:D33"/>
    <mergeCell ref="E33:F33"/>
    <mergeCell ref="G33:H33"/>
    <mergeCell ref="A34:B34"/>
    <mergeCell ref="C34:D34"/>
    <mergeCell ref="E34:F34"/>
    <mergeCell ref="G34:H34"/>
    <mergeCell ref="E22:F22"/>
    <mergeCell ref="E23:F23"/>
    <mergeCell ref="E24:F24"/>
    <mergeCell ref="E25:F25"/>
    <mergeCell ref="E26:F26"/>
    <mergeCell ref="G22:H22"/>
    <mergeCell ref="G23:H23"/>
    <mergeCell ref="G24:H24"/>
    <mergeCell ref="G25:H25"/>
    <mergeCell ref="G26:H26"/>
    <mergeCell ref="A22:B22"/>
    <mergeCell ref="A23:B23"/>
    <mergeCell ref="A24:B24"/>
    <mergeCell ref="A25:B25"/>
    <mergeCell ref="A26:B26"/>
    <mergeCell ref="C22:D22"/>
    <mergeCell ref="C23:D23"/>
    <mergeCell ref="C24:D24"/>
    <mergeCell ref="C25:D25"/>
    <mergeCell ref="C26:D26"/>
    <mergeCell ref="A1:M4"/>
    <mergeCell ref="A18:M18"/>
    <mergeCell ref="A21:B21"/>
    <mergeCell ref="C21:D21"/>
    <mergeCell ref="E21:F21"/>
    <mergeCell ref="G21:H21"/>
    <mergeCell ref="A9:C9"/>
    <mergeCell ref="D9:F9"/>
    <mergeCell ref="A7:M7"/>
    <mergeCell ref="A10:C10"/>
    <mergeCell ref="A11:C11"/>
    <mergeCell ref="A12:C12"/>
    <mergeCell ref="D10:F10"/>
    <mergeCell ref="D11:F11"/>
    <mergeCell ref="D12:F12"/>
    <mergeCell ref="A16:C16"/>
    <mergeCell ref="D16:F16"/>
    <mergeCell ref="G16:I16"/>
    <mergeCell ref="A15:C15"/>
    <mergeCell ref="D15:F15"/>
    <mergeCell ref="G15:I15"/>
    <mergeCell ref="A14:C14"/>
    <mergeCell ref="D14:F14"/>
    <mergeCell ref="G14:I14"/>
  </mergeCells>
  <conditionalFormatting sqref="J56:K60">
    <cfRule type="containsText" dxfId="5" priority="1" operator="containsText" text="Moderate Impact">
      <formula>NOT(ISERROR(SEARCH("Moderate Impact",J56)))</formula>
    </cfRule>
    <cfRule type="containsText" dxfId="4" priority="2" operator="containsText" text="Moderate Impact">
      <formula>NOT(ISERROR(SEARCH("Moderate Impact",J56)))</formula>
    </cfRule>
    <cfRule type="containsText" dxfId="3" priority="3" operator="containsText" text="Low Impact">
      <formula>NOT(ISERROR(SEARCH("Low Impact",J56)))</formula>
    </cfRule>
    <cfRule type="containsText" dxfId="2" priority="4" operator="containsText" text="Medium Impact">
      <formula>NOT(ISERROR(SEARCH("Medium Impact",J56)))</formula>
    </cfRule>
    <cfRule type="containsText" dxfId="1" priority="5" operator="containsText" text="Very High Impact">
      <formula>NOT(ISERROR(SEARCH("Very High Impact",J56)))</formula>
    </cfRule>
    <cfRule type="containsText" dxfId="0" priority="6" operator="containsText" text="Very High Impact+$J$56:$K$60">
      <formula>NOT(ISERROR(SEARCH("Very High Impact+$J$56:$K$60",J56)))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168AE-9541-448E-A95D-B02A220A6A48}">
  <sheetPr>
    <tabColor rgb="FFFF0000"/>
  </sheetPr>
  <dimension ref="AP37:AQ42"/>
  <sheetViews>
    <sheetView showGridLines="0" tabSelected="1" topLeftCell="E4" zoomScale="78" zoomScaleNormal="100" workbookViewId="0">
      <selection activeCell="AG32" sqref="AG32"/>
    </sheetView>
  </sheetViews>
  <sheetFormatPr defaultRowHeight="14.4" x14ac:dyDescent="0.3"/>
  <cols>
    <col min="42" max="42" width="16.44140625" bestFit="1" customWidth="1"/>
    <col min="43" max="43" width="13" bestFit="1" customWidth="1"/>
    <col min="44" max="44" width="9" customWidth="1"/>
    <col min="45" max="45" width="10.6640625" customWidth="1"/>
  </cols>
  <sheetData>
    <row r="37" spans="42:43" x14ac:dyDescent="0.3">
      <c r="AP37" s="14"/>
      <c r="AQ37" s="14"/>
    </row>
    <row r="38" spans="42:43" x14ac:dyDescent="0.3">
      <c r="AP38" s="14"/>
      <c r="AQ38" s="14"/>
    </row>
    <row r="39" spans="42:43" x14ac:dyDescent="0.3">
      <c r="AP39" s="14"/>
      <c r="AQ39" s="14"/>
    </row>
    <row r="40" spans="42:43" x14ac:dyDescent="0.3">
      <c r="AP40" s="14"/>
      <c r="AQ40" s="14"/>
    </row>
    <row r="41" spans="42:43" x14ac:dyDescent="0.3">
      <c r="AP41" s="14"/>
      <c r="AQ41" s="14"/>
    </row>
    <row r="42" spans="42:43" x14ac:dyDescent="0.3">
      <c r="AP42" s="14"/>
      <c r="AQ42" s="14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59A29-566A-46DE-87A5-D847D7614278}">
  <sheetPr>
    <tabColor theme="2" tint="-0.249977111117893"/>
  </sheetPr>
  <dimension ref="A1:E183"/>
  <sheetViews>
    <sheetView workbookViewId="0">
      <selection activeCell="H14" sqref="H14"/>
    </sheetView>
  </sheetViews>
  <sheetFormatPr defaultRowHeight="14.4" x14ac:dyDescent="0.3"/>
  <cols>
    <col min="1" max="1" width="28.109375" bestFit="1" customWidth="1"/>
    <col min="5" max="5" width="13.5546875" bestFit="1" customWidth="1"/>
  </cols>
  <sheetData>
    <row r="1" spans="1:5" ht="15" thickBot="1" x14ac:dyDescent="0.35">
      <c r="A1" s="1" t="s">
        <v>386</v>
      </c>
      <c r="E1" s="1" t="s">
        <v>387</v>
      </c>
    </row>
    <row r="2" spans="1:5" x14ac:dyDescent="0.3">
      <c r="A2" t="s">
        <v>15</v>
      </c>
      <c r="E2">
        <v>2015</v>
      </c>
    </row>
    <row r="3" spans="1:5" x14ac:dyDescent="0.3">
      <c r="A3" t="s">
        <v>17</v>
      </c>
      <c r="E3">
        <v>2016</v>
      </c>
    </row>
    <row r="4" spans="1:5" x14ac:dyDescent="0.3">
      <c r="A4" t="s">
        <v>19</v>
      </c>
      <c r="E4">
        <v>2017</v>
      </c>
    </row>
    <row r="5" spans="1:5" x14ac:dyDescent="0.3">
      <c r="A5" t="s">
        <v>21</v>
      </c>
      <c r="E5">
        <v>2018</v>
      </c>
    </row>
    <row r="6" spans="1:5" x14ac:dyDescent="0.3">
      <c r="A6" t="s">
        <v>23</v>
      </c>
      <c r="E6">
        <v>2019</v>
      </c>
    </row>
    <row r="7" spans="1:5" x14ac:dyDescent="0.3">
      <c r="A7" t="s">
        <v>25</v>
      </c>
      <c r="E7">
        <v>2020</v>
      </c>
    </row>
    <row r="8" spans="1:5" x14ac:dyDescent="0.3">
      <c r="A8" t="s">
        <v>27</v>
      </c>
      <c r="E8">
        <v>2021</v>
      </c>
    </row>
    <row r="9" spans="1:5" x14ac:dyDescent="0.3">
      <c r="A9" t="s">
        <v>29</v>
      </c>
      <c r="E9">
        <v>2022</v>
      </c>
    </row>
    <row r="10" spans="1:5" x14ac:dyDescent="0.3">
      <c r="A10" t="s">
        <v>31</v>
      </c>
      <c r="E10">
        <v>2023</v>
      </c>
    </row>
    <row r="11" spans="1:5" x14ac:dyDescent="0.3">
      <c r="A11" t="s">
        <v>33</v>
      </c>
      <c r="E11">
        <v>2024</v>
      </c>
    </row>
    <row r="12" spans="1:5" x14ac:dyDescent="0.3">
      <c r="A12" t="s">
        <v>35</v>
      </c>
    </row>
    <row r="13" spans="1:5" x14ac:dyDescent="0.3">
      <c r="A13" t="s">
        <v>37</v>
      </c>
    </row>
    <row r="14" spans="1:5" x14ac:dyDescent="0.3">
      <c r="A14" t="s">
        <v>39</v>
      </c>
    </row>
    <row r="15" spans="1:5" x14ac:dyDescent="0.3">
      <c r="A15" t="s">
        <v>41</v>
      </c>
    </row>
    <row r="16" spans="1:5" x14ac:dyDescent="0.3">
      <c r="A16" t="s">
        <v>43</v>
      </c>
    </row>
    <row r="17" spans="1:1" x14ac:dyDescent="0.3">
      <c r="A17" t="s">
        <v>45</v>
      </c>
    </row>
    <row r="18" spans="1:1" x14ac:dyDescent="0.3">
      <c r="A18" t="s">
        <v>47</v>
      </c>
    </row>
    <row r="19" spans="1:1" x14ac:dyDescent="0.3">
      <c r="A19" t="s">
        <v>49</v>
      </c>
    </row>
    <row r="20" spans="1:1" x14ac:dyDescent="0.3">
      <c r="A20" t="s">
        <v>51</v>
      </c>
    </row>
    <row r="21" spans="1:1" x14ac:dyDescent="0.3">
      <c r="A21" t="s">
        <v>53</v>
      </c>
    </row>
    <row r="22" spans="1:1" x14ac:dyDescent="0.3">
      <c r="A22" t="s">
        <v>55</v>
      </c>
    </row>
    <row r="23" spans="1:1" x14ac:dyDescent="0.3">
      <c r="A23" t="s">
        <v>57</v>
      </c>
    </row>
    <row r="24" spans="1:1" x14ac:dyDescent="0.3">
      <c r="A24" t="s">
        <v>59</v>
      </c>
    </row>
    <row r="25" spans="1:1" x14ac:dyDescent="0.3">
      <c r="A25" t="s">
        <v>61</v>
      </c>
    </row>
    <row r="26" spans="1:1" x14ac:dyDescent="0.3">
      <c r="A26" t="s">
        <v>63</v>
      </c>
    </row>
    <row r="27" spans="1:1" x14ac:dyDescent="0.3">
      <c r="A27" t="s">
        <v>65</v>
      </c>
    </row>
    <row r="28" spans="1:1" x14ac:dyDescent="0.3">
      <c r="A28" t="s">
        <v>67</v>
      </c>
    </row>
    <row r="29" spans="1:1" x14ac:dyDescent="0.3">
      <c r="A29" t="s">
        <v>69</v>
      </c>
    </row>
    <row r="30" spans="1:1" x14ac:dyDescent="0.3">
      <c r="A30" t="s">
        <v>71</v>
      </c>
    </row>
    <row r="31" spans="1:1" x14ac:dyDescent="0.3">
      <c r="A31" t="s">
        <v>73</v>
      </c>
    </row>
    <row r="32" spans="1:1" x14ac:dyDescent="0.3">
      <c r="A32" t="s">
        <v>75</v>
      </c>
    </row>
    <row r="33" spans="1:1" x14ac:dyDescent="0.3">
      <c r="A33" t="s">
        <v>77</v>
      </c>
    </row>
    <row r="34" spans="1:1" x14ac:dyDescent="0.3">
      <c r="A34" t="s">
        <v>79</v>
      </c>
    </row>
    <row r="35" spans="1:1" x14ac:dyDescent="0.3">
      <c r="A35" t="s">
        <v>81</v>
      </c>
    </row>
    <row r="36" spans="1:1" x14ac:dyDescent="0.3">
      <c r="A36" t="s">
        <v>83</v>
      </c>
    </row>
    <row r="37" spans="1:1" x14ac:dyDescent="0.3">
      <c r="A37" t="s">
        <v>85</v>
      </c>
    </row>
    <row r="38" spans="1:1" x14ac:dyDescent="0.3">
      <c r="A38" t="s">
        <v>87</v>
      </c>
    </row>
    <row r="39" spans="1:1" x14ac:dyDescent="0.3">
      <c r="A39" t="s">
        <v>89</v>
      </c>
    </row>
    <row r="40" spans="1:1" x14ac:dyDescent="0.3">
      <c r="A40" t="s">
        <v>91</v>
      </c>
    </row>
    <row r="41" spans="1:1" x14ac:dyDescent="0.3">
      <c r="A41" t="s">
        <v>93</v>
      </c>
    </row>
    <row r="42" spans="1:1" x14ac:dyDescent="0.3">
      <c r="A42" t="s">
        <v>95</v>
      </c>
    </row>
    <row r="43" spans="1:1" x14ac:dyDescent="0.3">
      <c r="A43" t="s">
        <v>97</v>
      </c>
    </row>
    <row r="44" spans="1:1" x14ac:dyDescent="0.3">
      <c r="A44" t="s">
        <v>99</v>
      </c>
    </row>
    <row r="45" spans="1:1" x14ac:dyDescent="0.3">
      <c r="A45" t="s">
        <v>101</v>
      </c>
    </row>
    <row r="46" spans="1:1" x14ac:dyDescent="0.3">
      <c r="A46" t="s">
        <v>103</v>
      </c>
    </row>
    <row r="47" spans="1:1" x14ac:dyDescent="0.3">
      <c r="A47" t="s">
        <v>105</v>
      </c>
    </row>
    <row r="48" spans="1:1" x14ac:dyDescent="0.3">
      <c r="A48" t="s">
        <v>107</v>
      </c>
    </row>
    <row r="49" spans="1:1" x14ac:dyDescent="0.3">
      <c r="A49" t="s">
        <v>109</v>
      </c>
    </row>
    <row r="50" spans="1:1" x14ac:dyDescent="0.3">
      <c r="A50" t="s">
        <v>111</v>
      </c>
    </row>
    <row r="51" spans="1:1" x14ac:dyDescent="0.3">
      <c r="A51" t="s">
        <v>113</v>
      </c>
    </row>
    <row r="52" spans="1:1" x14ac:dyDescent="0.3">
      <c r="A52" t="s">
        <v>115</v>
      </c>
    </row>
    <row r="53" spans="1:1" x14ac:dyDescent="0.3">
      <c r="A53" t="s">
        <v>117</v>
      </c>
    </row>
    <row r="54" spans="1:1" x14ac:dyDescent="0.3">
      <c r="A54" t="s">
        <v>119</v>
      </c>
    </row>
    <row r="55" spans="1:1" x14ac:dyDescent="0.3">
      <c r="A55" t="s">
        <v>121</v>
      </c>
    </row>
    <row r="56" spans="1:1" x14ac:dyDescent="0.3">
      <c r="A56" t="s">
        <v>123</v>
      </c>
    </row>
    <row r="57" spans="1:1" x14ac:dyDescent="0.3">
      <c r="A57" t="s">
        <v>125</v>
      </c>
    </row>
    <row r="58" spans="1:1" x14ac:dyDescent="0.3">
      <c r="A58" t="s">
        <v>127</v>
      </c>
    </row>
    <row r="59" spans="1:1" x14ac:dyDescent="0.3">
      <c r="A59" t="s">
        <v>129</v>
      </c>
    </row>
    <row r="60" spans="1:1" x14ac:dyDescent="0.3">
      <c r="A60" t="s">
        <v>131</v>
      </c>
    </row>
    <row r="61" spans="1:1" x14ac:dyDescent="0.3">
      <c r="A61" t="s">
        <v>133</v>
      </c>
    </row>
    <row r="62" spans="1:1" x14ac:dyDescent="0.3">
      <c r="A62" t="s">
        <v>135</v>
      </c>
    </row>
    <row r="63" spans="1:1" x14ac:dyDescent="0.3">
      <c r="A63" t="s">
        <v>137</v>
      </c>
    </row>
    <row r="64" spans="1:1" x14ac:dyDescent="0.3">
      <c r="A64" t="s">
        <v>139</v>
      </c>
    </row>
    <row r="65" spans="1:1" x14ac:dyDescent="0.3">
      <c r="A65" t="s">
        <v>141</v>
      </c>
    </row>
    <row r="66" spans="1:1" x14ac:dyDescent="0.3">
      <c r="A66" t="s">
        <v>143</v>
      </c>
    </row>
    <row r="67" spans="1:1" x14ac:dyDescent="0.3">
      <c r="A67" t="s">
        <v>145</v>
      </c>
    </row>
    <row r="68" spans="1:1" x14ac:dyDescent="0.3">
      <c r="A68" t="s">
        <v>147</v>
      </c>
    </row>
    <row r="69" spans="1:1" x14ac:dyDescent="0.3">
      <c r="A69" t="s">
        <v>149</v>
      </c>
    </row>
    <row r="70" spans="1:1" x14ac:dyDescent="0.3">
      <c r="A70" t="s">
        <v>151</v>
      </c>
    </row>
    <row r="71" spans="1:1" x14ac:dyDescent="0.3">
      <c r="A71" t="s">
        <v>153</v>
      </c>
    </row>
    <row r="72" spans="1:1" x14ac:dyDescent="0.3">
      <c r="A72" t="s">
        <v>155</v>
      </c>
    </row>
    <row r="73" spans="1:1" x14ac:dyDescent="0.3">
      <c r="A73" t="s">
        <v>157</v>
      </c>
    </row>
    <row r="74" spans="1:1" x14ac:dyDescent="0.3">
      <c r="A74" t="s">
        <v>159</v>
      </c>
    </row>
    <row r="75" spans="1:1" x14ac:dyDescent="0.3">
      <c r="A75" t="s">
        <v>161</v>
      </c>
    </row>
    <row r="76" spans="1:1" x14ac:dyDescent="0.3">
      <c r="A76" t="s">
        <v>163</v>
      </c>
    </row>
    <row r="77" spans="1:1" x14ac:dyDescent="0.3">
      <c r="A77" t="s">
        <v>165</v>
      </c>
    </row>
    <row r="78" spans="1:1" x14ac:dyDescent="0.3">
      <c r="A78" t="s">
        <v>167</v>
      </c>
    </row>
    <row r="79" spans="1:1" x14ac:dyDescent="0.3">
      <c r="A79" t="s">
        <v>169</v>
      </c>
    </row>
    <row r="80" spans="1:1" x14ac:dyDescent="0.3">
      <c r="A80" t="s">
        <v>171</v>
      </c>
    </row>
    <row r="81" spans="1:1" x14ac:dyDescent="0.3">
      <c r="A81" t="s">
        <v>173</v>
      </c>
    </row>
    <row r="82" spans="1:1" x14ac:dyDescent="0.3">
      <c r="A82" t="s">
        <v>175</v>
      </c>
    </row>
    <row r="83" spans="1:1" x14ac:dyDescent="0.3">
      <c r="A83" t="s">
        <v>177</v>
      </c>
    </row>
    <row r="84" spans="1:1" x14ac:dyDescent="0.3">
      <c r="A84" t="s">
        <v>179</v>
      </c>
    </row>
    <row r="85" spans="1:1" x14ac:dyDescent="0.3">
      <c r="A85" t="s">
        <v>181</v>
      </c>
    </row>
    <row r="86" spans="1:1" x14ac:dyDescent="0.3">
      <c r="A86" t="s">
        <v>183</v>
      </c>
    </row>
    <row r="87" spans="1:1" x14ac:dyDescent="0.3">
      <c r="A87" t="s">
        <v>185</v>
      </c>
    </row>
    <row r="88" spans="1:1" x14ac:dyDescent="0.3">
      <c r="A88" t="s">
        <v>187</v>
      </c>
    </row>
    <row r="89" spans="1:1" x14ac:dyDescent="0.3">
      <c r="A89" t="s">
        <v>189</v>
      </c>
    </row>
    <row r="90" spans="1:1" x14ac:dyDescent="0.3">
      <c r="A90" t="s">
        <v>191</v>
      </c>
    </row>
    <row r="91" spans="1:1" x14ac:dyDescent="0.3">
      <c r="A91" t="s">
        <v>193</v>
      </c>
    </row>
    <row r="92" spans="1:1" x14ac:dyDescent="0.3">
      <c r="A92" t="s">
        <v>195</v>
      </c>
    </row>
    <row r="93" spans="1:1" x14ac:dyDescent="0.3">
      <c r="A93" t="s">
        <v>197</v>
      </c>
    </row>
    <row r="94" spans="1:1" x14ac:dyDescent="0.3">
      <c r="A94" t="s">
        <v>199</v>
      </c>
    </row>
    <row r="95" spans="1:1" x14ac:dyDescent="0.3">
      <c r="A95" t="s">
        <v>201</v>
      </c>
    </row>
    <row r="96" spans="1:1" x14ac:dyDescent="0.3">
      <c r="A96" t="s">
        <v>203</v>
      </c>
    </row>
    <row r="97" spans="1:1" x14ac:dyDescent="0.3">
      <c r="A97" t="s">
        <v>205</v>
      </c>
    </row>
    <row r="98" spans="1:1" x14ac:dyDescent="0.3">
      <c r="A98" t="s">
        <v>207</v>
      </c>
    </row>
    <row r="99" spans="1:1" x14ac:dyDescent="0.3">
      <c r="A99" t="s">
        <v>209</v>
      </c>
    </row>
    <row r="100" spans="1:1" x14ac:dyDescent="0.3">
      <c r="A100" t="s">
        <v>211</v>
      </c>
    </row>
    <row r="101" spans="1:1" x14ac:dyDescent="0.3">
      <c r="A101" t="s">
        <v>213</v>
      </c>
    </row>
    <row r="102" spans="1:1" x14ac:dyDescent="0.3">
      <c r="A102" t="s">
        <v>215</v>
      </c>
    </row>
    <row r="103" spans="1:1" x14ac:dyDescent="0.3">
      <c r="A103" t="s">
        <v>217</v>
      </c>
    </row>
    <row r="104" spans="1:1" x14ac:dyDescent="0.3">
      <c r="A104" t="s">
        <v>219</v>
      </c>
    </row>
    <row r="105" spans="1:1" x14ac:dyDescent="0.3">
      <c r="A105" t="s">
        <v>221</v>
      </c>
    </row>
    <row r="106" spans="1:1" x14ac:dyDescent="0.3">
      <c r="A106" t="s">
        <v>223</v>
      </c>
    </row>
    <row r="107" spans="1:1" x14ac:dyDescent="0.3">
      <c r="A107" t="s">
        <v>225</v>
      </c>
    </row>
    <row r="108" spans="1:1" x14ac:dyDescent="0.3">
      <c r="A108" t="s">
        <v>227</v>
      </c>
    </row>
    <row r="109" spans="1:1" x14ac:dyDescent="0.3">
      <c r="A109" t="s">
        <v>229</v>
      </c>
    </row>
    <row r="110" spans="1:1" x14ac:dyDescent="0.3">
      <c r="A110" t="s">
        <v>231</v>
      </c>
    </row>
    <row r="111" spans="1:1" x14ac:dyDescent="0.3">
      <c r="A111" t="s">
        <v>233</v>
      </c>
    </row>
    <row r="112" spans="1:1" x14ac:dyDescent="0.3">
      <c r="A112" t="s">
        <v>235</v>
      </c>
    </row>
    <row r="113" spans="1:1" x14ac:dyDescent="0.3">
      <c r="A113" t="s">
        <v>237</v>
      </c>
    </row>
    <row r="114" spans="1:1" x14ac:dyDescent="0.3">
      <c r="A114" t="s">
        <v>239</v>
      </c>
    </row>
    <row r="115" spans="1:1" x14ac:dyDescent="0.3">
      <c r="A115" t="s">
        <v>241</v>
      </c>
    </row>
    <row r="116" spans="1:1" x14ac:dyDescent="0.3">
      <c r="A116" t="s">
        <v>243</v>
      </c>
    </row>
    <row r="117" spans="1:1" x14ac:dyDescent="0.3">
      <c r="A117" t="s">
        <v>245</v>
      </c>
    </row>
    <row r="118" spans="1:1" x14ac:dyDescent="0.3">
      <c r="A118" t="s">
        <v>247</v>
      </c>
    </row>
    <row r="119" spans="1:1" x14ac:dyDescent="0.3">
      <c r="A119" t="s">
        <v>249</v>
      </c>
    </row>
    <row r="120" spans="1:1" x14ac:dyDescent="0.3">
      <c r="A120" t="s">
        <v>251</v>
      </c>
    </row>
    <row r="121" spans="1:1" x14ac:dyDescent="0.3">
      <c r="A121" t="s">
        <v>253</v>
      </c>
    </row>
    <row r="122" spans="1:1" x14ac:dyDescent="0.3">
      <c r="A122" t="s">
        <v>255</v>
      </c>
    </row>
    <row r="123" spans="1:1" x14ac:dyDescent="0.3">
      <c r="A123" t="s">
        <v>257</v>
      </c>
    </row>
    <row r="124" spans="1:1" x14ac:dyDescent="0.3">
      <c r="A124" t="s">
        <v>259</v>
      </c>
    </row>
    <row r="125" spans="1:1" x14ac:dyDescent="0.3">
      <c r="A125" t="s">
        <v>261</v>
      </c>
    </row>
    <row r="126" spans="1:1" x14ac:dyDescent="0.3">
      <c r="A126" t="s">
        <v>263</v>
      </c>
    </row>
    <row r="127" spans="1:1" x14ac:dyDescent="0.3">
      <c r="A127" t="s">
        <v>265</v>
      </c>
    </row>
    <row r="128" spans="1:1" x14ac:dyDescent="0.3">
      <c r="A128" t="s">
        <v>267</v>
      </c>
    </row>
    <row r="129" spans="1:1" x14ac:dyDescent="0.3">
      <c r="A129" t="s">
        <v>269</v>
      </c>
    </row>
    <row r="130" spans="1:1" x14ac:dyDescent="0.3">
      <c r="A130" t="s">
        <v>271</v>
      </c>
    </row>
    <row r="131" spans="1:1" x14ac:dyDescent="0.3">
      <c r="A131" t="s">
        <v>273</v>
      </c>
    </row>
    <row r="132" spans="1:1" x14ac:dyDescent="0.3">
      <c r="A132" t="s">
        <v>275</v>
      </c>
    </row>
    <row r="133" spans="1:1" x14ac:dyDescent="0.3">
      <c r="A133" t="s">
        <v>277</v>
      </c>
    </row>
    <row r="134" spans="1:1" x14ac:dyDescent="0.3">
      <c r="A134" t="s">
        <v>279</v>
      </c>
    </row>
    <row r="135" spans="1:1" x14ac:dyDescent="0.3">
      <c r="A135" t="s">
        <v>281</v>
      </c>
    </row>
    <row r="136" spans="1:1" x14ac:dyDescent="0.3">
      <c r="A136" t="s">
        <v>283</v>
      </c>
    </row>
    <row r="137" spans="1:1" x14ac:dyDescent="0.3">
      <c r="A137" t="s">
        <v>285</v>
      </c>
    </row>
    <row r="138" spans="1:1" x14ac:dyDescent="0.3">
      <c r="A138" t="s">
        <v>287</v>
      </c>
    </row>
    <row r="139" spans="1:1" x14ac:dyDescent="0.3">
      <c r="A139" t="s">
        <v>289</v>
      </c>
    </row>
    <row r="140" spans="1:1" x14ac:dyDescent="0.3">
      <c r="A140" t="s">
        <v>291</v>
      </c>
    </row>
    <row r="141" spans="1:1" x14ac:dyDescent="0.3">
      <c r="A141" t="s">
        <v>293</v>
      </c>
    </row>
    <row r="142" spans="1:1" x14ac:dyDescent="0.3">
      <c r="A142" t="s">
        <v>295</v>
      </c>
    </row>
    <row r="143" spans="1:1" x14ac:dyDescent="0.3">
      <c r="A143" t="s">
        <v>297</v>
      </c>
    </row>
    <row r="144" spans="1:1" x14ac:dyDescent="0.3">
      <c r="A144" t="s">
        <v>299</v>
      </c>
    </row>
    <row r="145" spans="1:1" x14ac:dyDescent="0.3">
      <c r="A145" t="s">
        <v>301</v>
      </c>
    </row>
    <row r="146" spans="1:1" x14ac:dyDescent="0.3">
      <c r="A146" t="s">
        <v>303</v>
      </c>
    </row>
    <row r="147" spans="1:1" x14ac:dyDescent="0.3">
      <c r="A147" t="s">
        <v>305</v>
      </c>
    </row>
    <row r="148" spans="1:1" x14ac:dyDescent="0.3">
      <c r="A148" t="s">
        <v>307</v>
      </c>
    </row>
    <row r="149" spans="1:1" x14ac:dyDescent="0.3">
      <c r="A149" t="s">
        <v>309</v>
      </c>
    </row>
    <row r="150" spans="1:1" x14ac:dyDescent="0.3">
      <c r="A150" t="s">
        <v>311</v>
      </c>
    </row>
    <row r="151" spans="1:1" x14ac:dyDescent="0.3">
      <c r="A151" t="s">
        <v>313</v>
      </c>
    </row>
    <row r="152" spans="1:1" x14ac:dyDescent="0.3">
      <c r="A152" t="s">
        <v>315</v>
      </c>
    </row>
    <row r="153" spans="1:1" x14ac:dyDescent="0.3">
      <c r="A153" t="s">
        <v>317</v>
      </c>
    </row>
    <row r="154" spans="1:1" x14ac:dyDescent="0.3">
      <c r="A154" t="s">
        <v>319</v>
      </c>
    </row>
    <row r="155" spans="1:1" x14ac:dyDescent="0.3">
      <c r="A155" t="s">
        <v>321</v>
      </c>
    </row>
    <row r="156" spans="1:1" x14ac:dyDescent="0.3">
      <c r="A156" t="s">
        <v>323</v>
      </c>
    </row>
    <row r="157" spans="1:1" x14ac:dyDescent="0.3">
      <c r="A157" t="s">
        <v>325</v>
      </c>
    </row>
    <row r="158" spans="1:1" x14ac:dyDescent="0.3">
      <c r="A158" t="s">
        <v>327</v>
      </c>
    </row>
    <row r="159" spans="1:1" x14ac:dyDescent="0.3">
      <c r="A159" t="s">
        <v>329</v>
      </c>
    </row>
    <row r="160" spans="1:1" x14ac:dyDescent="0.3">
      <c r="A160" t="s">
        <v>331</v>
      </c>
    </row>
    <row r="161" spans="1:1" x14ac:dyDescent="0.3">
      <c r="A161" t="s">
        <v>333</v>
      </c>
    </row>
    <row r="162" spans="1:1" x14ac:dyDescent="0.3">
      <c r="A162" t="s">
        <v>335</v>
      </c>
    </row>
    <row r="163" spans="1:1" x14ac:dyDescent="0.3">
      <c r="A163" t="s">
        <v>337</v>
      </c>
    </row>
    <row r="164" spans="1:1" x14ac:dyDescent="0.3">
      <c r="A164" t="s">
        <v>339</v>
      </c>
    </row>
    <row r="165" spans="1:1" x14ac:dyDescent="0.3">
      <c r="A165" t="s">
        <v>341</v>
      </c>
    </row>
    <row r="166" spans="1:1" x14ac:dyDescent="0.3">
      <c r="A166" t="s">
        <v>343</v>
      </c>
    </row>
    <row r="167" spans="1:1" x14ac:dyDescent="0.3">
      <c r="A167" t="s">
        <v>345</v>
      </c>
    </row>
    <row r="168" spans="1:1" x14ac:dyDescent="0.3">
      <c r="A168" t="s">
        <v>347</v>
      </c>
    </row>
    <row r="169" spans="1:1" x14ac:dyDescent="0.3">
      <c r="A169" t="s">
        <v>349</v>
      </c>
    </row>
    <row r="170" spans="1:1" x14ac:dyDescent="0.3">
      <c r="A170" t="s">
        <v>351</v>
      </c>
    </row>
    <row r="171" spans="1:1" x14ac:dyDescent="0.3">
      <c r="A171" t="s">
        <v>353</v>
      </c>
    </row>
    <row r="172" spans="1:1" x14ac:dyDescent="0.3">
      <c r="A172" t="s">
        <v>355</v>
      </c>
    </row>
    <row r="173" spans="1:1" x14ac:dyDescent="0.3">
      <c r="A173" t="s">
        <v>357</v>
      </c>
    </row>
    <row r="174" spans="1:1" x14ac:dyDescent="0.3">
      <c r="A174" t="s">
        <v>359</v>
      </c>
    </row>
    <row r="175" spans="1:1" x14ac:dyDescent="0.3">
      <c r="A175" t="s">
        <v>360</v>
      </c>
    </row>
    <row r="176" spans="1:1" x14ac:dyDescent="0.3">
      <c r="A176" t="s">
        <v>362</v>
      </c>
    </row>
    <row r="177" spans="1:1" x14ac:dyDescent="0.3">
      <c r="A177" t="s">
        <v>364</v>
      </c>
    </row>
    <row r="178" spans="1:1" x14ac:dyDescent="0.3">
      <c r="A178" t="s">
        <v>366</v>
      </c>
    </row>
    <row r="179" spans="1:1" x14ac:dyDescent="0.3">
      <c r="A179" t="s">
        <v>368</v>
      </c>
    </row>
    <row r="180" spans="1:1" x14ac:dyDescent="0.3">
      <c r="A180" t="s">
        <v>370</v>
      </c>
    </row>
    <row r="181" spans="1:1" x14ac:dyDescent="0.3">
      <c r="A181" t="s">
        <v>372</v>
      </c>
    </row>
    <row r="182" spans="1:1" x14ac:dyDescent="0.3">
      <c r="A182" t="s">
        <v>374</v>
      </c>
    </row>
    <row r="183" spans="1:1" x14ac:dyDescent="0.3">
      <c r="A183" t="s">
        <v>376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1A9A6F-32BC-478F-BEA5-AF28BEA49C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SQL_Data_Import</vt:lpstr>
      <vt:lpstr>Assumptions</vt:lpstr>
      <vt:lpstr>Scenario_Model</vt:lpstr>
      <vt:lpstr>Sensitivity_Analysis</vt:lpstr>
      <vt:lpstr>Dashboard</vt:lpstr>
      <vt:lpstr>Hidden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Wasiq Khan [MCA - 2023]</dc:creator>
  <cp:lastModifiedBy>Mohd Wasiq Khan [MCA - 2023]</cp:lastModifiedBy>
  <dcterms:created xsi:type="dcterms:W3CDTF">2026-07-20T22:49:27Z</dcterms:created>
  <dcterms:modified xsi:type="dcterms:W3CDTF">2026-07-30T21:34:52Z</dcterms:modified>
</cp:coreProperties>
</file>