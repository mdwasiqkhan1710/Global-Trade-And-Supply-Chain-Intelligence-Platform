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hp\OneDrive\Desktop\global-trade-supply-chain-intelligence\excel\"/>
    </mc:Choice>
  </mc:AlternateContent>
  <xr:revisionPtr revIDLastSave="0" documentId="13_ncr:1_{0DCF9BBC-9368-4A8C-8784-99EB37F6E213}" xr6:coauthVersionLast="47" xr6:coauthVersionMax="47" xr10:uidLastSave="{00000000-0000-0000-0000-000000000000}"/>
  <bookViews>
    <workbookView xWindow="-108" yWindow="-108" windowWidth="23256" windowHeight="12456" activeTab="3" xr2:uid="{A62B1CB5-28E7-4A73-A7A2-B97D4ED5C9D5}"/>
  </bookViews>
  <sheets>
    <sheet name="Data_Import" sheetId="2" r:id="rId1"/>
    <sheet name="Data_Quality_Check" sheetId="1" r:id="rId2"/>
    <sheet name="Pivot_Tables" sheetId="3" r:id="rId3"/>
    <sheet name="Executive_Dashboard" sheetId="9" r:id="rId4"/>
  </sheets>
  <definedNames>
    <definedName name="ExternalData_1" localSheetId="0" hidden="1">Data_Import!$A$1:$K$1630</definedName>
    <definedName name="Slicer_reference_year">#N/A</definedName>
    <definedName name="Slicer_reporter_iso3">#N/A</definedName>
    <definedName name="XEW4A1">Data_Import!$XEL$4</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43" i="3" l="1"/>
  <c r="C843" i="3"/>
  <c r="B843" i="3"/>
  <c r="A843" i="3"/>
  <c r="B12" i="1"/>
  <c r="B11" i="1"/>
  <c r="B10" i="1"/>
  <c r="B9" i="1"/>
  <c r="B8" i="1"/>
  <c r="B7" i="1" a="1"/>
  <c r="B6" i="1"/>
  <c r="B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13B9507-E4FD-40D4-80F3-6B480D183CD0}" keepAlive="1" name="Query - vw_dashboard_dataset" description="Connection to the 'vw_dashboard_dataset' query in the workbook." type="5" refreshedVersion="8" background="1" saveData="1">
    <dbPr connection="Provider=Microsoft.Mashup.OleDb.1;Data Source=$Workbook$;Location=vw_dashboard_dataset;Extended Properties=&quot;&quot;" command="SELECT * FROM [vw_dashboard_datase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<sst xmlns="http://schemas.openxmlformats.org/spreadsheetml/2006/main" count="3753" uniqueCount="418">
  <si>
    <t>reporter_iso3</t>
  </si>
  <si>
    <t>reporter_name</t>
  </si>
  <si>
    <t>reference_year</t>
  </si>
  <si>
    <t>total_exports_usd</t>
  </si>
  <si>
    <t>gdp_current_usd</t>
  </si>
  <si>
    <t>population_total</t>
  </si>
  <si>
    <t>gdp_growth_annual_pct</t>
  </si>
  <si>
    <t>trade_pct_of_gdp</t>
  </si>
  <si>
    <t>global_export_rank</t>
  </si>
  <si>
    <t>previous_year_exports</t>
  </si>
  <si>
    <t>yoy_export_growth_pct</t>
  </si>
  <si>
    <t>ABW</t>
  </si>
  <si>
    <t>Aruba</t>
  </si>
  <si>
    <t>AFG</t>
  </si>
  <si>
    <t>Afghanistan</t>
  </si>
  <si>
    <t>AGO</t>
  </si>
  <si>
    <t>Angola</t>
  </si>
  <si>
    <t>ALB</t>
  </si>
  <si>
    <t>Albania</t>
  </si>
  <si>
    <t>AND</t>
  </si>
  <si>
    <t>Andorra</t>
  </si>
  <si>
    <t>ARE</t>
  </si>
  <si>
    <t>United Arab Emirates</t>
  </si>
  <si>
    <t>ARG</t>
  </si>
  <si>
    <t>Argentina</t>
  </si>
  <si>
    <t>ARM</t>
  </si>
  <si>
    <t>Armenia</t>
  </si>
  <si>
    <t>ATG</t>
  </si>
  <si>
    <t>Antigua and Barbuda</t>
  </si>
  <si>
    <t>AUS</t>
  </si>
  <si>
    <t>Australia</t>
  </si>
  <si>
    <t>AUT</t>
  </si>
  <si>
    <t>Austria</t>
  </si>
  <si>
    <t>AZE</t>
  </si>
  <si>
    <t>Azerbaijan</t>
  </si>
  <si>
    <t>BDI</t>
  </si>
  <si>
    <t>Burundi</t>
  </si>
  <si>
    <t>BEL</t>
  </si>
  <si>
    <t>Belgium</t>
  </si>
  <si>
    <t>BEN</t>
  </si>
  <si>
    <t>Benin</t>
  </si>
  <si>
    <t>BFA</t>
  </si>
  <si>
    <t>Burkina Faso</t>
  </si>
  <si>
    <t>BGD</t>
  </si>
  <si>
    <t>Bangladesh</t>
  </si>
  <si>
    <t>BGR</t>
  </si>
  <si>
    <t>Bulgaria</t>
  </si>
  <si>
    <t>BHR</t>
  </si>
  <si>
    <t>Bahrain</t>
  </si>
  <si>
    <t>BHS</t>
  </si>
  <si>
    <t>Bahamas</t>
  </si>
  <si>
    <t>BIH</t>
  </si>
  <si>
    <t>Bosnia Herzegovina</t>
  </si>
  <si>
    <t>BLR</t>
  </si>
  <si>
    <t>Belarus</t>
  </si>
  <si>
    <t>BLZ</t>
  </si>
  <si>
    <t>Belize</t>
  </si>
  <si>
    <t>BMU</t>
  </si>
  <si>
    <t>Bermuda</t>
  </si>
  <si>
    <t>BOL</t>
  </si>
  <si>
    <t>Bolivia (Plurinational State of)</t>
  </si>
  <si>
    <t>BRA</t>
  </si>
  <si>
    <t>Brazil</t>
  </si>
  <si>
    <t>BRB</t>
  </si>
  <si>
    <t>Barbados</t>
  </si>
  <si>
    <t>BRN</t>
  </si>
  <si>
    <t>Brunei Darussalam</t>
  </si>
  <si>
    <t>BTN</t>
  </si>
  <si>
    <t>Bhutan</t>
  </si>
  <si>
    <t>BWA</t>
  </si>
  <si>
    <t>Botswana</t>
  </si>
  <si>
    <t>CAF</t>
  </si>
  <si>
    <t>Central African Rep.</t>
  </si>
  <si>
    <t>CAN</t>
  </si>
  <si>
    <t>Canada</t>
  </si>
  <si>
    <t>CHL</t>
  </si>
  <si>
    <t>Chile</t>
  </si>
  <si>
    <t>CHN</t>
  </si>
  <si>
    <t>China</t>
  </si>
  <si>
    <t>CMR</t>
  </si>
  <si>
    <t>Cameroon</t>
  </si>
  <si>
    <t>COD</t>
  </si>
  <si>
    <t>Dem. Rep. of the Congo</t>
  </si>
  <si>
    <t>COG</t>
  </si>
  <si>
    <t>Congo</t>
  </si>
  <si>
    <t>COL</t>
  </si>
  <si>
    <t>Colombia</t>
  </si>
  <si>
    <t>COM</t>
  </si>
  <si>
    <t>Comoros</t>
  </si>
  <si>
    <t>CPV</t>
  </si>
  <si>
    <t>Cabo Verde</t>
  </si>
  <si>
    <t>CRI</t>
  </si>
  <si>
    <t>Costa Rica</t>
  </si>
  <si>
    <t>CUB</t>
  </si>
  <si>
    <t>Cuba</t>
  </si>
  <si>
    <t>CUW</t>
  </si>
  <si>
    <t>Curaçao</t>
  </si>
  <si>
    <t>CYM</t>
  </si>
  <si>
    <t>Cayman Isds</t>
  </si>
  <si>
    <t>CYP</t>
  </si>
  <si>
    <t>Cyprus</t>
  </si>
  <si>
    <t>CZE</t>
  </si>
  <si>
    <t>Czechia</t>
  </si>
  <si>
    <t>DJI</t>
  </si>
  <si>
    <t>Djibouti</t>
  </si>
  <si>
    <t>DMA</t>
  </si>
  <si>
    <t>Dominica</t>
  </si>
  <si>
    <t>DNK</t>
  </si>
  <si>
    <t>Denmark</t>
  </si>
  <si>
    <t>DOM</t>
  </si>
  <si>
    <t>Dominican Rep.</t>
  </si>
  <si>
    <t>DZA</t>
  </si>
  <si>
    <t>Algeria</t>
  </si>
  <si>
    <t>ECU</t>
  </si>
  <si>
    <t>Ecuador</t>
  </si>
  <si>
    <t>EGY</t>
  </si>
  <si>
    <t>Egypt</t>
  </si>
  <si>
    <t>ESP</t>
  </si>
  <si>
    <t>Spain</t>
  </si>
  <si>
    <t>EST</t>
  </si>
  <si>
    <t>Estonia</t>
  </si>
  <si>
    <t>ETH</t>
  </si>
  <si>
    <t>Ethiopia</t>
  </si>
  <si>
    <t>FIN</t>
  </si>
  <si>
    <t>Finland</t>
  </si>
  <si>
    <t>FJI</t>
  </si>
  <si>
    <t>Fiji</t>
  </si>
  <si>
    <t>FRA</t>
  </si>
  <si>
    <t>France</t>
  </si>
  <si>
    <t>GAB</t>
  </si>
  <si>
    <t>Gabon</t>
  </si>
  <si>
    <t>GBR</t>
  </si>
  <si>
    <t>United Kingdom</t>
  </si>
  <si>
    <t>GEO</t>
  </si>
  <si>
    <t>Georgia</t>
  </si>
  <si>
    <t>GHA</t>
  </si>
  <si>
    <t>Ghana</t>
  </si>
  <si>
    <t>GIN</t>
  </si>
  <si>
    <t>Guinea</t>
  </si>
  <si>
    <t>GMB</t>
  </si>
  <si>
    <t>Gambia</t>
  </si>
  <si>
    <t>GNB</t>
  </si>
  <si>
    <t>Guinea-Bissau</t>
  </si>
  <si>
    <t>GRC</t>
  </si>
  <si>
    <t>Greece</t>
  </si>
  <si>
    <t>GRD</t>
  </si>
  <si>
    <t>Grenada</t>
  </si>
  <si>
    <t>GRL</t>
  </si>
  <si>
    <t>Greenland</t>
  </si>
  <si>
    <t>GTM</t>
  </si>
  <si>
    <t>Guatemala</t>
  </si>
  <si>
    <t>GUY</t>
  </si>
  <si>
    <t>Guyana</t>
  </si>
  <si>
    <t>HKG</t>
  </si>
  <si>
    <t>China, Hong Kong SAR</t>
  </si>
  <si>
    <t>HND</t>
  </si>
  <si>
    <t>Honduras</t>
  </si>
  <si>
    <t>HRV</t>
  </si>
  <si>
    <t>Croatia</t>
  </si>
  <si>
    <t>HTI</t>
  </si>
  <si>
    <t>Haiti</t>
  </si>
  <si>
    <t>HUN</t>
  </si>
  <si>
    <t>Hungary</t>
  </si>
  <si>
    <t>IDN</t>
  </si>
  <si>
    <t>Indonesia</t>
  </si>
  <si>
    <t>IND</t>
  </si>
  <si>
    <t>India</t>
  </si>
  <si>
    <t>IRL</t>
  </si>
  <si>
    <t>Ireland</t>
  </si>
  <si>
    <t>IRN</t>
  </si>
  <si>
    <t>Iran</t>
  </si>
  <si>
    <t>IRQ</t>
  </si>
  <si>
    <t>Iraq</t>
  </si>
  <si>
    <t>ISL</t>
  </si>
  <si>
    <t>Iceland</t>
  </si>
  <si>
    <t>ISR</t>
  </si>
  <si>
    <t>Israel</t>
  </si>
  <si>
    <t>ITA</t>
  </si>
  <si>
    <t>Italy</t>
  </si>
  <si>
    <t>JAM</t>
  </si>
  <si>
    <t>Jamaica</t>
  </si>
  <si>
    <t>JOR</t>
  </si>
  <si>
    <t>Jordan</t>
  </si>
  <si>
    <t>JPN</t>
  </si>
  <si>
    <t>Japan</t>
  </si>
  <si>
    <t>KAZ</t>
  </si>
  <si>
    <t>Kazakhstan</t>
  </si>
  <si>
    <t>KEN</t>
  </si>
  <si>
    <t>Kenya</t>
  </si>
  <si>
    <t>KGZ</t>
  </si>
  <si>
    <t>Kyrgyzstan</t>
  </si>
  <si>
    <t>KHM</t>
  </si>
  <si>
    <t>Cambodia</t>
  </si>
  <si>
    <t>KIR</t>
  </si>
  <si>
    <t>Kiribati</t>
  </si>
  <si>
    <t>KNA</t>
  </si>
  <si>
    <t>Saint Kitts and Nevis</t>
  </si>
  <si>
    <t>KOR</t>
  </si>
  <si>
    <t>Rep. of Korea</t>
  </si>
  <si>
    <t>KWT</t>
  </si>
  <si>
    <t>Kuwait</t>
  </si>
  <si>
    <t>LAO</t>
  </si>
  <si>
    <t>Lao People's Dem. Rep.</t>
  </si>
  <si>
    <t>LBN</t>
  </si>
  <si>
    <t>Lebanon</t>
  </si>
  <si>
    <t>LBR</t>
  </si>
  <si>
    <t>Liberia</t>
  </si>
  <si>
    <t>LBY</t>
  </si>
  <si>
    <t>Libya</t>
  </si>
  <si>
    <t>LCA</t>
  </si>
  <si>
    <t>Saint Lucia</t>
  </si>
  <si>
    <t>LKA</t>
  </si>
  <si>
    <t>Sri Lanka</t>
  </si>
  <si>
    <t>LSO</t>
  </si>
  <si>
    <t>Lesotho</t>
  </si>
  <si>
    <t>LTU</t>
  </si>
  <si>
    <t>Lithuania</t>
  </si>
  <si>
    <t>LUX</t>
  </si>
  <si>
    <t>Luxembourg</t>
  </si>
  <si>
    <t>LVA</t>
  </si>
  <si>
    <t>Latvia</t>
  </si>
  <si>
    <t>MAC</t>
  </si>
  <si>
    <t>China, Macao SAR</t>
  </si>
  <si>
    <t>MAR</t>
  </si>
  <si>
    <t>Morocco</t>
  </si>
  <si>
    <t>MDA</t>
  </si>
  <si>
    <t>Rep. of Moldova</t>
  </si>
  <si>
    <t>MDG</t>
  </si>
  <si>
    <t>Madagascar</t>
  </si>
  <si>
    <t>MDV</t>
  </si>
  <si>
    <t>Maldives</t>
  </si>
  <si>
    <t>MEX</t>
  </si>
  <si>
    <t>Mexico</t>
  </si>
  <si>
    <t>MKD</t>
  </si>
  <si>
    <t>North Macedonia</t>
  </si>
  <si>
    <t>MLI</t>
  </si>
  <si>
    <t>Mali</t>
  </si>
  <si>
    <t>MLT</t>
  </si>
  <si>
    <t>Malta</t>
  </si>
  <si>
    <t>MMR</t>
  </si>
  <si>
    <t>Myanmar</t>
  </si>
  <si>
    <t>MNE</t>
  </si>
  <si>
    <t>Montenegro</t>
  </si>
  <si>
    <t>MNG</t>
  </si>
  <si>
    <t>Mongolia</t>
  </si>
  <si>
    <t>MOZ</t>
  </si>
  <si>
    <t>Mozambique</t>
  </si>
  <si>
    <t>MRT</t>
  </si>
  <si>
    <t>Mauritania</t>
  </si>
  <si>
    <t>MSR</t>
  </si>
  <si>
    <t>Montserrat</t>
  </si>
  <si>
    <t>MUS</t>
  </si>
  <si>
    <t>Mauritius</t>
  </si>
  <si>
    <t>MWI</t>
  </si>
  <si>
    <t>Malawi</t>
  </si>
  <si>
    <t>MYS</t>
  </si>
  <si>
    <t>Malaysia</t>
  </si>
  <si>
    <t>NAM</t>
  </si>
  <si>
    <t>Namibia</t>
  </si>
  <si>
    <t>NCL</t>
  </si>
  <si>
    <t>New Caledonia</t>
  </si>
  <si>
    <t>NER</t>
  </si>
  <si>
    <t>Niger</t>
  </si>
  <si>
    <t>NGA</t>
  </si>
  <si>
    <t>Nigeria</t>
  </si>
  <si>
    <t>NIC</t>
  </si>
  <si>
    <t>Nicaragua</t>
  </si>
  <si>
    <t>NLD</t>
  </si>
  <si>
    <t>Netherlands</t>
  </si>
  <si>
    <t>NPL</t>
  </si>
  <si>
    <t>Nepal</t>
  </si>
  <si>
    <t>NZL</t>
  </si>
  <si>
    <t>New Zealand</t>
  </si>
  <si>
    <t>OMN</t>
  </si>
  <si>
    <t>Oman</t>
  </si>
  <si>
    <t>PAK</t>
  </si>
  <si>
    <t>Pakistan</t>
  </si>
  <si>
    <t>PAN</t>
  </si>
  <si>
    <t>Panama</t>
  </si>
  <si>
    <t>PER</t>
  </si>
  <si>
    <t>Peru</t>
  </si>
  <si>
    <t>PHL</t>
  </si>
  <si>
    <t>Philippines</t>
  </si>
  <si>
    <t>PLW</t>
  </si>
  <si>
    <t>Palau</t>
  </si>
  <si>
    <t>PNG</t>
  </si>
  <si>
    <t>Papua New Guinea</t>
  </si>
  <si>
    <t>POL</t>
  </si>
  <si>
    <t>Poland</t>
  </si>
  <si>
    <t>PRT</t>
  </si>
  <si>
    <t>Portugal</t>
  </si>
  <si>
    <t>PRY</t>
  </si>
  <si>
    <t>Paraguay</t>
  </si>
  <si>
    <t>PSE</t>
  </si>
  <si>
    <t>State of Palestine</t>
  </si>
  <si>
    <t>QAT</t>
  </si>
  <si>
    <t>Qatar</t>
  </si>
  <si>
    <t>ROU</t>
  </si>
  <si>
    <t>Romania</t>
  </si>
  <si>
    <t>RUS</t>
  </si>
  <si>
    <t>Russian Federation</t>
  </si>
  <si>
    <t>RWA</t>
  </si>
  <si>
    <t>Rwanda</t>
  </si>
  <si>
    <t>SAU</t>
  </si>
  <si>
    <t>Saudi Arabia</t>
  </si>
  <si>
    <t>SDN</t>
  </si>
  <si>
    <t>Sudan</t>
  </si>
  <si>
    <t>SEN</t>
  </si>
  <si>
    <t>Senegal</t>
  </si>
  <si>
    <t>SGP</t>
  </si>
  <si>
    <t>Singapore</t>
  </si>
  <si>
    <t>SLB</t>
  </si>
  <si>
    <t>Solomon Isds</t>
  </si>
  <si>
    <t>SLE</t>
  </si>
  <si>
    <t>Sierra Leone</t>
  </si>
  <si>
    <t>SLV</t>
  </si>
  <si>
    <t>El Salvador</t>
  </si>
  <si>
    <t>SRB</t>
  </si>
  <si>
    <t>Serbia</t>
  </si>
  <si>
    <t>STP</t>
  </si>
  <si>
    <t>Sao Tome and Principe</t>
  </si>
  <si>
    <t>SUR</t>
  </si>
  <si>
    <t>Suriname</t>
  </si>
  <si>
    <t>SVK</t>
  </si>
  <si>
    <t>Slovakia</t>
  </si>
  <si>
    <t>SVN</t>
  </si>
  <si>
    <t>Slovenia</t>
  </si>
  <si>
    <t>SWE</t>
  </si>
  <si>
    <t>Sweden</t>
  </si>
  <si>
    <t>SWZ</t>
  </si>
  <si>
    <t>Eswatini</t>
  </si>
  <si>
    <t>SYC</t>
  </si>
  <si>
    <t>Seychelles</t>
  </si>
  <si>
    <t>TGO</t>
  </si>
  <si>
    <t>Togo</t>
  </si>
  <si>
    <t>THA</t>
  </si>
  <si>
    <t>Thailand</t>
  </si>
  <si>
    <t>TJK</t>
  </si>
  <si>
    <t>Tajikistan</t>
  </si>
  <si>
    <t>TLS</t>
  </si>
  <si>
    <t>Timor-Leste</t>
  </si>
  <si>
    <t>TON</t>
  </si>
  <si>
    <t>Tonga</t>
  </si>
  <si>
    <t>TTO</t>
  </si>
  <si>
    <t>Trinidad and Tobago</t>
  </si>
  <si>
    <t>TUN</t>
  </si>
  <si>
    <t>Tunisia</t>
  </si>
  <si>
    <t>TUR</t>
  </si>
  <si>
    <t>Türkiye</t>
  </si>
  <si>
    <t>TZA</t>
  </si>
  <si>
    <t>United Rep. of Tanzania</t>
  </si>
  <si>
    <t>UGA</t>
  </si>
  <si>
    <t>Uganda</t>
  </si>
  <si>
    <t>UKR</t>
  </si>
  <si>
    <t>Ukraine</t>
  </si>
  <si>
    <t>URY</t>
  </si>
  <si>
    <t>Uruguay</t>
  </si>
  <si>
    <t>USA</t>
  </si>
  <si>
    <t>UZB</t>
  </si>
  <si>
    <t>Uzbekistan</t>
  </si>
  <si>
    <t>VCT</t>
  </si>
  <si>
    <t>Saint Vincent and the Grenadines</t>
  </si>
  <si>
    <t>VNM</t>
  </si>
  <si>
    <t>Viet Nam</t>
  </si>
  <si>
    <t>WSM</t>
  </si>
  <si>
    <t>Samoa</t>
  </si>
  <si>
    <t>YEM</t>
  </si>
  <si>
    <t>Yemen</t>
  </si>
  <si>
    <t>ZAF</t>
  </si>
  <si>
    <t>South Africa</t>
  </si>
  <si>
    <t>ZMB</t>
  </si>
  <si>
    <t>Zambia</t>
  </si>
  <si>
    <t>ZWE</t>
  </si>
  <si>
    <t>Zimbabwe</t>
  </si>
  <si>
    <t>Checks</t>
  </si>
  <si>
    <t>Result</t>
  </si>
  <si>
    <t>Total Rows</t>
  </si>
  <si>
    <t>Total Columns</t>
  </si>
  <si>
    <t>Duplicate Rows</t>
  </si>
  <si>
    <t>NULL in trade_pct_of_gdp</t>
  </si>
  <si>
    <t>NULL in previous_year_exports</t>
  </si>
  <si>
    <t>NULL in yoy_export_growth_pct</t>
  </si>
  <si>
    <t>Year Range</t>
  </si>
  <si>
    <t>Number of Countries</t>
  </si>
  <si>
    <t>Checking Data Quality Before Analysis</t>
  </si>
  <si>
    <t>Status</t>
  </si>
  <si>
    <t>Pass</t>
  </si>
  <si>
    <t>Expected</t>
  </si>
  <si>
    <t>Pivot Table 1 - Total Exports by Year</t>
  </si>
  <si>
    <t>Grand Total</t>
  </si>
  <si>
    <t>Sum of total_exports_usd</t>
  </si>
  <si>
    <t>Pivot Table 2 - Top Exporting Countries</t>
  </si>
  <si>
    <t>Year</t>
  </si>
  <si>
    <t>Sum of Total Exports (USD)</t>
  </si>
  <si>
    <t>Total Exports (In USD)</t>
  </si>
  <si>
    <t>Reporter Name (Country)</t>
  </si>
  <si>
    <t>Pivot Table 3 - GDP VS Export Value</t>
  </si>
  <si>
    <t>Average GDP</t>
  </si>
  <si>
    <t>Pivot Table 4 - GDP Growth</t>
  </si>
  <si>
    <t>Average GDP Growth %</t>
  </si>
  <si>
    <t>Reporter Name</t>
  </si>
  <si>
    <t>Sum Total Exports</t>
  </si>
  <si>
    <t>Pivot Table 5 - Trade Openness</t>
  </si>
  <si>
    <t>Average Trade% Of GDP</t>
  </si>
  <si>
    <t>Reporting Countries</t>
  </si>
  <si>
    <t>Pivot Table 6 - Export Growth</t>
  </si>
  <si>
    <t>Average of yoy_export_growth_pct</t>
  </si>
  <si>
    <t>Pivot Table 7 - Country Economic Survey</t>
  </si>
  <si>
    <t>Average of gdp_current_usd</t>
  </si>
  <si>
    <t>Average of population_total</t>
  </si>
  <si>
    <t>Average of gdp_growth_annual_pct</t>
  </si>
  <si>
    <t>Average of trade_pct_of_gdp</t>
  </si>
  <si>
    <t>Adding Slicers repoter_iso3 &amp; reference_year</t>
  </si>
  <si>
    <t>All important KPI's</t>
  </si>
  <si>
    <t>Total Exports</t>
  </si>
  <si>
    <t>Avg. GDP growth</t>
  </si>
  <si>
    <t>Avg. Trade% of GDP</t>
  </si>
  <si>
    <t>Yoy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</si>
</sst>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lt;999950]0.0,&quot;K&quot;;[&lt;999950000]0.0,,&quot;M&quot;;0.0,,,&quot;B&quot;"/>
  </numFmts>
  <fonts count="10" x14ac:knownFonts="1">
    <font>
      <sz val="11"/>
      <color theme="1"/>
      <name val="Calibri"/>
      <family val="2"/>
      <scheme val="minor"/>
    </font>
    <font>
      <b/>
      <sz val="11"/>
      <color theme="1"/>
      <name val="Calibri"/>
      <family val="2"/>
      <scheme val="minor"/>
    </font>
    <font>
      <b/>
      <i/>
      <sz val="11"/>
      <color theme="1"/>
      <name val="Calibri"/>
      <family val="2"/>
      <scheme val="minor"/>
    </font>
    <font>
      <sz val="14"/>
      <color theme="1"/>
      <name val="Calibri"/>
      <family val="2"/>
      <scheme val="minor"/>
    </font>
    <font>
      <b/>
      <sz val="14"/>
      <color theme="1"/>
      <name val="Calibri"/>
      <family val="2"/>
      <scheme val="minor"/>
    </font>
    <font>
      <b/>
      <sz val="14"/>
      <name val="Calibri"/>
      <family val="2"/>
      <scheme val="minor"/>
    </font>
    <font>
      <sz val="14"/>
      <name val="Calibri"/>
      <family val="2"/>
      <scheme val="minor"/>
    </font>
    <font>
      <b/>
      <sz val="16"/>
      <color theme="1"/>
      <name val="Calibri"/>
      <family val="2"/>
      <scheme val="minor"/>
    </font>
    <font>
      <b/>
      <sz val="12"/>
      <color theme="1"/>
      <name val="Calibri"/>
      <family val="2"/>
      <scheme val="minor"/>
    </font>
    <font>
      <sz val="8"/>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theme="7"/>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s>
  <cellStyleXfs count="1">
    <xf numFmtId="0" fontId="0" fillId="0" borderId="0"/>
  </cellStyleXfs>
  <cellXfs count="46">
    <xf numFmtId="0" fontId="0" fillId="0" borderId="0" xfId="0"/>
    <xf numFmtId="0" fontId="2" fillId="3" borderId="0" xfId="0" applyFont="1" applyFill="1"/>
    <xf numFmtId="0" fontId="2" fillId="4" borderId="0" xfId="0" applyFont="1" applyFill="1"/>
    <xf numFmtId="0" fontId="4" fillId="0" borderId="0" xfId="0" applyFont="1"/>
    <xf numFmtId="0" fontId="0" fillId="0" borderId="1" xfId="0" applyBorder="1"/>
    <xf numFmtId="0" fontId="6" fillId="0" borderId="0" xfId="0" applyFont="1" applyAlignment="1">
      <alignment horizontal="left" vertical="center" wrapText="1"/>
    </xf>
    <xf numFmtId="0" fontId="3" fillId="0" borderId="0" xfId="0" applyFont="1" applyAlignment="1">
      <alignment horizontal="right" vertical="center"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7" fillId="4" borderId="0" xfId="0" applyFont="1" applyFill="1" applyAlignment="1">
      <alignment horizontal="center" vertical="center"/>
    </xf>
    <xf numFmtId="0" fontId="5" fillId="5" borderId="1" xfId="0" applyFont="1" applyFill="1" applyBorder="1" applyAlignment="1">
      <alignment horizontal="center"/>
    </xf>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0" fillId="0" borderId="10" xfId="0" applyBorder="1"/>
    <xf numFmtId="164" fontId="0" fillId="0" borderId="10" xfId="0" applyNumberFormat="1" applyBorder="1"/>
    <xf numFmtId="164" fontId="0" fillId="0" borderId="12" xfId="0" applyNumberFormat="1" applyBorder="1"/>
    <xf numFmtId="164" fontId="0" fillId="0" borderId="1" xfId="0" applyNumberFormat="1" applyBorder="1"/>
    <xf numFmtId="0" fontId="1" fillId="0" borderId="1" xfId="0" applyFont="1" applyBorder="1" applyAlignment="1">
      <alignment horizontal="center" vertical="center"/>
    </xf>
    <xf numFmtId="2" fontId="0" fillId="0" borderId="1" xfId="0" applyNumberFormat="1" applyBorder="1"/>
    <xf numFmtId="0" fontId="0" fillId="0" borderId="9" xfId="0" applyBorder="1"/>
    <xf numFmtId="164" fontId="0" fillId="0" borderId="6" xfId="0" applyNumberFormat="1" applyBorder="1"/>
    <xf numFmtId="0" fontId="0" fillId="0" borderId="2" xfId="0" pivotButton="1" applyBorder="1"/>
    <xf numFmtId="2" fontId="0" fillId="0" borderId="2" xfId="0" applyNumberFormat="1" applyBorder="1"/>
    <xf numFmtId="164" fontId="0" fillId="0" borderId="11" xfId="0" applyNumberFormat="1" applyBorder="1"/>
    <xf numFmtId="164" fontId="0" fillId="0" borderId="13" xfId="0" applyNumberFormat="1" applyBorder="1"/>
    <xf numFmtId="0" fontId="0" fillId="0" borderId="11" xfId="0" applyBorder="1" applyAlignment="1">
      <alignment horizontal="left"/>
    </xf>
    <xf numFmtId="0" fontId="0" fillId="0" borderId="13" xfId="0" applyBorder="1" applyAlignment="1">
      <alignment horizontal="left"/>
    </xf>
    <xf numFmtId="0" fontId="0" fillId="0" borderId="12" xfId="0" applyBorder="1" applyAlignment="1">
      <alignment horizontal="left"/>
    </xf>
    <xf numFmtId="0" fontId="0" fillId="0" borderId="2" xfId="0" applyBorder="1" applyAlignment="1">
      <alignment horizontal="left"/>
    </xf>
    <xf numFmtId="164" fontId="0" fillId="0" borderId="2" xfId="0" pivotButton="1" applyNumberFormat="1" applyBorder="1"/>
    <xf numFmtId="164" fontId="0" fillId="0" borderId="2" xfId="0" applyNumberFormat="1" applyBorder="1"/>
    <xf numFmtId="0" fontId="0" fillId="0" borderId="2" xfId="0" applyBorder="1"/>
    <xf numFmtId="2" fontId="0" fillId="0" borderId="11" xfId="0" applyNumberFormat="1" applyBorder="1"/>
    <xf numFmtId="0" fontId="0" fillId="0" borderId="13" xfId="0" applyBorder="1"/>
    <xf numFmtId="0" fontId="0" fillId="0" borderId="12" xfId="0" applyBorder="1"/>
    <xf numFmtId="2" fontId="0" fillId="0" borderId="13" xfId="0" applyNumberFormat="1" applyBorder="1"/>
    <xf numFmtId="2" fontId="0" fillId="0" borderId="12" xfId="0" applyNumberFormat="1" applyBorder="1"/>
    <xf numFmtId="0" fontId="7" fillId="2" borderId="0" xfId="0" applyFont="1" applyFill="1" applyAlignment="1">
      <alignment horizontal="center" vertical="center"/>
    </xf>
    <xf numFmtId="0" fontId="8" fillId="6" borderId="0" xfId="0" applyFont="1" applyFill="1" applyAlignment="1">
      <alignment horizontal="center"/>
    </xf>
    <xf numFmtId="0" fontId="8" fillId="6" borderId="5" xfId="0" applyFont="1" applyFill="1" applyBorder="1" applyAlignment="1">
      <alignment horizontal="center"/>
    </xf>
  </cellXfs>
  <cellStyles count="1">
    <cellStyle name="Normal" xfId="0" builtinId="0"/>
  </cellStyles>
  <dxfs count="155">
    <dxf>
      <font>
        <b val="0"/>
        <i val="0"/>
        <strike val="0"/>
      </font>
      <fill>
        <patternFill>
          <bgColor theme="9" tint="0.39994506668294322"/>
        </patternFill>
      </fill>
    </dxf>
    <dxf>
      <fill>
        <patternFill>
          <bgColor rgb="FFC70505"/>
        </patternFill>
      </fill>
    </dxf>
    <dxf>
      <numFmt numFmtId="2" formatCode="0.00"/>
    </dxf>
    <dxf>
      <numFmt numFmtId="2" formatCode="0.00"/>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164" formatCode="[&lt;999950]0.0,&quot;K&quot;;[&lt;999950000]0.0,,&quot;M&quot;;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numFmt numFmtId="164" formatCode="[&lt;999950]0.0,&quot;K&quot;;[&lt;999950000]0.0,,&quot;M&quot;;0.0,,,&quot;B&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alignment horizontal="left"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4"/>
        <name val="Calibri"/>
        <family val="2"/>
        <scheme val="minor"/>
      </font>
      <alignment horizontal="right" vertical="center" textRotation="0" wrapText="1" indent="0" justifyLastLine="0" shrinkToFit="0" readingOrder="0"/>
    </dxf>
    <dxf>
      <font>
        <strike val="0"/>
        <outline val="0"/>
        <shadow val="0"/>
        <u val="none"/>
        <vertAlign val="baseline"/>
        <sz val="14"/>
        <name val="Calibri"/>
        <family val="2"/>
        <scheme val="minor"/>
      </font>
      <numFmt numFmtId="0" formatCode="General"/>
      <alignment horizontal="right" vertical="center" textRotation="0" wrapText="1" indent="0" justifyLastLine="0" shrinkToFit="0" readingOrder="0"/>
    </dxf>
    <dxf>
      <font>
        <b val="0"/>
        <i val="0"/>
        <strike val="0"/>
        <condense val="0"/>
        <extend val="0"/>
        <outline val="0"/>
        <shadow val="0"/>
        <u val="none"/>
        <vertAlign val="baseline"/>
        <sz val="14"/>
        <color auto="1"/>
        <name val="Calibri"/>
        <family val="2"/>
        <scheme val="minor"/>
      </font>
      <alignment horizontal="general" vertical="center" textRotation="0" wrapText="1" indent="0" justifyLastLine="0" shrinkToFit="0" readingOrder="0"/>
    </dxf>
    <dxf>
      <font>
        <strike val="0"/>
        <outline val="0"/>
        <shadow val="0"/>
        <u val="none"/>
        <vertAlign val="baseline"/>
        <sz val="14"/>
        <color auto="1"/>
        <name val="Calibri"/>
        <family val="2"/>
        <scheme val="minor"/>
      </font>
      <alignment horizontal="left" vertical="center" textRotation="0" wrapText="1" indent="0" justifyLastLine="0" shrinkToFit="0" readingOrder="0"/>
    </dxf>
    <dxf>
      <alignment horizontal="left" textRotation="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border>
    </dxf>
    <dxf>
      <font>
        <strike val="0"/>
        <outline val="0"/>
        <shadow val="0"/>
        <u val="none"/>
        <vertAlign val="baseline"/>
        <sz val="14"/>
        <name val="Calibri"/>
        <family val="2"/>
        <scheme val="minor"/>
      </font>
      <alignment horizontal="left" vertical="center" textRotation="0" wrapText="1" indent="0" justifyLastLine="0" shrinkToFit="0" readingOrder="0"/>
    </dxf>
    <dxf>
      <border>
        <bottom style="thin">
          <color indexed="64"/>
        </bottom>
      </border>
    </dxf>
    <dxf>
      <font>
        <b/>
        <i val="0"/>
        <strike val="0"/>
        <condense val="0"/>
        <extend val="0"/>
        <outline val="0"/>
        <shadow val="0"/>
        <u val="none"/>
        <vertAlign val="baseline"/>
        <sz val="14"/>
        <color auto="1"/>
        <name val="Calibri"/>
        <family val="2"/>
        <scheme val="minor"/>
      </font>
      <fill>
        <patternFill patternType="solid">
          <fgColor indexed="64"/>
          <bgColor theme="4" tint="0.79998168889431442"/>
        </patternFill>
      </fill>
      <alignment horizontal="center" vertical="bottom" textRotation="0" wrapText="0" indent="0" justifyLastLine="0" shrinkToFit="0" readingOrder="0"/>
      <border diagonalUp="0" diagonalDown="0" outline="0">
        <left style="thin">
          <color indexed="64"/>
        </left>
        <right style="thin">
          <color indexed="64"/>
        </right>
        <top/>
        <bottom/>
      </border>
    </dxf>
    <dxf>
      <numFmt numFmtId="0" formatCode="General"/>
    </dxf>
    <dxf>
      <numFmt numFmtId="0" formatCode="General"/>
    </dxf>
    <dxf>
      <font>
        <b/>
        <i/>
      </font>
      <fill>
        <patternFill patternType="solid">
          <fgColor indexed="64"/>
          <bgColor theme="7" tint="0.39997558519241921"/>
        </patternFill>
      </fill>
    </dxf>
    <dxf>
      <font>
        <color theme="0"/>
      </font>
      <fill>
        <patternFill>
          <bgColor theme="1"/>
        </patternFill>
      </fill>
      <border>
        <left style="thin">
          <color auto="1"/>
        </left>
        <right style="thin">
          <color auto="1"/>
        </right>
        <top style="thin">
          <color auto="1"/>
        </top>
        <bottom style="thin">
          <color auto="1"/>
        </bottom>
      </border>
    </dxf>
    <dxf>
      <fill>
        <patternFill>
          <bgColor theme="2" tint="-9.9948118533890809E-2"/>
        </patternFill>
      </fill>
    </dxf>
    <dxf>
      <font>
        <color theme="0"/>
      </font>
      <fill>
        <patternFill>
          <bgColor theme="1"/>
        </patternFill>
      </fill>
      <border>
        <left style="thin">
          <color auto="1"/>
        </left>
        <right style="thin">
          <color auto="1"/>
        </right>
        <top style="thin">
          <color auto="1"/>
        </top>
        <bottom style="thin">
          <color auto="1"/>
        </bottom>
      </border>
    </dxf>
    <dxf>
      <font>
        <b/>
        <i val="0"/>
        <sz val="11"/>
        <name val="Calibri"/>
        <family val="2"/>
        <scheme val="minor"/>
      </font>
      <fill>
        <patternFill>
          <bgColor theme="2" tint="-9.9948118533890809E-2"/>
        </patternFill>
      </fill>
    </dxf>
  </dxfs>
  <tableStyles count="2" defaultTableStyle="TableStyleMedium2" defaultPivotStyle="PivotStyleLight16">
    <tableStyle name="My Slicer" pivot="0" table="0" count="6" xr9:uid="{0E12455F-F422-46E7-9017-1803B5860D8A}">
      <tableStyleElement type="wholeTable" dxfId="154"/>
      <tableStyleElement type="headerRow" dxfId="153"/>
    </tableStyle>
    <tableStyle name="Slicer Style 1" pivot="0" table="0" count="4" xr9:uid="{3DFF4F41-E895-4756-B864-BCC0635C33A4}">
      <tableStyleElement type="wholeTable" dxfId="152"/>
      <tableStyleElement type="headerRow" dxfId="151"/>
    </tableStyle>
  </tableStyles>
  <colors>
    <mruColors>
      <color rgb="FFF5FB79"/>
      <color rgb="FFFC3728"/>
      <color rgb="FFC70505"/>
    </mruColors>
  </colors>
  <extLst>
    <ext xmlns:x14="http://schemas.microsoft.com/office/spreadsheetml/2009/9/main" uri="{46F421CA-312F-682f-3DD2-61675219B42D}">
      <x14:dxfs count="6">
        <dxf>
          <fill>
            <patternFill>
              <bgColor theme="0"/>
            </patternFill>
          </fill>
          <border>
            <left style="thin">
              <color auto="1"/>
            </left>
            <right style="thin">
              <color auto="1"/>
            </right>
            <top style="thin">
              <color auto="1"/>
            </top>
            <bottom style="thin">
              <color auto="1"/>
            </bottom>
          </border>
        </dxf>
        <dxf>
          <fill>
            <patternFill>
              <bgColor theme="7" tint="0.79998168889431442"/>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ill>
            <patternFill>
              <bgColor theme="2"/>
            </patternFill>
          </fill>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fill>
            <patternFill patternType="none">
              <bgColor auto="1"/>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My Slicer">
          <x14:slicerStyleElements>
            <x14:slicerStyleElement type="unselectedItemWithData" dxfId="5"/>
            <x14:slicerStyleElement type="unselectedItemWithNoData" dxfId="4"/>
            <x14:slicerStyleElement type="selectedItemWithData" dxfId="3"/>
            <x14:slicerStyleElement type="selectedItemWithNoData" dxfId="2"/>
          </x14:slicerStyleElements>
        </x14:slicerStyle>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[01_Executive_Dashboard.xlsx]Pivot_Tables!01_Total_Exports_by_Year</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c:f>
              <c:strCache>
                <c:ptCount val="1"/>
                <c:pt idx="0">
                  <c:v>Total</c:v>
                </c:pt>
              </c:strCache>
            </c:strRef>
          </c:tx>
          <c:spPr>
            <a:ln w="28575" cap="rnd">
              <a:solidFill>
                <a:schemeClr val="accent1"/>
              </a:solidFill>
              <a:round/>
            </a:ln>
            <a:effectLst/>
          </c:spPr>
          <c:marker>
            <c:symbol val="none"/>
          </c:marker>
          <c:cat>
            <c:strRef>
              <c:f>Pivot_Tables!$A$5:$A$15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Pivot_Tables!$B$5:$B$15</c:f>
              <c:numCache>
                <c:formatCode>[&lt;999950]0.0,"K";[&lt;999950000]0.0,,"M";0.0,,,"B"</c:formatCode>
                <c:ptCount val="10"/>
                <c:pt idx="0">
                  <c:v>28267086659768.777</c:v>
                </c:pt>
                <c:pt idx="1">
                  <c:v>27410977913374.176</c:v>
                </c:pt>
                <c:pt idx="2">
                  <c:v>30305754395254.313</c:v>
                </c:pt>
                <c:pt idx="3">
                  <c:v>33328715456755.867</c:v>
                </c:pt>
                <c:pt idx="4">
                  <c:v>32400100517148.957</c:v>
                </c:pt>
                <c:pt idx="5">
                  <c:v>30070811608006.375</c:v>
                </c:pt>
                <c:pt idx="6">
                  <c:v>38055138377755.367</c:v>
                </c:pt>
                <c:pt idx="7">
                  <c:v>41453218076726.133</c:v>
                </c:pt>
                <c:pt idx="8">
                  <c:v>39644817008093.945</c:v>
                </c:pt>
                <c:pt idx="9">
                  <c:v>38491387647897.961</c:v>
                </c:pt>
              </c:numCache>
            </c:numRef>
          </c:val>
          <c:smooth val="0"/>
          <c:extLst>
            <c:ext xmlns:c16="http://schemas.microsoft.com/office/drawing/2014/chart" uri="{C3380CC4-5D6E-409C-BE32-E72D297353CC}">
              <c16:uniqueId val="{00000000-4FB8-4C8D-A162-4A5726F17D1E}"/>
            </c:ext>
          </c:extLst>
        </c:ser>
        <c:dLbls>
          <c:showLegendKey val="0"/>
          <c:showVal val="0"/>
          <c:showCatName val="0"/>
          <c:showSerName val="0"/>
          <c:showPercent val="0"/>
          <c:showBubbleSize val="0"/>
        </c:dLbls>
        <c:smooth val="0"/>
        <c:axId val="86653952"/>
        <c:axId val="1095643344"/>
      </c:lineChart>
      <c:catAx>
        <c:axId val="86653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5643344"/>
        <c:crosses val="autoZero"/>
        <c:auto val="1"/>
        <c:lblAlgn val="ctr"/>
        <c:lblOffset val="100"/>
        <c:noMultiLvlLbl val="0"/>
      </c:catAx>
      <c:valAx>
        <c:axId val="1095643344"/>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65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[01_Executive_Dashboard.xlsx]Pivot_Tables!02_Top_Exporting_Countries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29949954004946"/>
          <c:y val="0.17219127205199627"/>
          <c:w val="0.83822568802693875"/>
          <c:h val="0.60439723934229683"/>
        </c:manualLayout>
      </c:layout>
      <c:barChart>
        <c:barDir val="col"/>
        <c:grouping val="clustered"/>
        <c:varyColors val="0"/>
        <c:ser>
          <c:idx val="0"/>
          <c:order val="0"/>
          <c:tx>
            <c:strRef>
              <c:f>Pivot_Tables!$B$22</c:f>
              <c:strCache>
                <c:ptCount val="1"/>
                <c:pt idx="0">
                  <c:v>Total</c:v>
                </c:pt>
              </c:strCache>
            </c:strRef>
          </c:tx>
          <c:spPr>
            <a:solidFill>
              <a:schemeClr val="accent1"/>
            </a:solidFill>
            <a:ln>
              <a:noFill/>
            </a:ln>
            <a:effectLst/>
          </c:spPr>
          <c:invertIfNegative val="0"/>
          <c:cat>
            <c:strRef>
              <c:f>Pivot_Tables!$A$23:$A$33</c:f>
              <c:strCache>
                <c:ptCount val="10"/>
                <c:pt idx="0">
                  <c:v>China</c:v>
                </c:pt>
                <c:pt idx="1">
                  <c:v>USA</c:v>
                </c:pt>
                <c:pt idx="2">
                  <c:v>Japan</c:v>
                </c:pt>
                <c:pt idx="3">
                  <c:v>Netherlands</c:v>
                </c:pt>
                <c:pt idx="4">
                  <c:v>Rep. of Korea</c:v>
                </c:pt>
                <c:pt idx="5">
                  <c:v>China, Hong Kong SAR</c:v>
                </c:pt>
                <c:pt idx="6">
                  <c:v>France</c:v>
                </c:pt>
                <c:pt idx="7">
                  <c:v>Italy</c:v>
                </c:pt>
                <c:pt idx="8">
                  <c:v>Mexico</c:v>
                </c:pt>
                <c:pt idx="9">
                  <c:v>Canada</c:v>
                </c:pt>
              </c:strCache>
            </c:strRef>
          </c:cat>
          <c:val>
            <c:numRef>
              <c:f>Pivot_Tables!$B$23:$B$33</c:f>
              <c:numCache>
                <c:formatCode>[&lt;999950]0.0,"K";[&lt;999950000]0.0,,"M";0.0,,,"B"</c:formatCode>
                <c:ptCount val="10"/>
                <c:pt idx="0">
                  <c:v>56150271331178</c:v>
                </c:pt>
                <c:pt idx="1">
                  <c:v>34271932503086</c:v>
                </c:pt>
                <c:pt idx="2">
                  <c:v>13964321407022.039</c:v>
                </c:pt>
                <c:pt idx="3">
                  <c:v>12117280031086.803</c:v>
                </c:pt>
                <c:pt idx="4">
                  <c:v>11796103152456</c:v>
                </c:pt>
                <c:pt idx="5">
                  <c:v>11457708490008.242</c:v>
                </c:pt>
                <c:pt idx="6">
                  <c:v>11290720218252.639</c:v>
                </c:pt>
                <c:pt idx="7">
                  <c:v>11276199187725.826</c:v>
                </c:pt>
                <c:pt idx="8">
                  <c:v>9564158578322</c:v>
                </c:pt>
                <c:pt idx="9">
                  <c:v>9479798745702.8242</c:v>
                </c:pt>
              </c:numCache>
            </c:numRef>
          </c:val>
          <c:extLst>
            <c:ext xmlns:c16="http://schemas.microsoft.com/office/drawing/2014/chart" uri="{C3380CC4-5D6E-409C-BE32-E72D297353CC}">
              <c16:uniqueId val="{00000000-6290-4FE7-9A05-2FB8D96C2F2B}"/>
            </c:ext>
          </c:extLst>
        </c:ser>
        <c:dLbls>
          <c:showLegendKey val="0"/>
          <c:showVal val="0"/>
          <c:showCatName val="0"/>
          <c:showSerName val="0"/>
          <c:showPercent val="0"/>
          <c:showBubbleSize val="0"/>
        </c:dLbls>
        <c:gapWidth val="219"/>
        <c:overlap val="-27"/>
        <c:axId val="87255568"/>
        <c:axId val="29520"/>
      </c:barChart>
      <c:catAx>
        <c:axId val="87255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29520"/>
        <c:crosses val="autoZero"/>
        <c:auto val="1"/>
        <c:lblAlgn val="ctr"/>
        <c:lblOffset val="100"/>
        <c:noMultiLvlLbl val="0"/>
      </c:catAx>
      <c:valAx>
        <c:axId val="29520"/>
        <c:scaling>
          <c:orientation val="minMax"/>
        </c:scaling>
        <c:delete val="0"/>
        <c:axPos val="l"/>
        <c:majorGridlines>
          <c:spPr>
            <a:ln w="9525" cap="flat" cmpd="sng" algn="ctr">
              <a:solidFill>
                <a:schemeClr val="tx1">
                  <a:lumMod val="15000"/>
                  <a:lumOff val="85000"/>
                </a:schemeClr>
              </a:solidFill>
              <a:round/>
            </a:ln>
            <a:effectLst/>
          </c:spPr>
        </c:majorGridlines>
        <c:numFmt formatCode="[&lt;999950]0.0,&quot;K&quot;;[&lt;999950000]0.0,,&quot;M&quot;;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25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[01_Executive_Dashboard.xlsx]Pivot_Tables!06_Export_Growth</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Countries</a:t>
            </a:r>
            <a:r>
              <a:rPr lang="en-US" baseline="0"/>
              <a:t> with Highest Export Growth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Pivot_Tables!$B$607</c:f>
              <c:strCache>
                <c:ptCount val="1"/>
                <c:pt idx="0">
                  <c:v>Total</c:v>
                </c:pt>
              </c:strCache>
            </c:strRef>
          </c:tx>
          <c:spPr>
            <a:solidFill>
              <a:schemeClr val="accent1"/>
            </a:solidFill>
            <a:ln>
              <a:noFill/>
            </a:ln>
            <a:effectLst/>
          </c:spPr>
          <c:invertIfNegative val="0"/>
          <c:cat>
            <c:strRef>
              <c:f>Pivot_Tables!$A$608:$A$618</c:f>
              <c:strCache>
                <c:ptCount val="10"/>
                <c:pt idx="0">
                  <c:v>Yemen</c:v>
                </c:pt>
                <c:pt idx="1">
                  <c:v>Sierra Leone</c:v>
                </c:pt>
                <c:pt idx="2">
                  <c:v>Timor-Leste</c:v>
                </c:pt>
                <c:pt idx="3">
                  <c:v>Cabo Verde</c:v>
                </c:pt>
                <c:pt idx="4">
                  <c:v>Guyana</c:v>
                </c:pt>
                <c:pt idx="5">
                  <c:v>Guinea</c:v>
                </c:pt>
                <c:pt idx="6">
                  <c:v>Seychelles</c:v>
                </c:pt>
                <c:pt idx="7">
                  <c:v>Tonga</c:v>
                </c:pt>
                <c:pt idx="8">
                  <c:v>Bermuda</c:v>
                </c:pt>
                <c:pt idx="9">
                  <c:v>Central African Rep.</c:v>
                </c:pt>
              </c:strCache>
            </c:strRef>
          </c:cat>
          <c:val>
            <c:numRef>
              <c:f>Pivot_Tables!$B$608:$B$618</c:f>
              <c:numCache>
                <c:formatCode>0.00</c:formatCode>
                <c:ptCount val="10"/>
                <c:pt idx="0">
                  <c:v>465.04250000000002</c:v>
                </c:pt>
                <c:pt idx="1">
                  <c:v>140.45666666666668</c:v>
                </c:pt>
                <c:pt idx="2">
                  <c:v>100.94666666666667</c:v>
                </c:pt>
                <c:pt idx="3">
                  <c:v>65.185555555555567</c:v>
                </c:pt>
                <c:pt idx="4">
                  <c:v>61.312222222222218</c:v>
                </c:pt>
                <c:pt idx="5">
                  <c:v>52.16</c:v>
                </c:pt>
                <c:pt idx="6">
                  <c:v>50.646666666666668</c:v>
                </c:pt>
                <c:pt idx="7">
                  <c:v>44.116666666666667</c:v>
                </c:pt>
                <c:pt idx="8">
                  <c:v>40.130000000000003</c:v>
                </c:pt>
                <c:pt idx="9">
                  <c:v>35.987777777777779</c:v>
                </c:pt>
              </c:numCache>
            </c:numRef>
          </c:val>
          <c:extLst>
            <c:ext xmlns:c16="http://schemas.microsoft.com/office/drawing/2014/chart" uri="{C3380CC4-5D6E-409C-BE32-E72D297353CC}">
              <c16:uniqueId val="{00000000-BEA9-4DF5-9C96-DC198CFC7BCC}"/>
            </c:ext>
          </c:extLst>
        </c:ser>
        <c:dLbls>
          <c:showLegendKey val="0"/>
          <c:showVal val="0"/>
          <c:showCatName val="0"/>
          <c:showSerName val="0"/>
          <c:showPercent val="0"/>
          <c:showBubbleSize val="0"/>
        </c:dLbls>
        <c:gapWidth val="182"/>
        <c:axId val="1394123647"/>
        <c:axId val="662136143"/>
      </c:barChart>
      <c:catAx>
        <c:axId val="1394123647"/>
        <c:scaling>
          <c:orientation val="minMax"/>
        </c:scaling>
        <c:delete val="1"/>
        <c:axPos val="b"/>
        <c:numFmt formatCode="General" sourceLinked="1"/>
        <c:majorTickMark val="none"/>
        <c:minorTickMark val="none"/>
        <c:tickLblPos val="nextTo"/>
        <c:crossAx val="662136143"/>
        <c:crosses val="autoZero"/>
        <c:auto val="1"/>
        <c:lblAlgn val="ctr"/>
        <c:lblOffset val="100"/>
        <c:noMultiLvlLbl val="0"/>
      </c:catAx>
      <c:valAx>
        <c:axId val="6621361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41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[01_Executive_Dashboard.xlsx]Pivot_Tables!05_Trade_Openness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Pivot_Tables!$B$418</c:f>
              <c:strCache>
                <c:ptCount val="1"/>
                <c:pt idx="0">
                  <c:v>Total</c:v>
                </c:pt>
              </c:strCache>
            </c:strRef>
          </c:tx>
          <c:spPr>
            <a:solidFill>
              <a:schemeClr val="accent1"/>
            </a:solidFill>
            <a:ln>
              <a:noFill/>
            </a:ln>
            <a:effectLst/>
          </c:spPr>
          <c:invertIfNegative val="0"/>
          <c:cat>
            <c:strRef>
              <c:f>Pivot_Tables!$A$419:$A$439</c:f>
              <c:strCache>
                <c:ptCount val="20"/>
                <c:pt idx="0">
                  <c:v>Luxembourg</c:v>
                </c:pt>
                <c:pt idx="1">
                  <c:v>China, Hong Kong SAR</c:v>
                </c:pt>
                <c:pt idx="2">
                  <c:v>Singapore</c:v>
                </c:pt>
                <c:pt idx="3">
                  <c:v>Djibouti</c:v>
                </c:pt>
                <c:pt idx="4">
                  <c:v>Ireland</c:v>
                </c:pt>
                <c:pt idx="5">
                  <c:v>Malta</c:v>
                </c:pt>
                <c:pt idx="6">
                  <c:v>Slovakia</c:v>
                </c:pt>
                <c:pt idx="7">
                  <c:v>Seychelles</c:v>
                </c:pt>
                <c:pt idx="8">
                  <c:v>United Arab Emirates</c:v>
                </c:pt>
                <c:pt idx="9">
                  <c:v>Belgium</c:v>
                </c:pt>
                <c:pt idx="10">
                  <c:v>Cyprus</c:v>
                </c:pt>
                <c:pt idx="11">
                  <c:v>Viet Nam</c:v>
                </c:pt>
                <c:pt idx="12">
                  <c:v>Hungary</c:v>
                </c:pt>
                <c:pt idx="13">
                  <c:v>Netherlands</c:v>
                </c:pt>
                <c:pt idx="14">
                  <c:v>Slovenia</c:v>
                </c:pt>
                <c:pt idx="15">
                  <c:v>Estonia</c:v>
                </c:pt>
                <c:pt idx="16">
                  <c:v>Curaçao</c:v>
                </c:pt>
                <c:pt idx="17">
                  <c:v>Lithuania</c:v>
                </c:pt>
                <c:pt idx="18">
                  <c:v>Bahrain</c:v>
                </c:pt>
                <c:pt idx="19">
                  <c:v>Maldives</c:v>
                </c:pt>
              </c:strCache>
            </c:strRef>
          </c:cat>
          <c:val>
            <c:numRef>
              <c:f>Pivot_Tables!$B$419:$B$439</c:f>
              <c:numCache>
                <c:formatCode>General</c:formatCode>
                <c:ptCount val="20"/>
                <c:pt idx="0">
                  <c:v>373.69892161999991</c:v>
                </c:pt>
                <c:pt idx="1">
                  <c:v>371.91757108000002</c:v>
                </c:pt>
                <c:pt idx="2">
                  <c:v>322.10689229000002</c:v>
                </c:pt>
                <c:pt idx="3">
                  <c:v>283.88839389999998</c:v>
                </c:pt>
                <c:pt idx="4">
                  <c:v>239.02097483000003</c:v>
                </c:pt>
                <c:pt idx="5">
                  <c:v>224.06506657</c:v>
                </c:pt>
                <c:pt idx="6">
                  <c:v>182.74573121</c:v>
                </c:pt>
                <c:pt idx="7">
                  <c:v>181.34469111000004</c:v>
                </c:pt>
                <c:pt idx="8">
                  <c:v>173.63497511111112</c:v>
                </c:pt>
                <c:pt idx="9">
                  <c:v>166.51700020000001</c:v>
                </c:pt>
                <c:pt idx="10">
                  <c:v>164.68354235999999</c:v>
                </c:pt>
                <c:pt idx="11">
                  <c:v>164.30476354444446</c:v>
                </c:pt>
                <c:pt idx="12">
                  <c:v>162.41519290000002</c:v>
                </c:pt>
                <c:pt idx="13">
                  <c:v>161.36554974999999</c:v>
                </c:pt>
                <c:pt idx="14">
                  <c:v>158.86191316999998</c:v>
                </c:pt>
                <c:pt idx="15">
                  <c:v>150.39084162</c:v>
                </c:pt>
                <c:pt idx="16">
                  <c:v>147.54065415000002</c:v>
                </c:pt>
                <c:pt idx="17">
                  <c:v>147.09468949000001</c:v>
                </c:pt>
                <c:pt idx="18">
                  <c:v>146.79914807000003</c:v>
                </c:pt>
                <c:pt idx="19">
                  <c:v>143.46657534000002</c:v>
                </c:pt>
              </c:numCache>
            </c:numRef>
          </c:val>
          <c:extLst>
            <c:ext xmlns:c16="http://schemas.microsoft.com/office/drawing/2014/chart" uri="{C3380CC4-5D6E-409C-BE32-E72D297353CC}">
              <c16:uniqueId val="{00000000-ADDA-47EE-BAB4-700411A145EC}"/>
            </c:ext>
          </c:extLst>
        </c:ser>
        <c:dLbls>
          <c:showLegendKey val="0"/>
          <c:showVal val="0"/>
          <c:showCatName val="0"/>
          <c:showSerName val="0"/>
          <c:showPercent val="0"/>
          <c:showBubbleSize val="0"/>
        </c:dLbls>
        <c:gapWidth val="182"/>
        <c:axId val="669182239"/>
        <c:axId val="662117423"/>
      </c:barChart>
      <c:valAx>
        <c:axId val="6621174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182239"/>
        <c:crosses val="autoZero"/>
        <c:crossBetween val="between"/>
      </c:valAx>
      <c:catAx>
        <c:axId val="66918223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1174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[01_Executive_Dashboard.xlsx]Pivot_Tables!01_Total_Exports_by_Year</c:name>
    <c:fmtId val="3"/>
  </c:pivotSource>
  <c:chart>
    <c:title>
      <c:tx>
        <c:rich>
          <a:bodyPr rot="0" spcFirstLastPara="1" vertOverflow="ellipsis" vert="horz" wrap="square" anchor="ctr" anchorCtr="1"/>
          <a:lstStyle/>
          <a:p>
            <a:pPr algn="ctr" rtl="0">
              <a:defRPr sz="1400" b="1" i="0" u="none" strike="noStrike" kern="1200" cap="all" spc="100" normalizeH="0" baseline="0">
                <a:solidFill>
                  <a:schemeClr val="dk1"/>
                </a:solidFill>
                <a:latin typeface="+mn-lt"/>
                <a:ea typeface="+mn-ea"/>
                <a:cs typeface="+mn-cs"/>
              </a:defRPr>
            </a:pPr>
            <a:r>
              <a:rPr lang="en-IN" sz="1400"/>
              <a:t>Annual GLOBAL Exports Trend</a:t>
            </a:r>
          </a:p>
        </c:rich>
      </c:tx>
      <c:overlay val="0"/>
      <c:spPr>
        <a:noFill/>
        <a:ln>
          <a:noFill/>
        </a:ln>
        <a:effectLst/>
      </c:spPr>
      <c:txPr>
        <a:bodyPr rot="0" spcFirstLastPara="1" vertOverflow="ellipsis" vert="horz" wrap="square" anchor="ctr" anchorCtr="1"/>
        <a:lstStyle/>
        <a:p>
          <a:pPr algn="ctr" rtl="0">
            <a:defRPr sz="14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chemeClr val="bg2">
                <a:lumMod val="25000"/>
              </a:schemeClr>
            </a:solidFill>
            <a:round/>
          </a:ln>
          <a:effectLst>
            <a:outerShdw dist="25400" dir="2700000" algn="tl" rotWithShape="0">
              <a:schemeClr val="accent2"/>
            </a:outerShdw>
          </a:effectLst>
        </c:spPr>
        <c:marker>
          <c:symbol val="circle"/>
          <c:size val="7"/>
          <c:spPr>
            <a:solidFill>
              <a:schemeClr val="bg2">
                <a:lumMod val="25000"/>
              </a:schemeClr>
            </a:solidFill>
            <a:ln w="22225">
              <a:no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Pivot_Tables!$B$4</c:f>
              <c:strCache>
                <c:ptCount val="1"/>
                <c:pt idx="0">
                  <c:v>Total</c:v>
                </c:pt>
              </c:strCache>
            </c:strRef>
          </c:tx>
          <c:spPr>
            <a:ln w="38100" cap="rnd">
              <a:solidFill>
                <a:schemeClr val="bg2">
                  <a:lumMod val="25000"/>
                </a:schemeClr>
              </a:solidFill>
              <a:round/>
            </a:ln>
            <a:effectLst>
              <a:outerShdw dist="25400" dir="2700000" algn="tl" rotWithShape="0">
                <a:schemeClr val="accent2"/>
              </a:outerShdw>
            </a:effectLst>
          </c:spPr>
          <c:marker>
            <c:symbol val="circle"/>
            <c:size val="7"/>
            <c:spPr>
              <a:solidFill>
                <a:schemeClr val="bg2">
                  <a:lumMod val="25000"/>
                </a:schemeClr>
              </a:solidFill>
              <a:ln w="22225">
                <a:noFill/>
                <a:round/>
              </a:ln>
              <a:effectLst/>
            </c:spPr>
          </c:marker>
          <c:cat>
            <c:strRef>
              <c:f>Pivot_Tables!$A$5:$A$15</c:f>
              <c:strCache>
                <c:ptCount val="10"/>
                <c:pt idx="0">
                  <c:v>2015</c:v>
                </c:pt>
                <c:pt idx="1">
                  <c:v>2016</c:v>
                </c:pt>
                <c:pt idx="2">
                  <c:v>2017</c:v>
                </c:pt>
                <c:pt idx="3">
                  <c:v>2018</c:v>
                </c:pt>
                <c:pt idx="4">
                  <c:v>2019</c:v>
                </c:pt>
                <c:pt idx="5">
                  <c:v>2020</c:v>
                </c:pt>
                <c:pt idx="6">
                  <c:v>2021</c:v>
                </c:pt>
                <c:pt idx="7">
                  <c:v>2022</c:v>
                </c:pt>
                <c:pt idx="8">
                  <c:v>2023</c:v>
                </c:pt>
                <c:pt idx="9">
                  <c:v>2024</c:v>
                </c:pt>
              </c:strCache>
            </c:strRef>
          </c:cat>
          <c:val>
            <c:numRef>
              <c:f>Pivot_Tables!$B$5:$B$15</c:f>
              <c:numCache>
                <c:formatCode>[&lt;999950]0.0,"K";[&lt;999950000]0.0,,"M";0.0,,,"B"</c:formatCode>
                <c:ptCount val="10"/>
                <c:pt idx="0">
                  <c:v>28267086659768.777</c:v>
                </c:pt>
                <c:pt idx="1">
                  <c:v>27410977913374.176</c:v>
                </c:pt>
                <c:pt idx="2">
                  <c:v>30305754395254.313</c:v>
                </c:pt>
                <c:pt idx="3">
                  <c:v>33328715456755.867</c:v>
                </c:pt>
                <c:pt idx="4">
                  <c:v>32400100517148.957</c:v>
                </c:pt>
                <c:pt idx="5">
                  <c:v>30070811608006.375</c:v>
                </c:pt>
                <c:pt idx="6">
                  <c:v>38055138377755.367</c:v>
                </c:pt>
                <c:pt idx="7">
                  <c:v>41453218076726.133</c:v>
                </c:pt>
                <c:pt idx="8">
                  <c:v>39644817008093.945</c:v>
                </c:pt>
                <c:pt idx="9">
                  <c:v>38491387647897.961</c:v>
                </c:pt>
              </c:numCache>
            </c:numRef>
          </c:val>
          <c:smooth val="0"/>
          <c:extLst>
            <c:ext xmlns:c16="http://schemas.microsoft.com/office/drawing/2014/chart" uri="{C3380CC4-5D6E-409C-BE32-E72D297353CC}">
              <c16:uniqueId val="{00000000-0165-4C64-82A1-925B2C05355C}"/>
            </c:ext>
          </c:extLst>
        </c:ser>
        <c:dLbls>
          <c:showLegendKey val="0"/>
          <c:showVal val="0"/>
          <c:showCatName val="0"/>
          <c:showSerName val="0"/>
          <c:showPercent val="0"/>
          <c:showBubbleSize val="0"/>
        </c:dLbls>
        <c:marker val="1"/>
        <c:smooth val="0"/>
        <c:axId val="86653952"/>
        <c:axId val="1095643344"/>
      </c:lineChart>
      <c:catAx>
        <c:axId val="86653952"/>
        <c:scaling>
          <c:orientation val="minMax"/>
        </c:scaling>
        <c:delete val="1"/>
        <c:axPos val="b"/>
        <c:numFmt formatCode="General" sourceLinked="1"/>
        <c:majorTickMark val="none"/>
        <c:minorTickMark val="none"/>
        <c:tickLblPos val="nextTo"/>
        <c:crossAx val="1095643344"/>
        <c:crosses val="autoZero"/>
        <c:auto val="1"/>
        <c:lblAlgn val="ctr"/>
        <c:lblOffset val="100"/>
        <c:noMultiLvlLbl val="0"/>
      </c:catAx>
      <c:valAx>
        <c:axId val="1095643344"/>
        <c:scaling>
          <c:orientation val="minMax"/>
        </c:scaling>
        <c:delete val="1"/>
        <c:axPos val="l"/>
        <c:majorGridlines>
          <c:spPr>
            <a:ln w="9525" cap="flat" cmpd="sng" algn="ctr">
              <a:solidFill>
                <a:schemeClr val="lt1">
                  <a:alpha val="25000"/>
                </a:schemeClr>
              </a:solidFill>
              <a:round/>
            </a:ln>
            <a:effectLst/>
          </c:spPr>
        </c:majorGridlines>
        <c:numFmt formatCode="[&lt;999950]0.0,&quot;K&quot;;[&lt;999950000]0.0,,&quot;M&quot;;0.0,,,&quot;B&quot;" sourceLinked="1"/>
        <c:majorTickMark val="none"/>
        <c:minorTickMark val="none"/>
        <c:tickLblPos val="nextTo"/>
        <c:crossAx val="86653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[01_Executive_Dashboard.xlsx]Pivot_Tables!02_Top_Exporting_Countries</c:name>
    <c:fmtId val="3"/>
  </c:pivotSource>
  <c:chart>
    <c:title>
      <c:tx>
        <c:rich>
          <a:bodyPr rot="0" spcFirstLastPara="1" vertOverflow="ellipsis" vert="horz" wrap="square" anchor="ctr" anchorCtr="1"/>
          <a:lstStyle/>
          <a:p>
            <a:pPr algn="ctr">
              <a:defRPr sz="1400" b="1" i="0" u="none" strike="noStrike" kern="1200" cap="all" spc="100" normalizeH="0" baseline="0">
                <a:solidFill>
                  <a:schemeClr val="dk1"/>
                </a:solidFill>
                <a:latin typeface="+mn-lt"/>
                <a:ea typeface="+mn-ea"/>
                <a:cs typeface="+mn-cs"/>
              </a:defRPr>
            </a:pPr>
            <a:r>
              <a:rPr lang="en-US" sz="1400"/>
              <a:t>Top 10 Exporter Countries</a:t>
            </a:r>
          </a:p>
        </c:rich>
      </c:tx>
      <c:layout>
        <c:manualLayout>
          <c:xMode val="edge"/>
          <c:yMode val="edge"/>
          <c:x val="0.28374269914876277"/>
          <c:y val="2.3158436595217088E-2"/>
        </c:manualLayout>
      </c:layout>
      <c:overlay val="0"/>
      <c:spPr>
        <a:noFill/>
        <a:ln>
          <a:noFill/>
        </a:ln>
        <a:effectLst/>
      </c:spPr>
      <c:txPr>
        <a:bodyPr rot="0" spcFirstLastPara="1" vertOverflow="ellipsis" vert="horz" wrap="square" anchor="ctr" anchorCtr="1"/>
        <a:lstStyle/>
        <a:p>
          <a:pPr algn="ctr">
            <a:defRPr sz="1400" b="1" i="0" u="none" strike="noStrike" kern="1200" cap="all" spc="100" normalizeH="0" baseline="0">
              <a:solidFill>
                <a:schemeClr val="dk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pivotFmt>
    </c:pivotFmts>
    <c:plotArea>
      <c:layout>
        <c:manualLayout>
          <c:layoutTarget val="inner"/>
          <c:xMode val="edge"/>
          <c:yMode val="edge"/>
          <c:x val="0.21716836380956425"/>
          <c:y val="0.14920915108109717"/>
          <c:w val="0.78283163619043572"/>
          <c:h val="0.81943956517163474"/>
        </c:manualLayout>
      </c:layout>
      <c:barChart>
        <c:barDir val="bar"/>
        <c:grouping val="clustered"/>
        <c:varyColors val="0"/>
        <c:ser>
          <c:idx val="0"/>
          <c:order val="0"/>
          <c:tx>
            <c:strRef>
              <c:f>Pivot_Tables!$B$22</c:f>
              <c:strCache>
                <c:ptCount val="1"/>
                <c:pt idx="0">
                  <c:v>Total</c:v>
                </c:pt>
              </c:strCache>
            </c:strRef>
          </c:tx>
          <c:spPr>
            <a:solidFill>
              <a:schemeClr val="bg2">
                <a:lumMod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Pivot_Tables!$A$23:$A$33</c:f>
              <c:strCache>
                <c:ptCount val="10"/>
                <c:pt idx="0">
                  <c:v>China</c:v>
                </c:pt>
                <c:pt idx="1">
                  <c:v>USA</c:v>
                </c:pt>
                <c:pt idx="2">
                  <c:v>Japan</c:v>
                </c:pt>
                <c:pt idx="3">
                  <c:v>Netherlands</c:v>
                </c:pt>
                <c:pt idx="4">
                  <c:v>Rep. of Korea</c:v>
                </c:pt>
                <c:pt idx="5">
                  <c:v>China, Hong Kong SAR</c:v>
                </c:pt>
                <c:pt idx="6">
                  <c:v>France</c:v>
                </c:pt>
                <c:pt idx="7">
                  <c:v>Italy</c:v>
                </c:pt>
                <c:pt idx="8">
                  <c:v>Mexico</c:v>
                </c:pt>
                <c:pt idx="9">
                  <c:v>Canada</c:v>
                </c:pt>
              </c:strCache>
            </c:strRef>
          </c:cat>
          <c:val>
            <c:numRef>
              <c:f>Pivot_Tables!$B$23:$B$33</c:f>
              <c:numCache>
                <c:formatCode>[&lt;999950]0.0,"K";[&lt;999950000]0.0,,"M";0.0,,,"B"</c:formatCode>
                <c:ptCount val="10"/>
                <c:pt idx="0">
                  <c:v>56150271331178</c:v>
                </c:pt>
                <c:pt idx="1">
                  <c:v>34271932503086</c:v>
                </c:pt>
                <c:pt idx="2">
                  <c:v>13964321407022.039</c:v>
                </c:pt>
                <c:pt idx="3">
                  <c:v>12117280031086.803</c:v>
                </c:pt>
                <c:pt idx="4">
                  <c:v>11796103152456</c:v>
                </c:pt>
                <c:pt idx="5">
                  <c:v>11457708490008.242</c:v>
                </c:pt>
                <c:pt idx="6">
                  <c:v>11290720218252.639</c:v>
                </c:pt>
                <c:pt idx="7">
                  <c:v>11276199187725.826</c:v>
                </c:pt>
                <c:pt idx="8">
                  <c:v>9564158578322</c:v>
                </c:pt>
                <c:pt idx="9">
                  <c:v>9479798745702.8242</c:v>
                </c:pt>
              </c:numCache>
            </c:numRef>
          </c:val>
          <c:extLst>
            <c:ext xmlns:c16="http://schemas.microsoft.com/office/drawing/2014/chart" uri="{C3380CC4-5D6E-409C-BE32-E72D297353CC}">
              <c16:uniqueId val="{00000000-AD51-49CC-ACD4-B264B4E68BF4}"/>
            </c:ext>
          </c:extLst>
        </c:ser>
        <c:dLbls>
          <c:dLblPos val="outEnd"/>
          <c:showLegendKey val="0"/>
          <c:showVal val="1"/>
          <c:showCatName val="0"/>
          <c:showSerName val="0"/>
          <c:showPercent val="0"/>
          <c:showBubbleSize val="0"/>
        </c:dLbls>
        <c:gapWidth val="40"/>
        <c:overlap val="-20"/>
        <c:axId val="87255568"/>
        <c:axId val="29520"/>
      </c:barChart>
      <c:catAx>
        <c:axId val="87255568"/>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0" spcFirstLastPara="1" vertOverflow="ellipsis" wrap="square" anchor="ctr" anchorCtr="1"/>
          <a:lstStyle/>
          <a:p>
            <a:pPr algn="ctr">
              <a:defRPr sz="900" b="1" i="0" u="none" strike="noStrike" kern="1200" cap="all" spc="150" normalizeH="0" baseline="0">
                <a:solidFill>
                  <a:schemeClr val="dk1"/>
                </a:solidFill>
                <a:latin typeface="+mn-lt"/>
                <a:ea typeface="+mn-ea"/>
                <a:cs typeface="+mn-cs"/>
              </a:defRPr>
            </a:pPr>
            <a:endParaRPr lang="en-US"/>
          </a:p>
        </c:txPr>
        <c:crossAx val="29520"/>
        <c:crosses val="autoZero"/>
        <c:auto val="1"/>
        <c:lblAlgn val="ctr"/>
        <c:lblOffset val="100"/>
        <c:noMultiLvlLbl val="0"/>
      </c:catAx>
      <c:valAx>
        <c:axId val="29520"/>
        <c:scaling>
          <c:orientation val="minMax"/>
        </c:scaling>
        <c:delete val="1"/>
        <c:axPos val="b"/>
        <c:numFmt formatCode="[&lt;999950]0.0,&quot;K&quot;;[&lt;999950000]0.0,,&quot;M&quot;;0.0,,,&quot;B&quot;" sourceLinked="1"/>
        <c:majorTickMark val="none"/>
        <c:minorTickMark val="none"/>
        <c:tickLblPos val="nextTo"/>
        <c:crossAx val="87255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[01_Executive_Dashboard.xlsx]Pivot_Tables!06_Export_Growth</c:name>
    <c:fmtId val="18"/>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US" b="1"/>
              <a:t>Top 10 Countries with Highest Export Growth</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5400000" spcFirstLastPara="1" vertOverflow="ellipsis"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126503185523759E-2"/>
          <c:y val="0.3974621655022616"/>
          <c:w val="0.92974699362895252"/>
          <c:h val="0.55845632752587138"/>
        </c:manualLayout>
      </c:layout>
      <c:barChart>
        <c:barDir val="col"/>
        <c:grouping val="clustered"/>
        <c:varyColors val="0"/>
        <c:ser>
          <c:idx val="0"/>
          <c:order val="0"/>
          <c:tx>
            <c:strRef>
              <c:f>Pivot_Tables!$B$607</c:f>
              <c:strCache>
                <c:ptCount val="1"/>
                <c:pt idx="0">
                  <c:v>Total</c:v>
                </c:pt>
              </c:strCache>
            </c:strRef>
          </c:tx>
          <c:spPr>
            <a:solidFill>
              <a:schemeClr val="bg2">
                <a:lumMod val="25000"/>
              </a:schemeClr>
            </a:solidFill>
            <a:ln>
              <a:noFill/>
            </a:ln>
            <a:effectLst/>
          </c:spPr>
          <c:invertIfNegative val="0"/>
          <c:dLbls>
            <c:spPr>
              <a:noFill/>
              <a:ln>
                <a:noFill/>
              </a:ln>
              <a:effectLst/>
            </c:spPr>
            <c:txPr>
              <a:bodyPr rot="5400000" spcFirstLastPara="1" vertOverflow="ellipsis" wrap="square" anchor="ctr" anchorCtr="1"/>
              <a:lstStyle/>
              <a:p>
                <a:pPr>
                  <a:defRPr sz="1000" b="1" i="0" u="none" strike="noStrike" kern="1200" baseline="0">
                    <a:solidFill>
                      <a:schemeClr val="dk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Pivot_Tables!$A$608:$A$618</c:f>
              <c:strCache>
                <c:ptCount val="10"/>
                <c:pt idx="0">
                  <c:v>Yemen</c:v>
                </c:pt>
                <c:pt idx="1">
                  <c:v>Sierra Leone</c:v>
                </c:pt>
                <c:pt idx="2">
                  <c:v>Timor-Leste</c:v>
                </c:pt>
                <c:pt idx="3">
                  <c:v>Cabo Verde</c:v>
                </c:pt>
                <c:pt idx="4">
                  <c:v>Guyana</c:v>
                </c:pt>
                <c:pt idx="5">
                  <c:v>Guinea</c:v>
                </c:pt>
                <c:pt idx="6">
                  <c:v>Seychelles</c:v>
                </c:pt>
                <c:pt idx="7">
                  <c:v>Tonga</c:v>
                </c:pt>
                <c:pt idx="8">
                  <c:v>Bermuda</c:v>
                </c:pt>
                <c:pt idx="9">
                  <c:v>Central African Rep.</c:v>
                </c:pt>
              </c:strCache>
            </c:strRef>
          </c:cat>
          <c:val>
            <c:numRef>
              <c:f>Pivot_Tables!$B$608:$B$618</c:f>
              <c:numCache>
                <c:formatCode>0.00</c:formatCode>
                <c:ptCount val="10"/>
                <c:pt idx="0">
                  <c:v>465.04250000000002</c:v>
                </c:pt>
                <c:pt idx="1">
                  <c:v>140.45666666666668</c:v>
                </c:pt>
                <c:pt idx="2">
                  <c:v>100.94666666666667</c:v>
                </c:pt>
                <c:pt idx="3">
                  <c:v>65.185555555555567</c:v>
                </c:pt>
                <c:pt idx="4">
                  <c:v>61.312222222222218</c:v>
                </c:pt>
                <c:pt idx="5">
                  <c:v>52.16</c:v>
                </c:pt>
                <c:pt idx="6">
                  <c:v>50.646666666666668</c:v>
                </c:pt>
                <c:pt idx="7">
                  <c:v>44.116666666666667</c:v>
                </c:pt>
                <c:pt idx="8">
                  <c:v>40.130000000000003</c:v>
                </c:pt>
                <c:pt idx="9">
                  <c:v>35.987777777777779</c:v>
                </c:pt>
              </c:numCache>
            </c:numRef>
          </c:val>
          <c:extLst>
            <c:ext xmlns:c16="http://schemas.microsoft.com/office/drawing/2014/chart" uri="{C3380CC4-5D6E-409C-BE32-E72D297353CC}">
              <c16:uniqueId val="{00000000-14AF-4286-A12D-830D10B60F0E}"/>
            </c:ext>
          </c:extLst>
        </c:ser>
        <c:dLbls>
          <c:dLblPos val="outEnd"/>
          <c:showLegendKey val="0"/>
          <c:showVal val="1"/>
          <c:showCatName val="0"/>
          <c:showSerName val="0"/>
          <c:showPercent val="0"/>
          <c:showBubbleSize val="0"/>
        </c:dLbls>
        <c:gapWidth val="50"/>
        <c:axId val="1394123647"/>
        <c:axId val="662136143"/>
      </c:barChart>
      <c:catAx>
        <c:axId val="1394123647"/>
        <c:scaling>
          <c:orientation val="minMax"/>
        </c:scaling>
        <c:delete val="1"/>
        <c:axPos val="b"/>
        <c:numFmt formatCode="General" sourceLinked="1"/>
        <c:majorTickMark val="out"/>
        <c:minorTickMark val="none"/>
        <c:tickLblPos val="nextTo"/>
        <c:crossAx val="662136143"/>
        <c:crosses val="autoZero"/>
        <c:auto val="1"/>
        <c:lblAlgn val="ctr"/>
        <c:lblOffset val="100"/>
        <c:noMultiLvlLbl val="0"/>
      </c:catAx>
      <c:valAx>
        <c:axId val="662136143"/>
        <c:scaling>
          <c:orientation val="minMax"/>
        </c:scaling>
        <c:delete val="1"/>
        <c:axPos val="l"/>
        <c:numFmt formatCode="0.00" sourceLinked="1"/>
        <c:majorTickMark val="out"/>
        <c:minorTickMark val="none"/>
        <c:tickLblPos val="nextTo"/>
        <c:crossAx val="1394123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[01_Executive_Dashboard.xlsx]Pivot_Tables!05_Trade_Openness</c:name>
    <c:fmtId val="10"/>
  </c:pivotSource>
  <c:chart>
    <c:title>
      <c:tx>
        <c:rich>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r>
              <a:rPr lang="en-IN" b="1"/>
              <a:t>Top 20 Countries by highest Avg. Trade% of GDP</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dk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numFmt formatCode="#,##0.0" sourceLinked="0"/>
          <c:spPr>
            <a:noFill/>
            <a:ln>
              <a:noFill/>
            </a:ln>
            <a:effectLst/>
          </c:spPr>
          <c:txPr>
            <a:bodyPr rot="5400000" spcFirstLastPara="1" vertOverflow="ellipsis" wrap="square" anchor="ctr" anchorCtr="1"/>
            <a:lstStyle/>
            <a:p>
              <a:pPr>
                <a:defRPr sz="105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665892024503239E-2"/>
          <c:y val="0.21186889471304324"/>
          <c:w val="0.94591259715744946"/>
          <c:h val="0.76532842421360281"/>
        </c:manualLayout>
      </c:layout>
      <c:barChart>
        <c:barDir val="col"/>
        <c:grouping val="clustered"/>
        <c:varyColors val="0"/>
        <c:ser>
          <c:idx val="0"/>
          <c:order val="0"/>
          <c:tx>
            <c:strRef>
              <c:f>Pivot_Tables!$B$418</c:f>
              <c:strCache>
                <c:ptCount val="1"/>
                <c:pt idx="0">
                  <c:v>Total</c:v>
                </c:pt>
              </c:strCache>
            </c:strRef>
          </c:tx>
          <c:spPr>
            <a:solidFill>
              <a:schemeClr val="bg2">
                <a:lumMod val="25000"/>
              </a:schemeClr>
            </a:solidFill>
            <a:ln>
              <a:noFill/>
            </a:ln>
            <a:effectLst/>
          </c:spPr>
          <c:invertIfNegative val="0"/>
          <c:dLbls>
            <c:numFmt formatCode="#,##0.0" sourceLinked="0"/>
            <c:spPr>
              <a:noFill/>
              <a:ln>
                <a:noFill/>
              </a:ln>
              <a:effectLst/>
            </c:spPr>
            <c:txPr>
              <a:bodyPr rot="5400000" spcFirstLastPara="1" vertOverflow="ellipsis" wrap="square" anchor="ctr" anchorCtr="1"/>
              <a:lstStyle/>
              <a:p>
                <a:pPr>
                  <a:defRPr sz="1050" b="1" i="0" u="none" strike="noStrike" kern="1200" baseline="0">
                    <a:solidFill>
                      <a:schemeClr val="dk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Pivot_Tables!$A$419:$A$439</c:f>
              <c:strCache>
                <c:ptCount val="20"/>
                <c:pt idx="0">
                  <c:v>Luxembourg</c:v>
                </c:pt>
                <c:pt idx="1">
                  <c:v>China, Hong Kong SAR</c:v>
                </c:pt>
                <c:pt idx="2">
                  <c:v>Singapore</c:v>
                </c:pt>
                <c:pt idx="3">
                  <c:v>Djibouti</c:v>
                </c:pt>
                <c:pt idx="4">
                  <c:v>Ireland</c:v>
                </c:pt>
                <c:pt idx="5">
                  <c:v>Malta</c:v>
                </c:pt>
                <c:pt idx="6">
                  <c:v>Slovakia</c:v>
                </c:pt>
                <c:pt idx="7">
                  <c:v>Seychelles</c:v>
                </c:pt>
                <c:pt idx="8">
                  <c:v>United Arab Emirates</c:v>
                </c:pt>
                <c:pt idx="9">
                  <c:v>Belgium</c:v>
                </c:pt>
                <c:pt idx="10">
                  <c:v>Cyprus</c:v>
                </c:pt>
                <c:pt idx="11">
                  <c:v>Viet Nam</c:v>
                </c:pt>
                <c:pt idx="12">
                  <c:v>Hungary</c:v>
                </c:pt>
                <c:pt idx="13">
                  <c:v>Netherlands</c:v>
                </c:pt>
                <c:pt idx="14">
                  <c:v>Slovenia</c:v>
                </c:pt>
                <c:pt idx="15">
                  <c:v>Estonia</c:v>
                </c:pt>
                <c:pt idx="16">
                  <c:v>Curaçao</c:v>
                </c:pt>
                <c:pt idx="17">
                  <c:v>Lithuania</c:v>
                </c:pt>
                <c:pt idx="18">
                  <c:v>Bahrain</c:v>
                </c:pt>
                <c:pt idx="19">
                  <c:v>Maldives</c:v>
                </c:pt>
              </c:strCache>
            </c:strRef>
          </c:cat>
          <c:val>
            <c:numRef>
              <c:f>Pivot_Tables!$B$419:$B$439</c:f>
              <c:numCache>
                <c:formatCode>General</c:formatCode>
                <c:ptCount val="20"/>
                <c:pt idx="0">
                  <c:v>373.69892161999991</c:v>
                </c:pt>
                <c:pt idx="1">
                  <c:v>371.91757108000002</c:v>
                </c:pt>
                <c:pt idx="2">
                  <c:v>322.10689229000002</c:v>
                </c:pt>
                <c:pt idx="3">
                  <c:v>283.88839389999998</c:v>
                </c:pt>
                <c:pt idx="4">
                  <c:v>239.02097483000003</c:v>
                </c:pt>
                <c:pt idx="5">
                  <c:v>224.06506657</c:v>
                </c:pt>
                <c:pt idx="6">
                  <c:v>182.74573121</c:v>
                </c:pt>
                <c:pt idx="7">
                  <c:v>181.34469111000004</c:v>
                </c:pt>
                <c:pt idx="8">
                  <c:v>173.63497511111112</c:v>
                </c:pt>
                <c:pt idx="9">
                  <c:v>166.51700020000001</c:v>
                </c:pt>
                <c:pt idx="10">
                  <c:v>164.68354235999999</c:v>
                </c:pt>
                <c:pt idx="11">
                  <c:v>164.30476354444446</c:v>
                </c:pt>
                <c:pt idx="12">
                  <c:v>162.41519290000002</c:v>
                </c:pt>
                <c:pt idx="13">
                  <c:v>161.36554974999999</c:v>
                </c:pt>
                <c:pt idx="14">
                  <c:v>158.86191316999998</c:v>
                </c:pt>
                <c:pt idx="15">
                  <c:v>150.39084162</c:v>
                </c:pt>
                <c:pt idx="16">
                  <c:v>147.54065415000002</c:v>
                </c:pt>
                <c:pt idx="17">
                  <c:v>147.09468949000001</c:v>
                </c:pt>
                <c:pt idx="18">
                  <c:v>146.79914807000003</c:v>
                </c:pt>
                <c:pt idx="19">
                  <c:v>143.46657534000002</c:v>
                </c:pt>
              </c:numCache>
            </c:numRef>
          </c:val>
          <c:extLst>
            <c:ext xmlns:c16="http://schemas.microsoft.com/office/drawing/2014/chart" uri="{C3380CC4-5D6E-409C-BE32-E72D297353CC}">
              <c16:uniqueId val="{00000000-CC65-49C9-8F34-BCFB473E0942}"/>
            </c:ext>
          </c:extLst>
        </c:ser>
        <c:dLbls>
          <c:showLegendKey val="0"/>
          <c:showVal val="1"/>
          <c:showCatName val="0"/>
          <c:showSerName val="0"/>
          <c:showPercent val="0"/>
          <c:showBubbleSize val="0"/>
        </c:dLbls>
        <c:gapWidth val="50"/>
        <c:axId val="669182239"/>
        <c:axId val="662117423"/>
      </c:barChart>
      <c:valAx>
        <c:axId val="662117423"/>
        <c:scaling>
          <c:orientation val="minMax"/>
        </c:scaling>
        <c:delete val="1"/>
        <c:axPos val="l"/>
        <c:numFmt formatCode="General" sourceLinked="1"/>
        <c:majorTickMark val="none"/>
        <c:minorTickMark val="none"/>
        <c:tickLblPos val="nextTo"/>
        <c:crossAx val="669182239"/>
        <c:crosses val="autoZero"/>
        <c:crossBetween val="between"/>
      </c:valAx>
      <c:catAx>
        <c:axId val="669182239"/>
        <c:scaling>
          <c:orientation val="minMax"/>
        </c:scaling>
        <c:delete val="1"/>
        <c:axPos val="b"/>
        <c:numFmt formatCode="General" sourceLinked="1"/>
        <c:majorTickMark val="out"/>
        <c:minorTickMark val="none"/>
        <c:tickLblPos val="nextTo"/>
        <c:crossAx val="662117423"/>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5" Type="http://schemas.openxmlformats.org/officeDocument/2006/relationships/image" Target="../media/image1.emf"/><Relationship Id="rId4" Type="http://schemas.openxmlformats.org/officeDocument/2006/relationships/chart" Target="../charts/chart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editAs="oneCell">
    <xdr:from>
      <xdr:col>1</xdr:col>
      <xdr:colOff>7620</xdr:colOff>
      <xdr:row>812</xdr:row>
      <xdr:rowOff>175260</xdr:rowOff>
    </xdr:from>
    <xdr:to>
      <xdr:col>1</xdr:col>
      <xdr:colOff>1592580</xdr:colOff>
      <xdr:row>835</xdr:row>
      <xdr:rowOff>30481</xdr:rowOff>
    </xdr:to>
    <mc:AlternateContent xmlns:mc="http://schemas.openxmlformats.org/markup-compatibility/2006" xmlns:a14="http://schemas.microsoft.com/office/drawing/2010/main">
      <mc:Choice Requires="a14">
        <xdr:graphicFrame macro="">
          <xdr:nvGraphicFramePr>
            <xdr:cNvPr id="3" name="reporter_iso3">
              <a:extLst>
                <a:ext uri="{FF2B5EF4-FFF2-40B4-BE49-F238E27FC236}">
                  <a16:creationId xmlns:a16="http://schemas.microsoft.com/office/drawing/2014/main" id="{28AE690F-123F-0F47-8A51-736190B50628}"/>
                </a:ext>
              </a:extLst>
            </xdr:cNvPr>
            <xdr:cNvGraphicFramePr/>
          </xdr:nvGraphicFramePr>
          <xdr:xfrm>
            <a:off x="0" y="0"/>
            <a:ext cx="0" cy="0"/>
          </xdr:xfrm>
          <a:graphic>
            <a:graphicData uri="http://schemas.microsoft.com/office/drawing/2010/slicer">
              <sle:slicer xmlns:sle="http://schemas.microsoft.com/office/drawing/2010/slicer" name="reporter_iso3"/>
            </a:graphicData>
          </a:graphic>
        </xdr:graphicFrame>
      </mc:Choice>
      <mc:Fallback xmlns="">
        <xdr:sp macro="" textlink="">
          <xdr:nvSpPr>
            <xdr:cNvPr id="0" name=""/>
            <xdr:cNvSpPr>
              <a:spLocks noTextEdit="1"/>
            </xdr:cNvSpPr>
          </xdr:nvSpPr>
          <xdr:spPr>
            <a:xfrm>
              <a:off x="1935480" y="148849080"/>
              <a:ext cx="1584960" cy="4061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998220</xdr:colOff>
      <xdr:row>813</xdr:row>
      <xdr:rowOff>15240</xdr:rowOff>
    </xdr:from>
    <xdr:to>
      <xdr:col>3</xdr:col>
      <xdr:colOff>1076049</xdr:colOff>
      <xdr:row>829</xdr:row>
      <xdr:rowOff>144779</xdr:rowOff>
    </xdr:to>
    <mc:AlternateContent xmlns:mc="http://schemas.openxmlformats.org/markup-compatibility/2006" xmlns:a14="http://schemas.microsoft.com/office/drawing/2010/main">
      <mc:Choice Requires="a14">
        <xdr:graphicFrame macro="">
          <xdr:nvGraphicFramePr>
            <xdr:cNvPr id="4" name="reference_year">
              <a:extLst>
                <a:ext uri="{FF2B5EF4-FFF2-40B4-BE49-F238E27FC236}">
                  <a16:creationId xmlns:a16="http://schemas.microsoft.com/office/drawing/2014/main" id="{C20DDB8E-0185-526B-7F3B-46B3E0E66CC2}"/>
                </a:ext>
              </a:extLst>
            </xdr:cNvPr>
            <xdr:cNvGraphicFramePr/>
          </xdr:nvGraphicFramePr>
          <xdr:xfrm>
            <a:off x="0" y="0"/>
            <a:ext cx="0" cy="0"/>
          </xdr:xfrm>
          <a:graphic>
            <a:graphicData uri="http://schemas.microsoft.com/office/drawing/2010/slicer">
              <sle:slicer xmlns:sle="http://schemas.microsoft.com/office/drawing/2010/slicer" name="reference_year"/>
            </a:graphicData>
          </a:graphic>
        </xdr:graphicFrame>
      </mc:Choice>
      <mc:Fallback xmlns="">
        <xdr:sp macro="" textlink="">
          <xdr:nvSpPr>
            <xdr:cNvPr id="0" name=""/>
            <xdr:cNvSpPr>
              <a:spLocks noTextEdit="1"/>
            </xdr:cNvSpPr>
          </xdr:nvSpPr>
          <xdr:spPr>
            <a:xfrm>
              <a:off x="4671060" y="148871940"/>
              <a:ext cx="1828800" cy="3055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327660</xdr:colOff>
      <xdr:row>2</xdr:row>
      <xdr:rowOff>76200</xdr:rowOff>
    </xdr:from>
    <xdr:to>
      <xdr:col>5</xdr:col>
      <xdr:colOff>365760</xdr:colOff>
      <xdr:row>15</xdr:row>
      <xdr:rowOff>30480</xdr:rowOff>
    </xdr:to>
    <xdr:graphicFrame macro="">
      <xdr:nvGraphicFramePr>
        <xdr:cNvPr id="5" name="Chart 4">
          <a:extLst>
            <a:ext uri="{FF2B5EF4-FFF2-40B4-BE49-F238E27FC236}">
              <a16:creationId xmlns:a16="http://schemas.microsoft.com/office/drawing/2014/main" id="{351EAB0D-4AD2-C968-5F7C-45D3C96DCE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556260</xdr:colOff>
      <xdr:row>20</xdr:row>
      <xdr:rowOff>68580</xdr:rowOff>
    </xdr:from>
    <xdr:to>
      <xdr:col>8</xdr:col>
      <xdr:colOff>144780</xdr:colOff>
      <xdr:row>34</xdr:row>
      <xdr:rowOff>45720</xdr:rowOff>
    </xdr:to>
    <xdr:graphicFrame macro="">
      <xdr:nvGraphicFramePr>
        <xdr:cNvPr id="6" name="Chart 5">
          <a:extLst>
            <a:ext uri="{FF2B5EF4-FFF2-40B4-BE49-F238E27FC236}">
              <a16:creationId xmlns:a16="http://schemas.microsoft.com/office/drawing/2014/main" id="{0B736D44-89B9-69A5-0525-A3C09E72F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321816</xdr:colOff>
      <xdr:row>605</xdr:row>
      <xdr:rowOff>52526</xdr:rowOff>
    </xdr:from>
    <xdr:to>
      <xdr:col>8</xdr:col>
      <xdr:colOff>344010</xdr:colOff>
      <xdr:row>616</xdr:row>
      <xdr:rowOff>162758</xdr:rowOff>
    </xdr:to>
    <xdr:graphicFrame macro="">
      <xdr:nvGraphicFramePr>
        <xdr:cNvPr id="9" name="Chart 8">
          <a:extLst>
            <a:ext uri="{FF2B5EF4-FFF2-40B4-BE49-F238E27FC236}">
              <a16:creationId xmlns:a16="http://schemas.microsoft.com/office/drawing/2014/main" id="{1BD70A76-1573-15AD-0DAC-387DBED689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203447</xdr:colOff>
      <xdr:row>417</xdr:row>
      <xdr:rowOff>89516</xdr:rowOff>
    </xdr:from>
    <xdr:to>
      <xdr:col>6</xdr:col>
      <xdr:colOff>392097</xdr:colOff>
      <xdr:row>432</xdr:row>
      <xdr:rowOff>58445</xdr:rowOff>
    </xdr:to>
    <xdr:graphicFrame macro="">
      <xdr:nvGraphicFramePr>
        <xdr:cNvPr id="10" name="Chart 9">
          <a:extLst>
            <a:ext uri="{FF2B5EF4-FFF2-40B4-BE49-F238E27FC236}">
              <a16:creationId xmlns:a16="http://schemas.microsoft.com/office/drawing/2014/main" id="{A6E69327-86BB-34A7-B73C-791FFB6454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0</xdr:row>
      <xdr:rowOff>45720</xdr:rowOff>
    </xdr:from>
    <xdr:to>
      <xdr:col>26</xdr:col>
      <xdr:colOff>584548</xdr:colOff>
      <xdr:row>43</xdr:row>
      <xdr:rowOff>87923</xdr:rowOff>
    </xdr:to>
    <xdr:sp macro="" textlink="">
      <xdr:nvSpPr>
        <xdr:cNvPr id="2" name="Rectangle 1">
          <a:extLst>
            <a:ext uri="{FF2B5EF4-FFF2-40B4-BE49-F238E27FC236}">
              <a16:creationId xmlns:a16="http://schemas.microsoft.com/office/drawing/2014/main" id="{5DE5BF00-67E5-F108-6A26-F1647EF41D92}"/>
            </a:ext>
          </a:extLst>
        </xdr:cNvPr>
        <xdr:cNvSpPr/>
      </xdr:nvSpPr>
      <xdr:spPr>
        <a:xfrm>
          <a:off x="38100" y="45720"/>
          <a:ext cx="16287489" cy="8121491"/>
        </a:xfrm>
        <a:prstGeom prst="rect">
          <a:avLst/>
        </a:prstGeom>
        <a:gradFill flip="none" rotWithShape="1">
          <a:gsLst>
            <a:gs pos="0">
              <a:schemeClr val="dk1">
                <a:lumMod val="67000"/>
              </a:schemeClr>
            </a:gs>
            <a:gs pos="48000">
              <a:schemeClr val="dk1">
                <a:lumMod val="97000"/>
                <a:lumOff val="3000"/>
              </a:schemeClr>
            </a:gs>
            <a:gs pos="100000">
              <a:schemeClr val="dk1">
                <a:lumMod val="60000"/>
                <a:lumOff val="40000"/>
              </a:schemeClr>
            </a:gs>
          </a:gsLst>
          <a:lin ang="16200000" scaled="1"/>
          <a:tileRect/>
        </a:gra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125260</xdr:colOff>
      <xdr:row>0</xdr:row>
      <xdr:rowOff>105845</xdr:rowOff>
    </xdr:from>
    <xdr:to>
      <xdr:col>23</xdr:col>
      <xdr:colOff>323589</xdr:colOff>
      <xdr:row>9</xdr:row>
      <xdr:rowOff>160558</xdr:rowOff>
    </xdr:to>
    <xdr:grpSp>
      <xdr:nvGrpSpPr>
        <xdr:cNvPr id="14" name="Group 13">
          <a:extLst>
            <a:ext uri="{FF2B5EF4-FFF2-40B4-BE49-F238E27FC236}">
              <a16:creationId xmlns:a16="http://schemas.microsoft.com/office/drawing/2014/main" id="{E897A631-673A-4262-C919-63EEE9E7550F}"/>
            </a:ext>
          </a:extLst>
        </xdr:cNvPr>
        <xdr:cNvGrpSpPr/>
      </xdr:nvGrpSpPr>
      <xdr:grpSpPr>
        <a:xfrm>
          <a:off x="125260" y="105845"/>
          <a:ext cx="14177400" cy="1687570"/>
          <a:chOff x="217552" y="137161"/>
          <a:chExt cx="14219131" cy="1698000"/>
        </a:xfrm>
      </xdr:grpSpPr>
      <xdr:sp macro="" textlink="">
        <xdr:nvSpPr>
          <xdr:cNvPr id="3" name="TextBox 2">
            <a:extLst>
              <a:ext uri="{FF2B5EF4-FFF2-40B4-BE49-F238E27FC236}">
                <a16:creationId xmlns:a16="http://schemas.microsoft.com/office/drawing/2014/main" id="{A7B928BC-7D41-C667-BFA9-40E0A716ED4C}"/>
              </a:ext>
            </a:extLst>
          </xdr:cNvPr>
          <xdr:cNvSpPr txBox="1"/>
        </xdr:nvSpPr>
        <xdr:spPr>
          <a:xfrm>
            <a:off x="217552" y="137161"/>
            <a:ext cx="14218920" cy="865044"/>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r>
              <a:rPr lang="en-IN" sz="2000" b="1" i="0" u="none" strike="noStrike">
                <a:solidFill>
                  <a:srgbClr val="000000"/>
                </a:solidFill>
                <a:latin typeface="Calibri"/>
                <a:ea typeface="Calibri"/>
                <a:cs typeface="Calibri"/>
              </a:rPr>
              <a:t>GLOBAL TRADE &amp; SUPPLY CHAIN INTELLIGENCE PLATFORM</a:t>
            </a:r>
          </a:p>
          <a:p>
            <a:pPr marL="0" indent="0" algn="r"/>
            <a:r>
              <a:rPr lang="en-IN" sz="1600" b="1" i="0" u="none" strike="noStrike">
                <a:solidFill>
                  <a:srgbClr val="000000"/>
                </a:solidFill>
                <a:latin typeface="Calibri"/>
                <a:ea typeface="Calibri"/>
                <a:cs typeface="Calibri"/>
              </a:rPr>
              <a:t>EXECUTIVE TRADE ANALYTICS DASHBOARD (2015-2024)                        </a:t>
            </a:r>
            <a:r>
              <a:rPr lang="en-IN" sz="2000" b="1" i="0" u="none" strike="noStrike">
                <a:solidFill>
                  <a:srgbClr val="000000"/>
                </a:solidFill>
                <a:latin typeface="Calibri"/>
                <a:ea typeface="Calibri"/>
                <a:cs typeface="Calibri"/>
              </a:rPr>
              <a:t> </a:t>
            </a:r>
            <a:r>
              <a:rPr lang="en-IN" sz="1400" b="1" i="0" u="none" strike="noStrike">
                <a:solidFill>
                  <a:srgbClr val="000000"/>
                </a:solidFill>
                <a:latin typeface="Calibri"/>
                <a:ea typeface="Calibri"/>
                <a:cs typeface="Calibri"/>
              </a:rPr>
              <a:t>Data Source: US Comtrade API &amp; World Bank API </a:t>
            </a:r>
          </a:p>
        </xdr:txBody>
      </xdr:sp>
      <xdr:grpSp>
        <xdr:nvGrpSpPr>
          <xdr:cNvPr id="13" name="Group 12">
            <a:extLst>
              <a:ext uri="{FF2B5EF4-FFF2-40B4-BE49-F238E27FC236}">
                <a16:creationId xmlns:a16="http://schemas.microsoft.com/office/drawing/2014/main" id="{6AC3F1DC-02BE-9A53-E97D-ACA51005B91C}"/>
              </a:ext>
            </a:extLst>
          </xdr:cNvPr>
          <xdr:cNvGrpSpPr/>
        </xdr:nvGrpSpPr>
        <xdr:grpSpPr>
          <a:xfrm>
            <a:off x="223569" y="1103083"/>
            <a:ext cx="14213114" cy="732078"/>
            <a:chOff x="223569" y="1103083"/>
            <a:chExt cx="14213114" cy="732078"/>
          </a:xfrm>
        </xdr:grpSpPr>
        <xdr:sp macro="" textlink="Pivot_Tables!A843">
          <xdr:nvSpPr>
            <xdr:cNvPr id="4" name="TextBox 3">
              <a:extLst>
                <a:ext uri="{FF2B5EF4-FFF2-40B4-BE49-F238E27FC236}">
                  <a16:creationId xmlns:a16="http://schemas.microsoft.com/office/drawing/2014/main" id="{D1B25E25-2E93-52FF-F4FF-04C3EA1C2C50}"/>
                </a:ext>
              </a:extLst>
            </xdr:cNvPr>
            <xdr:cNvSpPr txBox="1"/>
          </xdr:nvSpPr>
          <xdr:spPr>
            <a:xfrm>
              <a:off x="223569" y="1103083"/>
              <a:ext cx="3624479" cy="708698"/>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endParaRPr lang="en-US" sz="1800" b="1" i="0" u="none" strike="noStrike">
                <a:solidFill>
                  <a:srgbClr val="000000"/>
                </a:solidFill>
                <a:latin typeface="Calibri"/>
                <a:ea typeface="Calibri"/>
                <a:cs typeface="Calibri"/>
              </a:endParaRPr>
            </a:p>
            <a:p>
              <a:pPr marL="0" indent="0" algn="ctr"/>
              <a:fld id="{9D9D382D-580C-44EE-AE18-B86071C7418E}" type="TxLink">
                <a:rPr lang="en-US" sz="1800" b="1" i="0" u="none" strike="noStrike">
                  <a:solidFill>
                    <a:srgbClr val="000000"/>
                  </a:solidFill>
                  <a:latin typeface="Calibri"/>
                  <a:ea typeface="Calibri"/>
                  <a:cs typeface="Calibri"/>
                </a:rPr>
                <a:pPr marL="0" indent="0" algn="ctr"/>
                <a:t>339428.0B</a:t>
              </a:fld>
              <a:endParaRPr lang="en-IN" sz="1800" b="1" i="0" u="none" strike="noStrike">
                <a:solidFill>
                  <a:srgbClr val="000000"/>
                </a:solidFill>
                <a:latin typeface="Calibri"/>
                <a:ea typeface="Calibri"/>
                <a:cs typeface="Calibri"/>
              </a:endParaRPr>
            </a:p>
          </xdr:txBody>
        </xdr:sp>
        <xdr:sp macro="" textlink="Pivot_Tables!B843">
          <xdr:nvSpPr>
            <xdr:cNvPr id="5" name="TextBox 4">
              <a:extLst>
                <a:ext uri="{FF2B5EF4-FFF2-40B4-BE49-F238E27FC236}">
                  <a16:creationId xmlns:a16="http://schemas.microsoft.com/office/drawing/2014/main" id="{E29119D8-7791-487D-8CEA-1D602C3FC7BC}"/>
                </a:ext>
              </a:extLst>
            </xdr:cNvPr>
            <xdr:cNvSpPr txBox="1"/>
          </xdr:nvSpPr>
          <xdr:spPr>
            <a:xfrm>
              <a:off x="3924213" y="1110878"/>
              <a:ext cx="3624479" cy="708697"/>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endParaRPr lang="en-US" sz="1800" b="1" i="0" u="none" strike="noStrike">
                <a:solidFill>
                  <a:srgbClr val="000000"/>
                </a:solidFill>
                <a:latin typeface="Calibri"/>
                <a:ea typeface="Calibri"/>
                <a:cs typeface="Calibri"/>
              </a:endParaRPr>
            </a:p>
            <a:p>
              <a:pPr marL="0" indent="0" algn="ctr"/>
              <a:fld id="{E8651CFA-BA71-477F-8E2B-101C9CE991DB}" type="TxLink">
                <a:rPr lang="en-US" sz="1800" b="1" i="0" u="none" strike="noStrike">
                  <a:solidFill>
                    <a:srgbClr val="000000"/>
                  </a:solidFill>
                  <a:latin typeface="Calibri"/>
                  <a:ea typeface="Calibri"/>
                  <a:cs typeface="Calibri"/>
                </a:rPr>
                <a:pPr marL="0" indent="0" algn="ctr"/>
                <a:t>182</a:t>
              </a:fld>
              <a:endParaRPr lang="en-IN" sz="1800" b="1" i="0" u="none" strike="noStrike">
                <a:solidFill>
                  <a:srgbClr val="000000"/>
                </a:solidFill>
                <a:latin typeface="Calibri"/>
                <a:ea typeface="Calibri"/>
                <a:cs typeface="Calibri"/>
              </a:endParaRPr>
            </a:p>
          </xdr:txBody>
        </xdr:sp>
        <xdr:sp macro="" textlink="Pivot_Tables!C843">
          <xdr:nvSpPr>
            <xdr:cNvPr id="6" name="TextBox 5">
              <a:extLst>
                <a:ext uri="{FF2B5EF4-FFF2-40B4-BE49-F238E27FC236}">
                  <a16:creationId xmlns:a16="http://schemas.microsoft.com/office/drawing/2014/main" id="{17A00051-926E-48C6-B51C-65F3241223C9}"/>
                </a:ext>
              </a:extLst>
            </xdr:cNvPr>
            <xdr:cNvSpPr txBox="1"/>
          </xdr:nvSpPr>
          <xdr:spPr>
            <a:xfrm>
              <a:off x="7635364" y="1118672"/>
              <a:ext cx="3624479" cy="708696"/>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endParaRPr lang="en-US" sz="1800" b="1" i="0" u="none" strike="noStrike">
                <a:solidFill>
                  <a:srgbClr val="000000"/>
                </a:solidFill>
                <a:latin typeface="Calibri"/>
                <a:ea typeface="Calibri"/>
                <a:cs typeface="Calibri"/>
              </a:endParaRPr>
            </a:p>
            <a:p>
              <a:pPr marL="0" indent="0" algn="ctr"/>
              <a:fld id="{53881274-727A-4AAB-B32A-56D371C837AC}" type="TxLink">
                <a:rPr lang="en-US" sz="1800" b="1" i="0" u="none" strike="noStrike">
                  <a:solidFill>
                    <a:srgbClr val="000000"/>
                  </a:solidFill>
                  <a:latin typeface="Calibri"/>
                  <a:ea typeface="Calibri"/>
                  <a:cs typeface="Calibri"/>
                </a:rPr>
                <a:pPr marL="0" indent="0" algn="ctr"/>
                <a:t>2.86</a:t>
              </a:fld>
              <a:endParaRPr lang="en-IN" sz="1800" b="1" i="0" u="none" strike="noStrike">
                <a:solidFill>
                  <a:srgbClr val="000000"/>
                </a:solidFill>
                <a:latin typeface="Calibri"/>
                <a:ea typeface="Calibri"/>
                <a:cs typeface="Calibri"/>
              </a:endParaRPr>
            </a:p>
          </xdr:txBody>
        </xdr:sp>
        <xdr:sp macro="" textlink="Pivot_Tables!D843">
          <xdr:nvSpPr>
            <xdr:cNvPr id="7" name="TextBox 6">
              <a:extLst>
                <a:ext uri="{FF2B5EF4-FFF2-40B4-BE49-F238E27FC236}">
                  <a16:creationId xmlns:a16="http://schemas.microsoft.com/office/drawing/2014/main" id="{F5845F1C-9CBE-4E6D-AC85-0FC6591DBE36}"/>
                </a:ext>
              </a:extLst>
            </xdr:cNvPr>
            <xdr:cNvSpPr txBox="1"/>
          </xdr:nvSpPr>
          <xdr:spPr>
            <a:xfrm>
              <a:off x="11367497" y="1126464"/>
              <a:ext cx="3069186" cy="708697"/>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marL="0" indent="0" algn="ctr"/>
              <a:endParaRPr lang="en-US" sz="1800" b="1" i="0" u="none" strike="noStrike">
                <a:solidFill>
                  <a:srgbClr val="000000"/>
                </a:solidFill>
                <a:latin typeface="Calibri"/>
                <a:ea typeface="Calibri"/>
                <a:cs typeface="Calibri"/>
              </a:endParaRPr>
            </a:p>
            <a:p>
              <a:pPr marL="0" indent="0" algn="ctr"/>
              <a:fld id="{B780256F-E23C-46C4-970B-966480CE4B24}" type="TxLink">
                <a:rPr lang="en-US" sz="1800" b="1" i="0" u="none" strike="noStrike">
                  <a:solidFill>
                    <a:srgbClr val="000000"/>
                  </a:solidFill>
                  <a:latin typeface="Calibri"/>
                  <a:ea typeface="Calibri"/>
                  <a:cs typeface="Calibri"/>
                </a:rPr>
                <a:pPr marL="0" indent="0" algn="ctr"/>
                <a:t>91.40</a:t>
              </a:fld>
              <a:endParaRPr lang="en-IN" sz="1800" b="1" i="0" u="none" strike="noStrike">
                <a:solidFill>
                  <a:srgbClr val="000000"/>
                </a:solidFill>
                <a:latin typeface="Calibri"/>
                <a:ea typeface="Calibri"/>
                <a:cs typeface="Calibri"/>
              </a:endParaRPr>
            </a:p>
          </xdr:txBody>
        </xdr:sp>
      </xdr:grpSp>
    </xdr:grpSp>
    <xdr:clientData/>
  </xdr:twoCellAnchor>
  <xdr:twoCellAnchor>
    <xdr:from>
      <xdr:col>2</xdr:col>
      <xdr:colOff>111901</xdr:colOff>
      <xdr:row>6</xdr:row>
      <xdr:rowOff>14186</xdr:rowOff>
    </xdr:from>
    <xdr:to>
      <xdr:col>4</xdr:col>
      <xdr:colOff>210960</xdr:colOff>
      <xdr:row>7</xdr:row>
      <xdr:rowOff>130760</xdr:rowOff>
    </xdr:to>
    <xdr:sp macro="" textlink="">
      <xdr:nvSpPr>
        <xdr:cNvPr id="8" name="TextBox 7">
          <a:extLst>
            <a:ext uri="{FF2B5EF4-FFF2-40B4-BE49-F238E27FC236}">
              <a16:creationId xmlns:a16="http://schemas.microsoft.com/office/drawing/2014/main" id="{596A546C-0523-197A-63F9-FF02A46B6A70}"/>
            </a:ext>
          </a:extLst>
        </xdr:cNvPr>
        <xdr:cNvSpPr txBox="1"/>
      </xdr:nvSpPr>
      <xdr:spPr>
        <a:xfrm>
          <a:off x="1322750" y="1141528"/>
          <a:ext cx="1309909" cy="304465"/>
        </a:xfrm>
        <a:prstGeom prst="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IN" sz="1600" b="1">
              <a:ln>
                <a:noFill/>
              </a:ln>
            </a:rPr>
            <a:t>Total</a:t>
          </a:r>
          <a:r>
            <a:rPr lang="en-IN" sz="1600" b="1" baseline="0"/>
            <a:t> Exports</a:t>
          </a:r>
          <a:endParaRPr lang="en-IN" sz="1600" b="1"/>
        </a:p>
      </xdr:txBody>
    </xdr:sp>
    <xdr:clientData/>
  </xdr:twoCellAnchor>
  <xdr:twoCellAnchor>
    <xdr:from>
      <xdr:col>14</xdr:col>
      <xdr:colOff>137695</xdr:colOff>
      <xdr:row>6</xdr:row>
      <xdr:rowOff>37070</xdr:rowOff>
    </xdr:from>
    <xdr:to>
      <xdr:col>16</xdr:col>
      <xdr:colOff>584467</xdr:colOff>
      <xdr:row>7</xdr:row>
      <xdr:rowOff>151369</xdr:rowOff>
    </xdr:to>
    <xdr:sp macro="" textlink="">
      <xdr:nvSpPr>
        <xdr:cNvPr id="10" name="TextBox 9">
          <a:extLst>
            <a:ext uri="{FF2B5EF4-FFF2-40B4-BE49-F238E27FC236}">
              <a16:creationId xmlns:a16="http://schemas.microsoft.com/office/drawing/2014/main" id="{6E3B9F1A-8D52-45FE-B5F0-5D71F30224DB}"/>
            </a:ext>
          </a:extLst>
        </xdr:cNvPr>
        <xdr:cNvSpPr txBox="1"/>
      </xdr:nvSpPr>
      <xdr:spPr>
        <a:xfrm>
          <a:off x="8613640" y="1164412"/>
          <a:ext cx="1657622" cy="302190"/>
        </a:xfrm>
        <a:prstGeom prst="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IN" sz="1600" b="1">
              <a:ln>
                <a:noFill/>
              </a:ln>
            </a:rPr>
            <a:t>Avg.</a:t>
          </a:r>
          <a:r>
            <a:rPr lang="en-IN" sz="1600" b="1" baseline="0">
              <a:ln>
                <a:noFill/>
              </a:ln>
            </a:rPr>
            <a:t> GDP Growth</a:t>
          </a:r>
          <a:endParaRPr lang="en-IN" sz="1600" b="1"/>
        </a:p>
      </xdr:txBody>
    </xdr:sp>
    <xdr:clientData/>
  </xdr:twoCellAnchor>
  <xdr:twoCellAnchor>
    <xdr:from>
      <xdr:col>8</xdr:col>
      <xdr:colOff>79122</xdr:colOff>
      <xdr:row>6</xdr:row>
      <xdr:rowOff>15607</xdr:rowOff>
    </xdr:from>
    <xdr:to>
      <xdr:col>10</xdr:col>
      <xdr:colOff>585486</xdr:colOff>
      <xdr:row>7</xdr:row>
      <xdr:rowOff>132641</xdr:rowOff>
    </xdr:to>
    <xdr:sp macro="" textlink="">
      <xdr:nvSpPr>
        <xdr:cNvPr id="9" name="TextBox 8">
          <a:extLst>
            <a:ext uri="{FF2B5EF4-FFF2-40B4-BE49-F238E27FC236}">
              <a16:creationId xmlns:a16="http://schemas.microsoft.com/office/drawing/2014/main" id="{A2FB1DF1-6C30-453B-ACF5-2192C78EBB30}"/>
            </a:ext>
          </a:extLst>
        </xdr:cNvPr>
        <xdr:cNvSpPr txBox="1"/>
      </xdr:nvSpPr>
      <xdr:spPr>
        <a:xfrm>
          <a:off x="4922519" y="1142949"/>
          <a:ext cx="1717214" cy="304925"/>
        </a:xfrm>
        <a:prstGeom prst="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IN" sz="1600" b="1">
              <a:ln>
                <a:noFill/>
              </a:ln>
            </a:rPr>
            <a:t>No</a:t>
          </a:r>
          <a:r>
            <a:rPr lang="en-IN" sz="1600" b="1" baseline="0">
              <a:ln>
                <a:noFill/>
              </a:ln>
            </a:rPr>
            <a:t> Of Countries</a:t>
          </a:r>
          <a:endParaRPr lang="en-IN" sz="1600" b="1"/>
        </a:p>
      </xdr:txBody>
    </xdr:sp>
    <xdr:clientData/>
  </xdr:twoCellAnchor>
  <xdr:twoCellAnchor>
    <xdr:from>
      <xdr:col>19</xdr:col>
      <xdr:colOff>83586</xdr:colOff>
      <xdr:row>6</xdr:row>
      <xdr:rowOff>30343</xdr:rowOff>
    </xdr:from>
    <xdr:to>
      <xdr:col>22</xdr:col>
      <xdr:colOff>597571</xdr:colOff>
      <xdr:row>7</xdr:row>
      <xdr:rowOff>149652</xdr:rowOff>
    </xdr:to>
    <xdr:sp macro="" textlink="">
      <xdr:nvSpPr>
        <xdr:cNvPr id="11" name="TextBox 10">
          <a:extLst>
            <a:ext uri="{FF2B5EF4-FFF2-40B4-BE49-F238E27FC236}">
              <a16:creationId xmlns:a16="http://schemas.microsoft.com/office/drawing/2014/main" id="{CFA0EB63-C016-419E-B42E-43C65050E4CE}"/>
            </a:ext>
          </a:extLst>
        </xdr:cNvPr>
        <xdr:cNvSpPr txBox="1"/>
      </xdr:nvSpPr>
      <xdr:spPr>
        <a:xfrm>
          <a:off x="11586654" y="1157685"/>
          <a:ext cx="2330259" cy="307200"/>
        </a:xfrm>
        <a:prstGeom prst="rect">
          <a:avLst/>
        </a:prstGeom>
        <a:ln>
          <a:noFill/>
        </a:ln>
      </xdr:spPr>
      <xdr:style>
        <a:lnRef idx="1">
          <a:schemeClr val="accent2"/>
        </a:lnRef>
        <a:fillRef idx="2">
          <a:schemeClr val="accent2"/>
        </a:fillRef>
        <a:effectRef idx="1">
          <a:schemeClr val="accent2"/>
        </a:effectRef>
        <a:fontRef idx="minor">
          <a:schemeClr val="dk1"/>
        </a:fontRef>
      </xdr:style>
      <xdr:txBody>
        <a:bodyPr vertOverflow="clip" horzOverflow="clip" wrap="square" rtlCol="0" anchor="ctr"/>
        <a:lstStyle/>
        <a:p>
          <a:pPr algn="ctr"/>
          <a:r>
            <a:rPr lang="en-IN" sz="1600" b="1">
              <a:ln>
                <a:noFill/>
              </a:ln>
            </a:rPr>
            <a:t>Avg. Trade% Of GDP</a:t>
          </a:r>
          <a:endParaRPr lang="en-IN" sz="1600" b="1"/>
        </a:p>
      </xdr:txBody>
    </xdr:sp>
    <xdr:clientData/>
  </xdr:twoCellAnchor>
  <xdr:twoCellAnchor>
    <xdr:from>
      <xdr:col>15</xdr:col>
      <xdr:colOff>155721</xdr:colOff>
      <xdr:row>10</xdr:row>
      <xdr:rowOff>122897</xdr:rowOff>
    </xdr:from>
    <xdr:to>
      <xdr:col>23</xdr:col>
      <xdr:colOff>344466</xdr:colOff>
      <xdr:row>21</xdr:row>
      <xdr:rowOff>81280</xdr:rowOff>
    </xdr:to>
    <xdr:graphicFrame macro="">
      <xdr:nvGraphicFramePr>
        <xdr:cNvPr id="12" name="Chart 11">
          <a:extLst>
            <a:ext uri="{FF2B5EF4-FFF2-40B4-BE49-F238E27FC236}">
              <a16:creationId xmlns:a16="http://schemas.microsoft.com/office/drawing/2014/main" id="{4939DC24-39CF-403F-9685-599905ABD4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533400</xdr:colOff>
      <xdr:row>10</xdr:row>
      <xdr:rowOff>122897</xdr:rowOff>
    </xdr:from>
    <xdr:to>
      <xdr:col>15</xdr:col>
      <xdr:colOff>87923</xdr:colOff>
      <xdr:row>21</xdr:row>
      <xdr:rowOff>78154</xdr:rowOff>
    </xdr:to>
    <xdr:graphicFrame macro="">
      <xdr:nvGraphicFramePr>
        <xdr:cNvPr id="15" name="Chart 14">
          <a:extLst>
            <a:ext uri="{FF2B5EF4-FFF2-40B4-BE49-F238E27FC236}">
              <a16:creationId xmlns:a16="http://schemas.microsoft.com/office/drawing/2014/main" id="{31A27505-C4FD-4700-BEF2-B49E67B35D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116254</xdr:colOff>
      <xdr:row>10</xdr:row>
      <xdr:rowOff>136770</xdr:rowOff>
    </xdr:from>
    <xdr:to>
      <xdr:col>6</xdr:col>
      <xdr:colOff>459154</xdr:colOff>
      <xdr:row>24</xdr:row>
      <xdr:rowOff>71120</xdr:rowOff>
    </xdr:to>
    <xdr:graphicFrame macro="">
      <xdr:nvGraphicFramePr>
        <xdr:cNvPr id="17" name="Chart 16">
          <a:extLst>
            <a:ext uri="{FF2B5EF4-FFF2-40B4-BE49-F238E27FC236}">
              <a16:creationId xmlns:a16="http://schemas.microsoft.com/office/drawing/2014/main" id="{BF5283A2-FBFA-41E5-9CC7-EF86406D22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107463</xdr:colOff>
      <xdr:row>24</xdr:row>
      <xdr:rowOff>152400</xdr:rowOff>
    </xdr:from>
    <xdr:to>
      <xdr:col>6</xdr:col>
      <xdr:colOff>468923</xdr:colOff>
      <xdr:row>43</xdr:row>
      <xdr:rowOff>9769</xdr:rowOff>
    </xdr:to>
    <xdr:graphicFrame macro="">
      <xdr:nvGraphicFramePr>
        <xdr:cNvPr id="18" name="Chart 17">
          <a:extLst>
            <a:ext uri="{FF2B5EF4-FFF2-40B4-BE49-F238E27FC236}">
              <a16:creationId xmlns:a16="http://schemas.microsoft.com/office/drawing/2014/main" id="{7A06E4FB-3651-4052-8146-F3A43158F4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532356</xdr:colOff>
          <xdr:row>21</xdr:row>
          <xdr:rowOff>146137</xdr:rowOff>
        </xdr:from>
        <xdr:to>
          <xdr:col>23</xdr:col>
          <xdr:colOff>375781</xdr:colOff>
          <xdr:row>43</xdr:row>
          <xdr:rowOff>20876</xdr:rowOff>
        </xdr:to>
        <xdr:pic>
          <xdr:nvPicPr>
            <xdr:cNvPr id="22" name="Picture 21">
              <a:extLst>
                <a:ext uri="{FF2B5EF4-FFF2-40B4-BE49-F238E27FC236}">
                  <a16:creationId xmlns:a16="http://schemas.microsoft.com/office/drawing/2014/main" id="{7D313BBE-2424-03F6-F057-C26E5DD99FC6}"/>
                </a:ext>
              </a:extLst>
            </xdr:cNvPr>
            <xdr:cNvPicPr>
              <a:picLocks noChangeAspect="1" noChangeArrowheads="1"/>
              <a:extLst>
                <a:ext uri="{84589F7E-364E-4C9E-8A38-B11213B215E9}">
                  <a14:cameraTool cellRange="Pivot_Tables!$A$624:$G$645" spid="_x0000_s2059"/>
                </a:ext>
              </a:extLst>
            </xdr:cNvPicPr>
          </xdr:nvPicPr>
          <xdr:blipFill>
            <a:blip xmlns:r="http://schemas.openxmlformats.org/officeDocument/2006/relationships" r:embed="rId5"/>
            <a:srcRect/>
            <a:stretch>
              <a:fillRect/>
            </a:stretch>
          </xdr:blipFill>
          <xdr:spPr bwMode="auto">
            <a:xfrm>
              <a:off x="4164904" y="4091836"/>
              <a:ext cx="10135644" cy="4008328"/>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23</xdr:col>
      <xdr:colOff>427971</xdr:colOff>
      <xdr:row>0</xdr:row>
      <xdr:rowOff>104385</xdr:rowOff>
    </xdr:from>
    <xdr:to>
      <xdr:col>26</xdr:col>
      <xdr:colOff>411697</xdr:colOff>
      <xdr:row>21</xdr:row>
      <xdr:rowOff>31316</xdr:rowOff>
    </xdr:to>
    <mc:AlternateContent xmlns:mc="http://schemas.openxmlformats.org/markup-compatibility/2006" xmlns:a14="http://schemas.microsoft.com/office/drawing/2010/main">
      <mc:Choice Requires="a14">
        <xdr:graphicFrame macro="">
          <xdr:nvGraphicFramePr>
            <xdr:cNvPr id="23" name="reporter_iso3 1">
              <a:extLst>
                <a:ext uri="{FF2B5EF4-FFF2-40B4-BE49-F238E27FC236}">
                  <a16:creationId xmlns:a16="http://schemas.microsoft.com/office/drawing/2014/main" id="{7639D897-20E0-445E-84E4-817760ACEA5B}"/>
                </a:ext>
              </a:extLst>
            </xdr:cNvPr>
            <xdr:cNvGraphicFramePr/>
          </xdr:nvGraphicFramePr>
          <xdr:xfrm>
            <a:off x="0" y="0"/>
            <a:ext cx="0" cy="0"/>
          </xdr:xfrm>
          <a:graphic>
            <a:graphicData uri="http://schemas.microsoft.com/office/drawing/2010/slicer">
              <sle:slicer xmlns:sle="http://schemas.microsoft.com/office/drawing/2010/slicer" name="reporter_iso3 1"/>
            </a:graphicData>
          </a:graphic>
        </xdr:graphicFrame>
      </mc:Choice>
      <mc:Fallback xmlns="">
        <xdr:sp macro="" textlink="">
          <xdr:nvSpPr>
            <xdr:cNvPr id="0" name=""/>
            <xdr:cNvSpPr>
              <a:spLocks noTextEdit="1"/>
            </xdr:cNvSpPr>
          </xdr:nvSpPr>
          <xdr:spPr>
            <a:xfrm>
              <a:off x="14448771" y="104385"/>
              <a:ext cx="1812526" cy="37674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448850</xdr:colOff>
      <xdr:row>22</xdr:row>
      <xdr:rowOff>31315</xdr:rowOff>
    </xdr:from>
    <xdr:to>
      <xdr:col>26</xdr:col>
      <xdr:colOff>432576</xdr:colOff>
      <xdr:row>42</xdr:row>
      <xdr:rowOff>176462</xdr:rowOff>
    </xdr:to>
    <mc:AlternateContent xmlns:mc="http://schemas.openxmlformats.org/markup-compatibility/2006" xmlns:a14="http://schemas.microsoft.com/office/drawing/2010/main">
      <mc:Choice Requires="a14">
        <xdr:graphicFrame macro="">
          <xdr:nvGraphicFramePr>
            <xdr:cNvPr id="24" name="reference_year 1">
              <a:extLst>
                <a:ext uri="{FF2B5EF4-FFF2-40B4-BE49-F238E27FC236}">
                  <a16:creationId xmlns:a16="http://schemas.microsoft.com/office/drawing/2014/main" id="{29E8D5FC-4DDE-40B8-A46F-0D065166D2AA}"/>
                </a:ext>
              </a:extLst>
            </xdr:cNvPr>
            <xdr:cNvGraphicFramePr/>
          </xdr:nvGraphicFramePr>
          <xdr:xfrm>
            <a:off x="0" y="0"/>
            <a:ext cx="0" cy="0"/>
          </xdr:xfrm>
          <a:graphic>
            <a:graphicData uri="http://schemas.microsoft.com/office/drawing/2010/slicer">
              <sle:slicer xmlns:sle="http://schemas.microsoft.com/office/drawing/2010/slicer" name="reference_year 1"/>
            </a:graphicData>
          </a:graphic>
        </xdr:graphicFrame>
      </mc:Choice>
      <mc:Fallback xmlns="">
        <xdr:sp macro="" textlink="">
          <xdr:nvSpPr>
            <xdr:cNvPr id="0" name=""/>
            <xdr:cNvSpPr>
              <a:spLocks noTextEdit="1"/>
            </xdr:cNvSpPr>
          </xdr:nvSpPr>
          <xdr:spPr>
            <a:xfrm>
              <a:off x="14469650" y="4054675"/>
              <a:ext cx="1812526" cy="38027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19.03795150463" createdVersion="8" refreshedVersion="8" minRefreshableVersion="3" recordCount="1629" xr:uid="{AB42C8BE-9500-491B-BC36-79DEDFC2F874}">
  <cacheSource type="worksheet">
    <worksheetSource name="Trade_Data_Table"/>
  </cacheSource>
  <cacheFields count="11">
    <cacheField name="reporter_iso3" numFmtId="0">
      <sharedItems count="182">
        <s v="ABW"/>
        <s v="AFG"/>
        <s v="AGO"/>
        <s v="ALB"/>
        <s v="AND"/>
        <s v="ARE"/>
        <s v="ARG"/>
        <s v="ARM"/>
        <s v="ATG"/>
        <s v="AUS"/>
        <s v="AUT"/>
        <s v="AZE"/>
        <s v="BDI"/>
        <s v="BEL"/>
        <s v="BEN"/>
        <s v="BFA"/>
        <s v="BGD"/>
        <s v="BGR"/>
        <s v="BHR"/>
        <s v="BHS"/>
        <s v="BIH"/>
        <s v="BLR"/>
        <s v="BLZ"/>
        <s v="BMU"/>
        <s v="BOL"/>
        <s v="BRA"/>
        <s v="BRB"/>
        <s v="BRN"/>
        <s v="BTN"/>
        <s v="BWA"/>
        <s v="CAF"/>
        <s v="CAN"/>
        <s v="CHL"/>
        <s v="CHN"/>
        <s v="CMR"/>
        <s v="COD"/>
        <s v="COG"/>
        <s v="COL"/>
        <s v="COM"/>
        <s v="CPV"/>
        <s v="CRI"/>
        <s v="CUB"/>
        <s v="CUW"/>
        <s v="CYM"/>
        <s v="CYP"/>
        <s v="CZE"/>
        <s v="DJI"/>
        <s v="DMA"/>
        <s v="DNK"/>
        <s v="DOM"/>
        <s v="DZA"/>
        <s v="ECU"/>
        <s v="EGY"/>
        <s v="ESP"/>
        <s v="EST"/>
        <s v="ETH"/>
        <s v="FIN"/>
        <s v="FJI"/>
        <s v="FRA"/>
        <s v="GAB"/>
        <s v="GBR"/>
        <s v="GEO"/>
        <s v="GHA"/>
        <s v="GIN"/>
        <s v="GMB"/>
        <s v="GNB"/>
        <s v="GRC"/>
        <s v="GRD"/>
        <s v="GRL"/>
        <s v="GTM"/>
        <s v="GUY"/>
        <s v="HKG"/>
        <s v="HND"/>
        <s v="HRV"/>
        <s v="HTI"/>
        <s v="HUN"/>
        <s v="IDN"/>
        <s v="IND"/>
        <s v="IRL"/>
        <s v="IRN"/>
        <s v="IRQ"/>
        <s v="ISL"/>
        <s v="ISR"/>
        <s v="ITA"/>
        <s v="JAM"/>
        <s v="JOR"/>
        <s v="JPN"/>
        <s v="KAZ"/>
        <s v="KEN"/>
        <s v="KGZ"/>
        <s v="KHM"/>
        <s v="KIR"/>
        <s v="KNA"/>
        <s v="KOR"/>
        <s v="KWT"/>
        <s v="LAO"/>
        <s v="LBN"/>
        <s v="LBR"/>
        <s v="LBY"/>
        <s v="LCA"/>
        <s v="LKA"/>
        <s v="LSO"/>
        <s v="LTU"/>
        <s v="LUX"/>
        <s v="LVA"/>
        <s v="MAC"/>
        <s v="MAR"/>
        <s v="MDA"/>
        <s v="MDG"/>
        <s v="MDV"/>
        <s v="MEX"/>
        <s v="MKD"/>
        <s v="MLI"/>
        <s v="MLT"/>
        <s v="MMR"/>
        <s v="MNE"/>
        <s v="MNG"/>
        <s v="MOZ"/>
        <s v="MRT"/>
        <s v="MSR"/>
        <s v="MUS"/>
        <s v="MWI"/>
        <s v="MYS"/>
        <s v="NAM"/>
        <s v="NCL"/>
        <s v="NER"/>
        <s v="NGA"/>
        <s v="NIC"/>
        <s v="NLD"/>
        <s v="NPL"/>
        <s v="NZL"/>
        <s v="OMN"/>
        <s v="PAK"/>
        <s v="PAN"/>
        <s v="PER"/>
        <s v="PHL"/>
        <s v="PLW"/>
        <s v="PNG"/>
        <s v="POL"/>
        <s v="PRT"/>
        <s v="PRY"/>
        <s v="PSE"/>
        <s v="QAT"/>
        <s v="ROU"/>
        <s v="RUS"/>
        <s v="RWA"/>
        <s v="SAU"/>
        <s v="SDN"/>
        <s v="SEN"/>
        <s v="SGP"/>
        <s v="SLB"/>
        <s v="SLE"/>
        <s v="SLV"/>
        <s v="SRB"/>
        <s v="STP"/>
        <s v="SUR"/>
        <s v="SVK"/>
        <s v="SVN"/>
        <s v="SWE"/>
        <s v="SWZ"/>
        <s v="SYC"/>
        <s v="TGO"/>
        <s v="THA"/>
        <s v="TJK"/>
        <s v="TLS"/>
        <s v="TON"/>
        <s v="TTO"/>
        <s v="TUN"/>
        <s v="TUR"/>
        <s v="TZA"/>
        <s v="UGA"/>
        <s v="UKR"/>
        <s v="URY"/>
        <s v="USA"/>
        <s v="UZB"/>
        <s v="VCT"/>
        <s v="VNM"/>
        <s v="WSM"/>
        <s v="YEM"/>
        <s v="ZAF"/>
        <s v="ZMB"/>
        <s v="ZWE"/>
      </sharedItems>
    </cacheField>
    <cacheField name="reporter_name" numFmtId="0">
      <sharedItems count="182">
        <s v="Aruba"/>
        <s v="Afghanistan"/>
        <s v="Angola"/>
        <s v="Albania"/>
        <s v="Andorra"/>
        <s v="United Arab Emirates"/>
        <s v="Argentina"/>
        <s v="Armenia"/>
        <s v="Antigua and Barbuda"/>
        <s v="Australia"/>
        <s v="Austria"/>
        <s v="Azerbaijan"/>
        <s v="Burundi"/>
        <s v="Belgium"/>
        <s v="Benin"/>
        <s v="Burkina Faso"/>
        <s v="Bangladesh"/>
        <s v="Bulgaria"/>
        <s v="Bahrain"/>
        <s v="Bahamas"/>
        <s v="Bosnia Herzegovina"/>
        <s v="Belarus"/>
        <s v="Belize"/>
        <s v="Bermuda"/>
        <s v="Bolivia (Plurinational State of)"/>
        <s v="Brazil"/>
        <s v="Barbados"/>
        <s v="Brunei Darussalam"/>
        <s v="Bhutan"/>
        <s v="Botswana"/>
        <s v="Central African Rep."/>
        <s v="Canada"/>
        <s v="Chile"/>
        <s v="China"/>
        <s v="Cameroon"/>
        <s v="Dem. Rep. of the Congo"/>
        <s v="Congo"/>
        <s v="Colombia"/>
        <s v="Comoros"/>
        <s v="Cabo Verde"/>
        <s v="Costa Rica"/>
        <s v="Cuba"/>
        <s v="Curaçao"/>
        <s v="Cayman Isds"/>
        <s v="Cyprus"/>
        <s v="Czechia"/>
        <s v="Djibouti"/>
        <s v="Dominica"/>
        <s v="Denmark"/>
        <s v="Dominican Rep."/>
        <s v="Algeria"/>
        <s v="Ecuador"/>
        <s v="Egypt"/>
        <s v="Spain"/>
        <s v="Estonia"/>
        <s v="Ethiopia"/>
        <s v="Finland"/>
        <s v="Fiji"/>
        <s v="France"/>
        <s v="Gabon"/>
        <s v="United Kingdom"/>
        <s v="Georgia"/>
        <s v="Ghana"/>
        <s v="Guinea"/>
        <s v="Gambia"/>
        <s v="Guinea-Bissau"/>
        <s v="Greece"/>
        <s v="Grenada"/>
        <s v="Greenland"/>
        <s v="Guatemala"/>
        <s v="Guyana"/>
        <s v="China, Hong Kong SAR"/>
        <s v="Honduras"/>
        <s v="Croatia"/>
        <s v="Haiti"/>
        <s v="Hungary"/>
        <s v="Indonesia"/>
        <s v="India"/>
        <s v="Ireland"/>
        <s v="Iran"/>
        <s v="Iraq"/>
        <s v="Iceland"/>
        <s v="Israel"/>
        <s v="Italy"/>
        <s v="Jamaica"/>
        <s v="Jordan"/>
        <s v="Japan"/>
        <s v="Kazakhstan"/>
        <s v="Kenya"/>
        <s v="Kyrgyzstan"/>
        <s v="Cambodia"/>
        <s v="Kiribati"/>
        <s v="Saint Kitts and Nevis"/>
        <s v="Rep. of Korea"/>
        <s v="Kuwait"/>
        <s v="Lao People's Dem. Rep."/>
        <s v="Lebanon"/>
        <s v="Liberia"/>
        <s v="Libya"/>
        <s v="Saint Lucia"/>
        <s v="Sri Lanka"/>
        <s v="Lesotho"/>
        <s v="Lithuania"/>
        <s v="Luxembourg"/>
        <s v="Latvia"/>
        <s v="China, Macao SAR"/>
        <s v="Morocco"/>
        <s v="Rep. of Moldova"/>
        <s v="Madagascar"/>
        <s v="Maldives"/>
        <s v="Mexico"/>
        <s v="North Macedonia"/>
        <s v="Mali"/>
        <s v="Malta"/>
        <s v="Myanmar"/>
        <s v="Montenegro"/>
        <s v="Mongolia"/>
        <s v="Mozambique"/>
        <s v="Mauritania"/>
        <s v="Montserrat"/>
        <s v="Mauritius"/>
        <s v="Malawi"/>
        <s v="Malaysia"/>
        <s v="Namibia"/>
        <s v="New Caledonia"/>
        <s v="Niger"/>
        <s v="Nigeria"/>
        <s v="Nicaragua"/>
        <s v="Netherlands"/>
        <s v="Nepal"/>
        <s v="New Zealand"/>
        <s v="Oman"/>
        <s v="Pakistan"/>
        <s v="Panama"/>
        <s v="Peru"/>
        <s v="Philippines"/>
        <s v="Palau"/>
        <s v="Papua New Guinea"/>
        <s v="Poland"/>
        <s v="Portugal"/>
        <s v="Paraguay"/>
        <s v="State of Palestine"/>
        <s v="Qatar"/>
        <s v="Romania"/>
        <s v="Russian Federation"/>
        <s v="Rwanda"/>
        <s v="Saudi Arabia"/>
        <s v="Sudan"/>
        <s v="Senegal"/>
        <s v="Singapore"/>
        <s v="Solomon Isds"/>
        <s v="Sierra Leone"/>
        <s v="El Salvador"/>
        <s v="Serbia"/>
        <s v="Sao Tome and Principe"/>
        <s v="Suriname"/>
        <s v="Slovakia"/>
        <s v="Slovenia"/>
        <s v="Sweden"/>
        <s v="Eswatini"/>
        <s v="Seychelles"/>
        <s v="Togo"/>
        <s v="Thailand"/>
        <s v="Tajikistan"/>
        <s v="Timor-Leste"/>
        <s v="Tonga"/>
        <s v="Trinidad and Tobago"/>
        <s v="Tunisia"/>
        <s v="Türkiye"/>
        <s v="United Rep. of Tanzania"/>
        <s v="Uganda"/>
        <s v="Ukraine"/>
        <s v="Uruguay"/>
        <s v="USA"/>
        <s v="Uzbekistan"/>
        <s v="Saint Vincent and the Grenadines"/>
        <s v="Viet Nam"/>
        <s v="Samoa"/>
        <s v="Yemen"/>
        <s v="South Africa"/>
        <s v="Zambia"/>
        <s v="Zimbabwe"/>
      </sharedItems>
    </cacheField>
    <cacheField name="reference_year" numFmtId="0">
      <sharedItems containsSemiMixedTypes="0" containsString="0" containsNumber="1" containsInteger="1" minValue="2015" maxValue="2024" count="10">
        <n v="2015"/>
        <n v="2016"/>
        <n v="2017"/>
        <n v="2018"/>
        <n v="2019"/>
        <n v="2020"/>
        <n v="2021"/>
        <n v="2022"/>
        <n v="2023"/>
        <n v="2024"/>
      </sharedItems>
    </cacheField>
    <cacheField name="total_exports_usd" numFmtId="0">
      <sharedItems containsSemiMixedTypes="0" containsString="0" containsNumber="1" minValue="6671681.7119999984" maxValue="7187202871204"/>
    </cacheField>
    <cacheField name="gdp_current_usd" numFmtId="0">
      <sharedItems containsString="0" containsBlank="1" containsNumber="1" minValue="191559398.69999999" maxValue="29300000000000"/>
    </cacheField>
    <cacheField name="population_total" numFmtId="0">
      <sharedItems containsString="0" containsBlank="1" containsNumber="1" containsInteger="1" minValue="17770" maxValue="1450935791"/>
    </cacheField>
    <cacheField name="gdp_growth_annual_pct" numFmtId="0">
      <sharedItems containsString="0" containsBlank="1" containsNumber="1" minValue="-54.402092580000001" maxValue="75.308418430000003"/>
    </cacheField>
    <cacheField name="trade_pct_of_gdp" numFmtId="0">
      <sharedItems containsString="0" containsBlank="1" containsNumber="1" minValue="15.28166989" maxValue="412.17716990000002"/>
    </cacheField>
    <cacheField name="global_export_rank" numFmtId="0">
      <sharedItems containsSemiMixedTypes="0" containsString="0" containsNumber="1" containsInteger="1" minValue="1" maxValue="175"/>
    </cacheField>
    <cacheField name="previous_year_exports" numFmtId="0">
      <sharedItems containsString="0" containsBlank="1" containsNumber="1" minValue="6671681.7119999984" maxValue="7187202871204"/>
    </cacheField>
    <cacheField name="yoy_export_growth_pct" numFmtId="0">
      <sharedItems containsString="0" containsBlank="1" containsNumber="1" minValue="-96.97" maxValue="1875.04"/>
    </cacheField>
  </cacheFields>
  <extLst>
    <ext xmlns:x14="http://schemas.microsoft.com/office/spreadsheetml/2009/9/main" uri="{725AE2AE-9491-48be-B2B4-4EB974FC3084}">
      <x14:pivotCacheDefinition pivotCacheId="3271991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29">
  <r>
    <x v="0"/>
    <x v="0"/>
    <x v="0"/>
    <n v="159764410"/>
    <n v="2962906704"/>
    <n v="107906"/>
    <n v="3.6114790659999998"/>
    <n v="140.49300109999999"/>
    <n v="157"/>
    <m/>
    <m/>
  </r>
  <r>
    <x v="0"/>
    <x v="0"/>
    <x v="1"/>
    <n v="190792982.44"/>
    <n v="2983637430"/>
    <n v="108727"/>
    <n v="1.234335374"/>
    <n v="136.8872633"/>
    <n v="157"/>
    <n v="159764410"/>
    <n v="19.420000000000002"/>
  </r>
  <r>
    <x v="0"/>
    <x v="0"/>
    <x v="2"/>
    <n v="177666674.76099998"/>
    <n v="3092427933"/>
    <n v="108735"/>
    <n v="3.4934298529999999"/>
    <n v="138.7166201"/>
    <n v="159"/>
    <n v="190792982.44"/>
    <n v="-6.88"/>
  </r>
  <r>
    <x v="0"/>
    <x v="0"/>
    <x v="3"/>
    <n v="138940748.62699997"/>
    <n v="3276187709"/>
    <n v="108908"/>
    <n v="3.2124711189999999"/>
    <n v="138.82497219999999"/>
    <n v="156"/>
    <n v="177666674.76099998"/>
    <n v="-21.8"/>
  </r>
  <r>
    <x v="0"/>
    <x v="0"/>
    <x v="4"/>
    <n v="157285878.76499999"/>
    <n v="3347561739"/>
    <n v="109203"/>
    <n v="1.2291440890000001"/>
    <n v="137.92324930000001"/>
    <n v="154"/>
    <n v="138940748.62699997"/>
    <n v="13.2"/>
  </r>
  <r>
    <x v="0"/>
    <x v="0"/>
    <x v="5"/>
    <n v="131859450.52899998"/>
    <n v="2461056053"/>
    <n v="108587"/>
    <n v="-23.940059269999999"/>
    <n v="123.2405037"/>
    <n v="149"/>
    <n v="157285878.76499999"/>
    <n v="-16.170000000000002"/>
  </r>
  <r>
    <x v="0"/>
    <x v="0"/>
    <x v="6"/>
    <n v="176694015.38599998"/>
    <n v="2889305034"/>
    <n v="107700"/>
    <n v="14.833691979999999"/>
    <n v="139.51090260000001"/>
    <n v="149"/>
    <n v="131859450.52899998"/>
    <n v="34"/>
  </r>
  <r>
    <x v="0"/>
    <x v="0"/>
    <x v="7"/>
    <n v="209593573.58200002"/>
    <n v="3326671315"/>
    <n v="107310"/>
    <n v="10.607960759999999"/>
    <n v="160.55814100000001"/>
    <n v="148"/>
    <n v="176694015.38599998"/>
    <n v="18.62"/>
  </r>
  <r>
    <x v="0"/>
    <x v="0"/>
    <x v="8"/>
    <n v="222009827.03600001"/>
    <n v="3746573413"/>
    <n v="107359"/>
    <n v="9.5163602229999995"/>
    <n v="153.7191583"/>
    <n v="146"/>
    <n v="209593573.58200002"/>
    <n v="5.92"/>
  </r>
  <r>
    <x v="1"/>
    <x v="1"/>
    <x v="0"/>
    <n v="1142809936"/>
    <n v="19134221645"/>
    <n v="33831764"/>
    <n v="1.4513146610000001"/>
    <m/>
    <n v="139"/>
    <m/>
    <m/>
  </r>
  <r>
    <x v="1"/>
    <x v="1"/>
    <x v="1"/>
    <n v="1192910671"/>
    <n v="18116572395"/>
    <n v="34700612"/>
    <n v="2.2603142030000001"/>
    <m/>
    <n v="140"/>
    <n v="1142809936"/>
    <n v="4.38"/>
  </r>
  <r>
    <x v="1"/>
    <x v="1"/>
    <x v="2"/>
    <n v="1663853543.54"/>
    <n v="18753456498"/>
    <n v="35688935"/>
    <n v="2.6470032030000001"/>
    <m/>
    <n v="138"/>
    <n v="1192910671"/>
    <n v="39.479999999999997"/>
  </r>
  <r>
    <x v="1"/>
    <x v="1"/>
    <x v="3"/>
    <n v="1769008992.7400007"/>
    <n v="18053222687"/>
    <n v="36743039"/>
    <n v="1.189228129"/>
    <m/>
    <n v="135"/>
    <n v="1663853543.54"/>
    <n v="6.32"/>
  </r>
  <r>
    <x v="1"/>
    <x v="1"/>
    <x v="4"/>
    <n v="1740977024.9199996"/>
    <n v="18799444490"/>
    <n v="37856121"/>
    <n v="3.9116034160000002"/>
    <m/>
    <n v="136"/>
    <n v="1769008992.7400007"/>
    <n v="-1.58"/>
  </r>
  <r>
    <x v="2"/>
    <x v="2"/>
    <x v="0"/>
    <n v="67849874956.620018"/>
    <n v="103000000000"/>
    <n v="28157798"/>
    <n v="0.76317771099999998"/>
    <n v="54.979380880000001"/>
    <n v="54"/>
    <m/>
    <m/>
  </r>
  <r>
    <x v="2"/>
    <x v="2"/>
    <x v="1"/>
    <n v="56114999044.780014"/>
    <n v="60770049747"/>
    <n v="29183070"/>
    <n v="-0.233076955"/>
    <n v="46.325613060000002"/>
    <n v="55"/>
    <n v="67849874956.620018"/>
    <n v="-17.3"/>
  </r>
  <r>
    <x v="2"/>
    <x v="2"/>
    <x v="2"/>
    <n v="83365332635.699966"/>
    <n v="85629598654"/>
    <n v="30234839"/>
    <n v="-0.16468865699999999"/>
    <n v="44.996325319999997"/>
    <n v="49"/>
    <n v="56114999044.780014"/>
    <n v="48.56"/>
  </r>
  <r>
    <x v="2"/>
    <x v="2"/>
    <x v="3"/>
    <n v="81329437629.91893"/>
    <n v="90506061877"/>
    <n v="31297155"/>
    <n v="-0.506697544"/>
    <n v="58.269895390000002"/>
    <n v="51"/>
    <n v="83365332635.699966"/>
    <n v="-2.44"/>
  </r>
  <r>
    <x v="2"/>
    <x v="2"/>
    <x v="4"/>
    <n v="70864909717.669067"/>
    <n v="81193813808"/>
    <n v="32375632"/>
    <n v="-1.055234145"/>
    <n v="60.371306869999998"/>
    <n v="54"/>
    <n v="81329437629.91893"/>
    <n v="-12.87"/>
  </r>
  <r>
    <x v="2"/>
    <x v="2"/>
    <x v="5"/>
    <n v="44008635280.555"/>
    <n v="58512033806"/>
    <n v="33451132"/>
    <n v="-5.2734912830000003"/>
    <n v="54.660403070000001"/>
    <n v="60"/>
    <n v="70864909717.669067"/>
    <n v="-37.9"/>
  </r>
  <r>
    <x v="2"/>
    <x v="2"/>
    <x v="6"/>
    <n v="68944323913.666977"/>
    <n v="78283923544"/>
    <n v="34532429"/>
    <n v="1.090583699"/>
    <n v="62.528770530000003"/>
    <n v="59"/>
    <n v="44008635280.555"/>
    <n v="56.66"/>
  </r>
  <r>
    <x v="2"/>
    <x v="2"/>
    <x v="7"/>
    <n v="102549903423.29498"/>
    <n v="128000000000"/>
    <n v="35635029"/>
    <n v="3.5574920670000001"/>
    <n v="56.538072229999997"/>
    <n v="52"/>
    <n v="68944323913.666977"/>
    <n v="48.74"/>
  </r>
  <r>
    <x v="2"/>
    <x v="2"/>
    <x v="8"/>
    <n v="77463173150.095993"/>
    <n v="106000000000"/>
    <n v="36749906"/>
    <n v="1.3201658709999999"/>
    <n v="53.607012650000001"/>
    <n v="55"/>
    <n v="102549903423.29498"/>
    <n v="-24.46"/>
  </r>
  <r>
    <x v="2"/>
    <x v="2"/>
    <x v="9"/>
    <n v="78743268793.103989"/>
    <n v="103000000000"/>
    <n v="37885849"/>
    <n v="4.9526786039999999"/>
    <n v="49.848950670000001"/>
    <n v="55"/>
    <n v="77463173150.095993"/>
    <n v="1.65"/>
  </r>
  <r>
    <x v="3"/>
    <x v="3"/>
    <x v="0"/>
    <n v="3859314063"/>
    <n v="11470171827"/>
    <n v="2731293"/>
    <n v="2.2277040750000001"/>
    <n v="71.279447660000002"/>
    <n v="118"/>
    <m/>
    <m/>
  </r>
  <r>
    <x v="3"/>
    <x v="3"/>
    <x v="1"/>
    <n v="3924234833"/>
    <n v="11988668785"/>
    <n v="2689469"/>
    <n v="3.9089355139999999"/>
    <n v="74.014450449999998"/>
    <n v="122"/>
    <n v="3859314063"/>
    <n v="1.68"/>
  </r>
  <r>
    <x v="3"/>
    <x v="3"/>
    <x v="2"/>
    <n v="4602681931.3390017"/>
    <n v="13258268436"/>
    <n v="2648285"/>
    <n v="3.2831759329999999"/>
    <n v="76.787381789999998"/>
    <n v="120"/>
    <n v="3924234833"/>
    <n v="17.29"/>
  </r>
  <r>
    <x v="3"/>
    <x v="3"/>
    <x v="3"/>
    <n v="5751719557.5349932"/>
    <n v="15379508330"/>
    <n v="2607733"/>
    <n v="3.6714192809999999"/>
    <n v="75.69407837"/>
    <n v="115"/>
    <n v="4602681931.3390017"/>
    <n v="24.96"/>
  </r>
  <r>
    <x v="3"/>
    <x v="3"/>
    <x v="4"/>
    <n v="5438857416.0799971"/>
    <n v="15585111614"/>
    <n v="2567801"/>
    <n v="2.0625779020000001"/>
    <n v="75.382128929999993"/>
    <n v="115"/>
    <n v="5751719557.5349932"/>
    <n v="-5.44"/>
  </r>
  <r>
    <x v="3"/>
    <x v="3"/>
    <x v="5"/>
    <n v="4831264670.8390017"/>
    <n v="15241458745"/>
    <n v="2528480"/>
    <n v="-3.313756369"/>
    <n v="59.520699440000001"/>
    <n v="116"/>
    <n v="5438857416.0799971"/>
    <n v="-11.17"/>
  </r>
  <r>
    <x v="3"/>
    <x v="3"/>
    <x v="6"/>
    <n v="7124594471.7460012"/>
    <n v="18031989573"/>
    <n v="2489762"/>
    <n v="8.9695761909999998"/>
    <n v="75.590404090000007"/>
    <n v="113"/>
    <n v="4831264670.8390017"/>
    <n v="47.47"/>
  </r>
  <r>
    <x v="3"/>
    <x v="3"/>
    <x v="7"/>
    <n v="8612469494.4840012"/>
    <n v="19017247014"/>
    <n v="2451636"/>
    <n v="4.8268006229999996"/>
    <n v="84.698043589999997"/>
    <n v="109"/>
    <n v="7124594471.7460012"/>
    <n v="20.88"/>
  </r>
  <r>
    <x v="3"/>
    <x v="3"/>
    <x v="8"/>
    <n v="8749714424.9109993"/>
    <n v="23491242727"/>
    <n v="2411658"/>
    <n v="4.015417169"/>
    <n v="82.3524934"/>
    <n v="110"/>
    <n v="8612469494.4840012"/>
    <n v="1.59"/>
  </r>
  <r>
    <x v="3"/>
    <x v="3"/>
    <x v="9"/>
    <n v="8002308177.2769976"/>
    <n v="27037474263"/>
    <n v="2377128"/>
    <n v="4.045928451"/>
    <n v="79.45463608"/>
    <n v="100"/>
    <n v="8749714424.9109993"/>
    <n v="-8.5399999999999991"/>
  </r>
  <r>
    <x v="4"/>
    <x v="4"/>
    <x v="0"/>
    <n v="179003870.31999999"/>
    <n v="2789881259"/>
    <n v="72174"/>
    <n v="1.434140395"/>
    <m/>
    <n v="155"/>
    <m/>
    <m/>
  </r>
  <r>
    <x v="4"/>
    <x v="4"/>
    <x v="1"/>
    <n v="192734619.27800009"/>
    <n v="2896610480"/>
    <n v="72181"/>
    <n v="3.7096780699999998"/>
    <m/>
    <n v="156"/>
    <n v="179003870.31999999"/>
    <n v="7.67"/>
  </r>
  <r>
    <x v="4"/>
    <x v="4"/>
    <x v="2"/>
    <n v="235959812.54099995"/>
    <n v="3000162081"/>
    <n v="73763"/>
    <n v="0.34607188999999999"/>
    <m/>
    <n v="156"/>
    <n v="192734619.27800009"/>
    <n v="22.43"/>
  </r>
  <r>
    <x v="4"/>
    <x v="4"/>
    <x v="3"/>
    <n v="258670728.37299997"/>
    <n v="3218419897"/>
    <n v="75162"/>
    <n v="1.5887654899999999"/>
    <m/>
    <n v="152"/>
    <n v="235959812.54099995"/>
    <n v="9.6199999999999992"/>
  </r>
  <r>
    <x v="4"/>
    <x v="4"/>
    <x v="4"/>
    <n v="250303147.56799999"/>
    <n v="3155149348"/>
    <n v="76474"/>
    <n v="2.0155476380000001"/>
    <m/>
    <n v="150"/>
    <n v="258670728.37299997"/>
    <n v="-3.23"/>
  </r>
  <r>
    <x v="4"/>
    <x v="4"/>
    <x v="5"/>
    <n v="333562178.65099984"/>
    <n v="2891001149"/>
    <n v="77380"/>
    <n v="-11.18393994"/>
    <m/>
    <n v="144"/>
    <n v="250303147.56799999"/>
    <n v="33.26"/>
  </r>
  <r>
    <x v="4"/>
    <x v="4"/>
    <x v="6"/>
    <n v="327948635.7809999"/>
    <n v="3324647529"/>
    <n v="78364"/>
    <n v="8.2867787899999996"/>
    <m/>
    <n v="146"/>
    <n v="333562178.65099984"/>
    <n v="-1.68"/>
  </r>
  <r>
    <x v="4"/>
    <x v="4"/>
    <x v="7"/>
    <n v="772285991.35999954"/>
    <n v="3380612573"/>
    <n v="79705"/>
    <n v="9.5646122560000002"/>
    <m/>
    <n v="141"/>
    <n v="327948635.7809999"/>
    <n v="135.49"/>
  </r>
  <r>
    <x v="4"/>
    <x v="4"/>
    <x v="8"/>
    <n v="504730210.10700017"/>
    <n v="3785067332"/>
    <n v="80856"/>
    <n v="2.5835548099999999"/>
    <m/>
    <n v="140"/>
    <n v="772285991.35999954"/>
    <n v="-34.64"/>
  </r>
  <r>
    <x v="5"/>
    <x v="5"/>
    <x v="0"/>
    <n v="600957295633.65967"/>
    <n v="382000000000"/>
    <n v="8505237"/>
    <n v="7.0876662269999997"/>
    <n v="164.28614289999999"/>
    <n v="14"/>
    <m/>
    <m/>
  </r>
  <r>
    <x v="5"/>
    <x v="5"/>
    <x v="1"/>
    <n v="590093382297.34131"/>
    <n v="382000000000"/>
    <n v="8935095"/>
    <n v="5.6579014719999998"/>
    <n v="165.3949662"/>
    <n v="14"/>
    <n v="600957295633.65967"/>
    <n v="-1.81"/>
  </r>
  <r>
    <x v="5"/>
    <x v="5"/>
    <x v="2"/>
    <n v="627198724205.90002"/>
    <n v="403000000000"/>
    <n v="9223225"/>
    <n v="-1.0613711450000001"/>
    <n v="165.4765237"/>
    <n v="14"/>
    <n v="590093382297.34131"/>
    <n v="6.29"/>
  </r>
  <r>
    <x v="5"/>
    <x v="5"/>
    <x v="3"/>
    <n v="775928544123.76611"/>
    <n v="441000000000"/>
    <n v="9346701"/>
    <n v="1.53720634"/>
    <n v="154.74704220000001"/>
    <n v="14"/>
    <n v="627198724205.90002"/>
    <n v="23.71"/>
  </r>
  <r>
    <x v="5"/>
    <x v="5"/>
    <x v="4"/>
    <n v="778855987807.91125"/>
    <n v="434000000000"/>
    <n v="9445785"/>
    <n v="1.271291205"/>
    <n v="163.822149"/>
    <n v="14"/>
    <n v="775928544123.76611"/>
    <n v="0.38"/>
  </r>
  <r>
    <x v="5"/>
    <x v="5"/>
    <x v="5"/>
    <n v="670593815739.45508"/>
    <n v="357000000000"/>
    <n v="9401038"/>
    <n v="-8.6934336380000001"/>
    <n v="181.2919402"/>
    <n v="14"/>
    <n v="778855987807.91125"/>
    <n v="-13.9"/>
  </r>
  <r>
    <x v="5"/>
    <x v="5"/>
    <x v="6"/>
    <n v="850319593007.12451"/>
    <n v="422000000000"/>
    <n v="9575152"/>
    <n v="4.552801401"/>
    <n v="182.9094011"/>
    <n v="14"/>
    <n v="670593815739.45508"/>
    <n v="26.8"/>
  </r>
  <r>
    <x v="5"/>
    <x v="5"/>
    <x v="7"/>
    <n v="1031242378098.2057"/>
    <n v="511000000000"/>
    <n v="10074977"/>
    <n v="7.514524143"/>
    <n v="185.74166059999999"/>
    <n v="12"/>
    <n v="850319593007.12451"/>
    <n v="21.28"/>
  </r>
  <r>
    <x v="5"/>
    <x v="5"/>
    <x v="8"/>
    <n v="1140490767169.064"/>
    <n v="523000000000"/>
    <n v="10483751"/>
    <n v="4.3011364849999998"/>
    <n v="199.04495009999999"/>
    <n v="10"/>
    <n v="1031242378098.2057"/>
    <n v="10.59"/>
  </r>
  <r>
    <x v="6"/>
    <x v="6"/>
    <x v="0"/>
    <n v="113567905007.36002"/>
    <n v="595000000000"/>
    <n v="43477012"/>
    <n v="2.731159828"/>
    <n v="22.486226089999999"/>
    <n v="42"/>
    <m/>
    <m/>
  </r>
  <r>
    <x v="6"/>
    <x v="6"/>
    <x v="1"/>
    <n v="115758692478.53995"/>
    <n v="558000000000"/>
    <n v="43900313"/>
    <n v="-2.0803278440000001"/>
    <n v="26.093887850000002"/>
    <n v="39"/>
    <n v="113567905007.36002"/>
    <n v="1.93"/>
  </r>
  <r>
    <x v="6"/>
    <x v="6"/>
    <x v="2"/>
    <n v="116768389938.5601"/>
    <n v="644000000000"/>
    <n v="44288894"/>
    <n v="2.8185029780000002"/>
    <n v="25.289601139999998"/>
    <n v="43"/>
    <n v="115758692478.53995"/>
    <n v="0.87"/>
  </r>
  <r>
    <x v="6"/>
    <x v="6"/>
    <x v="3"/>
    <n v="123118814723.07994"/>
    <n v="525000000000"/>
    <n v="44654882"/>
    <n v="-2.617396463"/>
    <n v="30.76253595"/>
    <n v="45"/>
    <n v="116768389938.5601"/>
    <n v="5.44"/>
  </r>
  <r>
    <x v="6"/>
    <x v="6"/>
    <x v="4"/>
    <n v="130230653247.31996"/>
    <n v="448000000000"/>
    <n v="44973465"/>
    <n v="-2.0008610029999998"/>
    <n v="32.630615050000003"/>
    <n v="41"/>
    <n v="123118814723.07994"/>
    <n v="5.78"/>
  </r>
  <r>
    <x v="6"/>
    <x v="6"/>
    <x v="5"/>
    <n v="109767644891.40004"/>
    <n v="386000000000"/>
    <n v="45191965"/>
    <n v="-9.9004848140000004"/>
    <n v="30.203698809999999"/>
    <n v="40"/>
    <n v="130230653247.31996"/>
    <n v="-15.71"/>
  </r>
  <r>
    <x v="6"/>
    <x v="6"/>
    <x v="6"/>
    <n v="155868629973.15994"/>
    <n v="487000000000"/>
    <n v="45312281"/>
    <n v="10.44181199"/>
    <n v="33.078689570000002"/>
    <n v="39"/>
    <n v="109767644891.40004"/>
    <n v="42"/>
  </r>
  <r>
    <x v="6"/>
    <x v="6"/>
    <x v="7"/>
    <n v="176891437676.63995"/>
    <n v="634000000000"/>
    <n v="45407904"/>
    <n v="6.0207453749999997"/>
    <n v="31.580179260000001"/>
    <n v="38"/>
    <n v="155868629973.15994"/>
    <n v="13.49"/>
  </r>
  <r>
    <x v="6"/>
    <x v="6"/>
    <x v="8"/>
    <n v="133577031972.70006"/>
    <n v="649000000000"/>
    <n v="45538401"/>
    <n v="-1.85578803"/>
    <n v="26.676951249999998"/>
    <n v="42"/>
    <n v="176891437676.63995"/>
    <n v="-24.49"/>
  </r>
  <r>
    <x v="6"/>
    <x v="6"/>
    <x v="9"/>
    <n v="159406413444.49988"/>
    <n v="638000000000"/>
    <n v="45696159"/>
    <n v="-1.342930722"/>
    <n v="27.929760850000001"/>
    <n v="38"/>
    <n v="133577031972.70006"/>
    <n v="19.34"/>
  </r>
  <r>
    <x v="7"/>
    <x v="7"/>
    <x v="0"/>
    <n v="2965334702"/>
    <n v="10553337518"/>
    <n v="3004600"/>
    <n v="3.1999999990000001"/>
    <n v="71.68207434"/>
    <n v="123"/>
    <m/>
    <m/>
  </r>
  <r>
    <x v="7"/>
    <x v="7"/>
    <x v="1"/>
    <n v="3615579027"/>
    <n v="10546136236"/>
    <n v="2992300"/>
    <n v="0.2"/>
    <n v="76.077967459999996"/>
    <n v="123"/>
    <n v="2965334702"/>
    <n v="21.93"/>
  </r>
  <r>
    <x v="7"/>
    <x v="7"/>
    <x v="2"/>
    <n v="4289925939.1599998"/>
    <n v="11527458709"/>
    <n v="2979400"/>
    <n v="7.5000000020000002"/>
    <n v="87.202376540000003"/>
    <n v="121"/>
    <n v="3615579027"/>
    <n v="18.649999999999999"/>
  </r>
  <r>
    <x v="7"/>
    <x v="7"/>
    <x v="3"/>
    <n v="4766827599.4759998"/>
    <n v="12457940695"/>
    <n v="2969000"/>
    <n v="5.2"/>
    <n v="92.47310702"/>
    <n v="117"/>
    <n v="4289925939.1599998"/>
    <n v="11.12"/>
  </r>
  <r>
    <x v="7"/>
    <x v="7"/>
    <x v="4"/>
    <n v="5237274891.0599995"/>
    <n v="13619290539"/>
    <n v="2962500"/>
    <n v="7.5999999989999996"/>
    <n v="97.847004870000006"/>
    <n v="118"/>
    <n v="4766827599.4759998"/>
    <n v="9.8699999999999992"/>
  </r>
  <r>
    <x v="7"/>
    <x v="7"/>
    <x v="5"/>
    <n v="4664164306.2099972"/>
    <n v="12641698583"/>
    <n v="2961500"/>
    <n v="-7.1999999990000001"/>
    <n v="70.121357140000001"/>
    <n v="117"/>
    <n v="5237274891.0599995"/>
    <n v="-10.94"/>
  </r>
  <r>
    <x v="7"/>
    <x v="7"/>
    <x v="6"/>
    <n v="5929600404.1600027"/>
    <n v="13878908629"/>
    <n v="2962300"/>
    <n v="5.8000000009999999"/>
    <n v="79.24890576"/>
    <n v="118"/>
    <n v="4664164306.2099972"/>
    <n v="27.13"/>
  </r>
  <r>
    <x v="7"/>
    <x v="7"/>
    <x v="7"/>
    <n v="10731958521.420004"/>
    <n v="19513506553"/>
    <n v="2969200"/>
    <n v="12.6"/>
    <n v="103.87862920000001"/>
    <n v="104"/>
    <n v="5929600404.1600027"/>
    <n v="80.989999999999995"/>
  </r>
  <r>
    <x v="7"/>
    <x v="7"/>
    <x v="8"/>
    <n v="17016082751.859995"/>
    <n v="24185982216"/>
    <n v="2964300"/>
    <n v="8.3000000000000007"/>
    <n v="123.4187501"/>
    <n v="89"/>
    <n v="10731958521.420004"/>
    <n v="58.56"/>
  </r>
  <r>
    <x v="7"/>
    <x v="7"/>
    <x v="9"/>
    <n v="26145304789.907997"/>
    <n v="25955275380"/>
    <n v="3033500"/>
    <n v="5.9"/>
    <n v="150.0647266"/>
    <n v="72"/>
    <n v="17016082751.859995"/>
    <n v="53.65"/>
  </r>
  <r>
    <x v="8"/>
    <x v="8"/>
    <x v="0"/>
    <n v="52091083"/>
    <n v="1437485185"/>
    <n v="89409"/>
    <n v="1.4216199759999999"/>
    <n v="130.07154990000001"/>
    <n v="163"/>
    <m/>
    <m/>
  </r>
  <r>
    <x v="8"/>
    <x v="8"/>
    <x v="1"/>
    <n v="122086508"/>
    <n v="1489603704"/>
    <n v="89969"/>
    <n v="4.1203675439999996"/>
    <n v="132.0259179"/>
    <n v="159"/>
    <n v="52091083"/>
    <n v="134.37"/>
  </r>
  <r>
    <x v="8"/>
    <x v="8"/>
    <x v="2"/>
    <n v="124781205.426"/>
    <n v="1534855556"/>
    <n v="90468"/>
    <n v="2.71272658"/>
    <n v="127.6643236"/>
    <n v="160"/>
    <n v="122086508"/>
    <n v="2.21"/>
  </r>
  <r>
    <x v="8"/>
    <x v="8"/>
    <x v="3"/>
    <n v="51682163.117000028"/>
    <n v="1661529630"/>
    <n v="90926"/>
    <n v="6.7120048719999996"/>
    <n v="130.6551527"/>
    <n v="162"/>
    <n v="124781205.426"/>
    <n v="-58.58"/>
  </r>
  <r>
    <x v="8"/>
    <x v="8"/>
    <x v="4"/>
    <n v="74800236.808000013"/>
    <n v="1726448148"/>
    <n v="91364"/>
    <n v="3.1722219370000002"/>
    <n v="137.53778360000001"/>
    <n v="159"/>
    <n v="51682163.117000028"/>
    <n v="44.73"/>
  </r>
  <r>
    <x v="8"/>
    <x v="8"/>
    <x v="5"/>
    <n v="44398849.264999993"/>
    <n v="1411637037"/>
    <n v="91846"/>
    <n v="-18.868776520000001"/>
    <n v="94.289529889999997"/>
    <n v="155"/>
    <n v="74800236.808000013"/>
    <n v="-40.64"/>
  </r>
  <r>
    <x v="8"/>
    <x v="8"/>
    <x v="6"/>
    <n v="38294574.265000001"/>
    <n v="1602125926"/>
    <n v="92349"/>
    <n v="8.1728631119999999"/>
    <n v="101.0749606"/>
    <n v="158"/>
    <n v="44398849.264999993"/>
    <n v="-13.75"/>
  </r>
  <r>
    <x v="8"/>
    <x v="8"/>
    <x v="7"/>
    <n v="43752792.081"/>
    <n v="1857114815"/>
    <n v="92840"/>
    <n v="8.4977634230000003"/>
    <n v="118.3025841"/>
    <n v="159"/>
    <n v="38294574.265000001"/>
    <n v="14.25"/>
  </r>
  <r>
    <x v="8"/>
    <x v="8"/>
    <x v="8"/>
    <n v="60993748.46100001"/>
    <n v="2054096296"/>
    <n v="93316"/>
    <n v="3.8655016010000001"/>
    <m/>
    <n v="152"/>
    <n v="43752792.081"/>
    <n v="39.409999999999997"/>
  </r>
  <r>
    <x v="8"/>
    <x v="8"/>
    <x v="9"/>
    <n v="66723742.784999996"/>
    <n v="2162366667"/>
    <n v="93772"/>
    <n v="2.5404419389999999"/>
    <m/>
    <n v="130"/>
    <n v="60993748.46100001"/>
    <n v="9.39"/>
  </r>
  <r>
    <x v="9"/>
    <x v="9"/>
    <x v="0"/>
    <n v="375584302945"/>
    <n v="1360000000000"/>
    <n v="23815995"/>
    <n v="2.1643478059999999"/>
    <n v="41.494750689999996"/>
    <n v="22"/>
    <m/>
    <m/>
  </r>
  <r>
    <x v="9"/>
    <x v="9"/>
    <x v="1"/>
    <n v="379259949125"/>
    <n v="1210000000000"/>
    <n v="24190907"/>
    <n v="2.7556406550000001"/>
    <n v="40.81340222"/>
    <n v="20"/>
    <n v="375584302945"/>
    <n v="0.98"/>
  </r>
  <r>
    <x v="9"/>
    <x v="9"/>
    <x v="2"/>
    <n v="461073473187.71313"/>
    <n v="1330000000000"/>
    <n v="24592588"/>
    <n v="2.2933103020000001"/>
    <n v="42.03541353"/>
    <n v="19"/>
    <n v="379259949125"/>
    <n v="21.57"/>
  </r>
  <r>
    <x v="9"/>
    <x v="9"/>
    <x v="3"/>
    <n v="513130524751.18402"/>
    <n v="1430000000000"/>
    <n v="24963258"/>
    <n v="2.8741703950000002"/>
    <n v="43.573225360000002"/>
    <n v="20"/>
    <n v="461073473187.71313"/>
    <n v="11.29"/>
  </r>
  <r>
    <x v="9"/>
    <x v="9"/>
    <x v="4"/>
    <n v="540521671739.53729"/>
    <n v="1400000000000"/>
    <n v="25334826"/>
    <n v="2.194017036"/>
    <n v="46.001682709999997"/>
    <n v="18"/>
    <n v="513130524751.18402"/>
    <n v="5.34"/>
  </r>
  <r>
    <x v="9"/>
    <x v="9"/>
    <x v="5"/>
    <n v="494318691883.13483"/>
    <n v="1330000000000"/>
    <n v="25649248"/>
    <n v="-0.13353190400000001"/>
    <n v="44.499564100000001"/>
    <n v="20"/>
    <n v="540521671739.53729"/>
    <n v="-8.5500000000000007"/>
  </r>
  <r>
    <x v="9"/>
    <x v="9"/>
    <x v="6"/>
    <n v="684072206539.68127"/>
    <n v="1560000000000"/>
    <n v="25685412"/>
    <n v="2.0069484430000002"/>
    <n v="40.202235940000001"/>
    <n v="18"/>
    <n v="494318691883.13483"/>
    <n v="38.39"/>
  </r>
  <r>
    <x v="9"/>
    <x v="9"/>
    <x v="7"/>
    <n v="820505668958.08533"/>
    <n v="1700000000000"/>
    <n v="26018721"/>
    <n v="4.2530455920000003"/>
    <n v="45.694641879999999"/>
    <n v="18"/>
    <n v="684072206539.68127"/>
    <n v="19.940000000000001"/>
  </r>
  <r>
    <x v="9"/>
    <x v="9"/>
    <x v="8"/>
    <n v="738470248318.10388"/>
    <n v="1730000000000"/>
    <n v="26659922"/>
    <n v="3.5838210080000001"/>
    <n v="49.044339319999999"/>
    <n v="18"/>
    <n v="820505668958.08533"/>
    <n v="-10"/>
  </r>
  <r>
    <x v="9"/>
    <x v="9"/>
    <x v="9"/>
    <n v="681709703481.33838"/>
    <n v="1760000000000"/>
    <n v="27194286"/>
    <n v="1.3734077339999999"/>
    <n v="47.145381110000002"/>
    <n v="17"/>
    <n v="738470248318.10388"/>
    <n v="-7.69"/>
  </r>
  <r>
    <x v="10"/>
    <x v="10"/>
    <x v="0"/>
    <n v="290551060630.03107"/>
    <n v="380000000000"/>
    <n v="8642699"/>
    <n v="1.3035233180000001"/>
    <n v="103.1175817"/>
    <n v="28"/>
    <m/>
    <m/>
  </r>
  <r>
    <x v="10"/>
    <x v="10"/>
    <x v="1"/>
    <n v="289401380431.47498"/>
    <n v="394000000000"/>
    <n v="8736668"/>
    <n v="2.117219645"/>
    <n v="101.5734946"/>
    <n v="27"/>
    <n v="290551060630.03107"/>
    <n v="-0.4"/>
  </r>
  <r>
    <x v="10"/>
    <x v="10"/>
    <x v="2"/>
    <n v="319941061605.8703"/>
    <n v="415000000000"/>
    <n v="8797566"/>
    <n v="2.2722499200000001"/>
    <n v="105.5560668"/>
    <n v="28"/>
    <n v="289401380431.47498"/>
    <n v="10.55"/>
  </r>
  <r>
    <x v="10"/>
    <x v="10"/>
    <x v="3"/>
    <n v="353983941240.39197"/>
    <n v="453000000000"/>
    <n v="8840521"/>
    <n v="2.4842211409999999"/>
    <n v="108.37797"/>
    <n v="28"/>
    <n v="319941061605.8703"/>
    <n v="10.64"/>
  </r>
  <r>
    <x v="10"/>
    <x v="10"/>
    <x v="4"/>
    <n v="343064109924.63361"/>
    <n v="443000000000"/>
    <n v="8879920"/>
    <n v="1.7549761960000001"/>
    <n v="108.2072849"/>
    <n v="27"/>
    <n v="353983941240.39197"/>
    <n v="-3.08"/>
  </r>
  <r>
    <x v="10"/>
    <x v="10"/>
    <x v="5"/>
    <n v="324290258034.66895"/>
    <n v="434000000000"/>
    <n v="8916864"/>
    <n v="-6.3182550920000002"/>
    <n v="99.948214109999995"/>
    <n v="29"/>
    <n v="343064109924.63361"/>
    <n v="-5.47"/>
  </r>
  <r>
    <x v="10"/>
    <x v="10"/>
    <x v="6"/>
    <n v="389406491898.9176"/>
    <n v="480000000000"/>
    <n v="8955797"/>
    <n v="4.9230917170000001"/>
    <n v="111.0329321"/>
    <n v="29"/>
    <n v="324290258034.66895"/>
    <n v="20.079999999999998"/>
  </r>
  <r>
    <x v="10"/>
    <x v="10"/>
    <x v="7"/>
    <n v="407506494692.28363"/>
    <n v="473000000000"/>
    <n v="9041851"/>
    <n v="5.3309637939999996"/>
    <n v="123.5795787"/>
    <n v="28"/>
    <n v="389406491898.9176"/>
    <n v="4.6500000000000004"/>
  </r>
  <r>
    <x v="10"/>
    <x v="10"/>
    <x v="8"/>
    <n v="432353178940.35016"/>
    <n v="517000000000"/>
    <n v="9131761"/>
    <n v="-0.78624428899999999"/>
    <n v="115.1529148"/>
    <n v="27"/>
    <n v="407506494692.28363"/>
    <n v="6.1"/>
  </r>
  <r>
    <x v="10"/>
    <x v="10"/>
    <x v="9"/>
    <n v="412845541096.75604"/>
    <n v="535000000000"/>
    <n v="9177982"/>
    <n v="-0.65908957300000004"/>
    <n v="108.8257778"/>
    <n v="26"/>
    <n v="432353178940.35016"/>
    <n v="-4.51"/>
  </r>
  <r>
    <x v="11"/>
    <x v="11"/>
    <x v="0"/>
    <n v="25292587353.580006"/>
    <n v="53076235355"/>
    <n v="9649341"/>
    <n v="1.049546412"/>
    <n v="72.601507909999995"/>
    <n v="71"/>
    <m/>
    <m/>
  </r>
  <r>
    <x v="11"/>
    <x v="11"/>
    <x v="1"/>
    <n v="26761637133.420002"/>
    <n v="37866996883"/>
    <n v="9757812"/>
    <n v="-3.0635984230000002"/>
    <n v="90.077318730000002"/>
    <n v="70"/>
    <n v="25292587353.580006"/>
    <n v="5.81"/>
  </r>
  <r>
    <x v="11"/>
    <x v="11"/>
    <x v="2"/>
    <n v="30612036608.880001"/>
    <n v="40866627352"/>
    <n v="9854033"/>
    <n v="0.15361466200000001"/>
    <n v="90.402315680000001"/>
    <n v="68"/>
    <n v="26761637133.420002"/>
    <n v="14.39"/>
  </r>
  <r>
    <x v="11"/>
    <x v="11"/>
    <x v="3"/>
    <n v="38978136407.639984"/>
    <n v="47112470052"/>
    <n v="9939771"/>
    <n v="1.500401672"/>
    <n v="91.672576539999994"/>
    <n v="65"/>
    <n v="30612036608.880001"/>
    <n v="27.33"/>
  </r>
  <r>
    <x v="11"/>
    <x v="11"/>
    <x v="4"/>
    <n v="39270405201.459976"/>
    <n v="48174235294"/>
    <n v="10024283"/>
    <n v="2.479808792"/>
    <n v="85.81814541"/>
    <n v="63"/>
    <n v="38978136407.639984"/>
    <n v="0.75"/>
  </r>
  <r>
    <x v="11"/>
    <x v="11"/>
    <x v="5"/>
    <n v="27465274526.460007"/>
    <n v="42693000000"/>
    <n v="10093121"/>
    <n v="-4.1989606530000003"/>
    <n v="72.017867649999999"/>
    <n v="70"/>
    <n v="39270405201.459976"/>
    <n v="-30.06"/>
  </r>
  <r>
    <x v="11"/>
    <x v="11"/>
    <x v="6"/>
    <n v="44415949569.88002"/>
    <n v="54825411765"/>
    <n v="10137750"/>
    <n v="5.6164402720000002"/>
    <n v="76.286865689999999"/>
    <n v="64"/>
    <n v="27465274526.460007"/>
    <n v="61.72"/>
  </r>
  <r>
    <x v="11"/>
    <x v="11"/>
    <x v="7"/>
    <n v="76292861462.160019"/>
    <n v="78807470588"/>
    <n v="10141756"/>
    <n v="4.7146803320000004"/>
    <n v="86.982273250000006"/>
    <n v="58"/>
    <n v="44415949569.88002"/>
    <n v="71.77"/>
  </r>
  <r>
    <x v="11"/>
    <x v="11"/>
    <x v="8"/>
    <n v="67797109710.560036"/>
    <n v="72428470588"/>
    <n v="10153958"/>
    <n v="1.3544774909999999"/>
    <n v="83.535886120000001"/>
    <n v="57"/>
    <n v="76292861462.160019"/>
    <n v="-11.14"/>
  </r>
  <r>
    <x v="11"/>
    <x v="11"/>
    <x v="9"/>
    <n v="53108113529.560036"/>
    <n v="74426000000"/>
    <n v="10202830"/>
    <n v="4.1580680040000004"/>
    <n v="82.567524629999994"/>
    <n v="60"/>
    <n v="67797109710.560036"/>
    <n v="-21.67"/>
  </r>
  <r>
    <x v="12"/>
    <x v="12"/>
    <x v="0"/>
    <n v="227581406"/>
    <n v="2810532912"/>
    <n v="11047580"/>
    <n v="-0.40452559500000002"/>
    <m/>
    <n v="152"/>
    <m/>
    <m/>
  </r>
  <r>
    <x v="12"/>
    <x v="12"/>
    <x v="1"/>
    <n v="246111639"/>
    <n v="2618093125"/>
    <n v="11239451"/>
    <n v="3.2001747040000001"/>
    <m/>
    <n v="154"/>
    <n v="227581406"/>
    <n v="8.14"/>
  </r>
  <r>
    <x v="12"/>
    <x v="12"/>
    <x v="2"/>
    <n v="298812875.00199997"/>
    <n v="2831362208"/>
    <n v="11506762"/>
    <n v="3.831857571"/>
    <m/>
    <n v="154"/>
    <n v="246111639"/>
    <n v="21.41"/>
  </r>
  <r>
    <x v="12"/>
    <x v="12"/>
    <x v="3"/>
    <n v="360408746.60600001"/>
    <n v="2913411408"/>
    <n v="11859446"/>
    <n v="5.3422447320000002"/>
    <m/>
    <n v="150"/>
    <n v="298812875.00199997"/>
    <n v="20.61"/>
  </r>
  <r>
    <x v="12"/>
    <x v="12"/>
    <x v="4"/>
    <n v="361701387.80500001"/>
    <n v="2871555326"/>
    <n v="12255336"/>
    <n v="4.4593420239999997"/>
    <m/>
    <n v="147"/>
    <n v="360408746.60600001"/>
    <n v="0.36"/>
  </r>
  <r>
    <x v="12"/>
    <x v="12"/>
    <x v="5"/>
    <n v="322871655.66999996"/>
    <n v="3188355944"/>
    <n v="12617036"/>
    <n v="0.30644381199999998"/>
    <m/>
    <n v="146"/>
    <n v="361701387.80500001"/>
    <n v="-10.74"/>
  </r>
  <r>
    <x v="12"/>
    <x v="12"/>
    <x v="6"/>
    <n v="327312953.35099989"/>
    <n v="3425127991"/>
    <n v="12965481"/>
    <n v="3.2370747940000002"/>
    <m/>
    <n v="147"/>
    <n v="322871655.66999996"/>
    <n v="1.38"/>
  </r>
  <r>
    <x v="12"/>
    <x v="12"/>
    <x v="7"/>
    <n v="415737337.06999987"/>
    <n v="4020736757"/>
    <n v="13321097"/>
    <n v="2.3177012239999999"/>
    <m/>
    <n v="144"/>
    <n v="327312953.35099989"/>
    <n v="27.02"/>
  </r>
  <r>
    <x v="12"/>
    <x v="12"/>
    <x v="8"/>
    <n v="434948522.32000011"/>
    <n v="3419558408"/>
    <n v="13689450"/>
    <n v="3.254768973"/>
    <m/>
    <n v="141"/>
    <n v="415737337.06999987"/>
    <n v="4.62"/>
  </r>
  <r>
    <x v="13"/>
    <x v="13"/>
    <x v="0"/>
    <n v="506821411985.3111"/>
    <n v="461000000000"/>
    <n v="11274196"/>
    <n v="1.4741643369999999"/>
    <n v="155.068682"/>
    <n v="17"/>
    <m/>
    <m/>
  </r>
  <r>
    <x v="13"/>
    <x v="13"/>
    <x v="1"/>
    <n v="542463833143.37567"/>
    <n v="474000000000"/>
    <n v="11331422"/>
    <n v="1.1935027300000001"/>
    <n v="159.05769660000001"/>
    <n v="16"/>
    <n v="506821411985.3111"/>
    <n v="7.03"/>
  </r>
  <r>
    <x v="13"/>
    <x v="13"/>
    <x v="2"/>
    <n v="593113044060.73792"/>
    <n v="501000000000"/>
    <n v="11375158"/>
    <n v="1.4744676160000001"/>
    <n v="166.90407819999999"/>
    <n v="16"/>
    <n v="542463833143.37567"/>
    <n v="9.34"/>
  </r>
  <r>
    <x v="13"/>
    <x v="13"/>
    <x v="3"/>
    <n v="646756877520.07776"/>
    <n v="543000000000"/>
    <n v="11427054"/>
    <n v="1.877968474"/>
    <n v="168.27769290000001"/>
    <n v="16"/>
    <n v="593113044060.73792"/>
    <n v="9.0399999999999991"/>
  </r>
  <r>
    <x v="13"/>
    <x v="13"/>
    <x v="4"/>
    <n v="623593623895.896"/>
    <n v="537000000000"/>
    <n v="11488980"/>
    <n v="2.442890045"/>
    <n v="165.46547889999999"/>
    <n v="17"/>
    <n v="646756877520.07776"/>
    <n v="-3.58"/>
  </r>
  <r>
    <x v="13"/>
    <x v="13"/>
    <x v="5"/>
    <n v="590287523687.02795"/>
    <n v="530000000000"/>
    <n v="11538604"/>
    <n v="-4.7929839080000001"/>
    <n v="156.95012130000001"/>
    <n v="16"/>
    <n v="623593623895.896"/>
    <n v="-5.34"/>
  </r>
  <r>
    <x v="13"/>
    <x v="13"/>
    <x v="6"/>
    <n v="771960809334.0603"/>
    <n v="599000000000"/>
    <n v="11586195"/>
    <n v="6.2544568649999999"/>
    <n v="177.38191219999999"/>
    <n v="17"/>
    <n v="590287523687.02795"/>
    <n v="30.78"/>
  </r>
  <r>
    <x v="13"/>
    <x v="13"/>
    <x v="7"/>
    <n v="910805415982.07434"/>
    <n v="591000000000"/>
    <n v="11680210"/>
    <n v="4.0246085279999999"/>
    <n v="191.05341809999999"/>
    <n v="14"/>
    <n v="771960809334.0603"/>
    <n v="17.989999999999998"/>
  </r>
  <r>
    <x v="13"/>
    <x v="13"/>
    <x v="8"/>
    <n v="794615916124.75244"/>
    <n v="651000000000"/>
    <n v="11779946"/>
    <n v="1.5612553950000001"/>
    <n v="165.98744070000001"/>
    <n v="16"/>
    <n v="910805415982.07434"/>
    <n v="-12.76"/>
  </r>
  <r>
    <x v="13"/>
    <x v="13"/>
    <x v="9"/>
    <n v="728263937691.57922"/>
    <n v="671000000000"/>
    <n v="11858610"/>
    <n v="1.097753838"/>
    <n v="159.0234811"/>
    <n v="16"/>
    <n v="794615916124.75244"/>
    <n v="-8.35"/>
  </r>
  <r>
    <x v="14"/>
    <x v="14"/>
    <x v="0"/>
    <n v="1250004768.9319999"/>
    <n v="11388160997"/>
    <n v="11360681"/>
    <n v="1.7781510599999999"/>
    <n v="56.756313179999999"/>
    <n v="136"/>
    <m/>
    <m/>
  </r>
  <r>
    <x v="14"/>
    <x v="14"/>
    <x v="1"/>
    <n v="817485305.60000002"/>
    <n v="11821065853"/>
    <n v="11697842"/>
    <n v="3.3396734260000001"/>
    <n v="58.986928339999999"/>
    <n v="146"/>
    <n v="1250004768.9319999"/>
    <n v="-34.6"/>
  </r>
  <r>
    <x v="14"/>
    <x v="14"/>
    <x v="2"/>
    <n v="1483978188.1450009"/>
    <n v="12701655837"/>
    <n v="12039780"/>
    <n v="5.6715619520000002"/>
    <n v="61.476596960000002"/>
    <n v="139"/>
    <n v="817485305.60000002"/>
    <n v="81.53"/>
  </r>
  <r>
    <x v="14"/>
    <x v="14"/>
    <x v="3"/>
    <n v="1901911395.4860005"/>
    <n v="14262408090"/>
    <n v="12383347"/>
    <n v="6.6972536219999999"/>
    <n v="61.79519449"/>
    <n v="133"/>
    <n v="1483978188.1450009"/>
    <n v="28.16"/>
  </r>
  <r>
    <x v="14"/>
    <x v="14"/>
    <x v="4"/>
    <n v="1701326515.7870004"/>
    <n v="14391686313"/>
    <n v="12726755"/>
    <n v="6.8656866279999997"/>
    <n v="63.681332310000002"/>
    <n v="137"/>
    <n v="1901911395.4860005"/>
    <n v="-10.55"/>
  </r>
  <r>
    <x v="14"/>
    <x v="14"/>
    <x v="5"/>
    <n v="1692119845.0689995"/>
    <n v="15686741884"/>
    <n v="13070169"/>
    <n v="3.8487923999999998"/>
    <n v="44.833233380000003"/>
    <n v="131"/>
    <n v="1701326515.7870004"/>
    <n v="-0.54"/>
  </r>
  <r>
    <x v="14"/>
    <x v="14"/>
    <x v="6"/>
    <n v="2051088508.5159996"/>
    <n v="17687623530"/>
    <n v="13413417"/>
    <n v="7.1554516460000004"/>
    <n v="48.054860830000003"/>
    <n v="133"/>
    <n v="1692119845.0689995"/>
    <n v="21.21"/>
  </r>
  <r>
    <x v="14"/>
    <x v="14"/>
    <x v="7"/>
    <n v="1798369112.21"/>
    <n v="17425405091"/>
    <n v="13759501"/>
    <n v="6.2529470539999998"/>
    <n v="44.38159289"/>
    <n v="133"/>
    <n v="2051088508.5159996"/>
    <n v="-12.32"/>
  </r>
  <r>
    <x v="14"/>
    <x v="14"/>
    <x v="8"/>
    <n v="2104421827.0849991"/>
    <n v="19673291004"/>
    <n v="14111034"/>
    <n v="6.3527773850000004"/>
    <n v="44.663130819999999"/>
    <n v="128"/>
    <n v="1798369112.21"/>
    <n v="17.02"/>
  </r>
  <r>
    <x v="14"/>
    <x v="14"/>
    <x v="9"/>
    <n v="2225668533.9739995"/>
    <n v="21482643706"/>
    <n v="14462724"/>
    <n v="7.4531156620000001"/>
    <n v="40.639802240000002"/>
    <n v="111"/>
    <n v="2104421827.0849991"/>
    <n v="5.76"/>
  </r>
  <r>
    <x v="15"/>
    <x v="15"/>
    <x v="0"/>
    <n v="4433966728.7990007"/>
    <n v="11832159316"/>
    <n v="18777487"/>
    <n v="3.9212287940000001"/>
    <n v="59.089181310000001"/>
    <n v="113"/>
    <m/>
    <m/>
  </r>
  <r>
    <x v="15"/>
    <x v="15"/>
    <x v="1"/>
    <n v="5040024676"/>
    <n v="12833363045"/>
    <n v="19334856"/>
    <n v="5.9579767080000003"/>
    <n v="57.893172800000002"/>
    <n v="112"/>
    <n v="4433966728.7990007"/>
    <n v="13.67"/>
  </r>
  <r>
    <x v="15"/>
    <x v="15"/>
    <x v="2"/>
    <n v="5818740236.4820004"/>
    <n v="14106955615"/>
    <n v="19894407"/>
    <n v="6.2034894109999996"/>
    <n v="59.268780200000002"/>
    <n v="114"/>
    <n v="5040024676"/>
    <n v="15.45"/>
  </r>
  <r>
    <x v="15"/>
    <x v="15"/>
    <x v="3"/>
    <n v="6535149089.099"/>
    <n v="15890066221"/>
    <n v="20438288"/>
    <n v="6.604569068"/>
    <n v="60.59562562"/>
    <n v="112"/>
    <n v="5818740236.4820004"/>
    <n v="12.31"/>
  </r>
  <r>
    <x v="15"/>
    <x v="15"/>
    <x v="4"/>
    <n v="6522209653.6329985"/>
    <n v="16032813503"/>
    <n v="20961952"/>
    <n v="5.8892049709999998"/>
    <n v="60.408692879999997"/>
    <n v="112"/>
    <n v="6535149089.099"/>
    <n v="-0.2"/>
  </r>
  <r>
    <x v="15"/>
    <x v="15"/>
    <x v="5"/>
    <n v="8749263689.4949989"/>
    <n v="17725010533"/>
    <n v="21478690"/>
    <n v="2.0107726239999999"/>
    <n v="60.739778639999997"/>
    <n v="102"/>
    <n v="6522209653.6329985"/>
    <n v="34.15"/>
  </r>
  <r>
    <x v="15"/>
    <x v="15"/>
    <x v="6"/>
    <n v="10120055917.900993"/>
    <n v="19697516284"/>
    <n v="21995243"/>
    <n v="6.9425249259999999"/>
    <n v="62.420358659999998"/>
    <n v="102"/>
    <n v="8749263689.4949989"/>
    <n v="15.67"/>
  </r>
  <r>
    <x v="15"/>
    <x v="15"/>
    <x v="7"/>
    <n v="9112052293.8880043"/>
    <n v="18622421395"/>
    <n v="22509038"/>
    <n v="1.626732582"/>
    <n v="67.520290130000006"/>
    <n v="106"/>
    <n v="10120055917.900993"/>
    <n v="-9.9600000000000009"/>
  </r>
  <r>
    <x v="15"/>
    <x v="15"/>
    <x v="8"/>
    <n v="8917514274.4349957"/>
    <n v="20106062972"/>
    <n v="23025776"/>
    <n v="3.0002741579999999"/>
    <n v="63.153043590000003"/>
    <n v="109"/>
    <n v="9112052293.8880043"/>
    <n v="-2.13"/>
  </r>
  <r>
    <x v="15"/>
    <x v="15"/>
    <x v="9"/>
    <n v="11284639393.181004"/>
    <n v="23136514856"/>
    <n v="23548781"/>
    <n v="4.8339581020000004"/>
    <n v="60.492898850000003"/>
    <n v="96"/>
    <n v="8917514274.4349957"/>
    <n v="26.54"/>
  </r>
  <r>
    <x v="16"/>
    <x v="16"/>
    <x v="0"/>
    <n v="63468324834"/>
    <n v="195000000000"/>
    <n v="159383179"/>
    <n v="6.5526398779999999"/>
    <n v="42.085996309999999"/>
    <n v="55"/>
    <m/>
    <m/>
  </r>
  <r>
    <x v="16"/>
    <x v="16"/>
    <x v="1"/>
    <n v="69505742249.897018"/>
    <n v="265000000000"/>
    <n v="160811932"/>
    <n v="7.1134782129999996"/>
    <n v="31.334150130000001"/>
    <n v="49"/>
    <n v="63468324834"/>
    <n v="9.51"/>
  </r>
  <r>
    <x v="16"/>
    <x v="16"/>
    <x v="2"/>
    <n v="79348618954.317001"/>
    <n v="294000000000"/>
    <n v="162186147"/>
    <n v="6.590249998"/>
    <n v="29.999730670000002"/>
    <n v="50"/>
    <n v="69505742249.897018"/>
    <n v="14.16"/>
  </r>
  <r>
    <x v="16"/>
    <x v="16"/>
    <x v="3"/>
    <n v="80131442768.216064"/>
    <n v="321000000000"/>
    <n v="163523103"/>
    <n v="7.3194126300000004"/>
    <n v="32.514631719999997"/>
    <n v="52"/>
    <n v="79348618954.317001"/>
    <n v="0.99"/>
  </r>
  <r>
    <x v="17"/>
    <x v="17"/>
    <x v="0"/>
    <n v="51557491885"/>
    <n v="50768512173"/>
    <n v="6984225"/>
    <n v="3.3975535200000002"/>
    <n v="126.7366523"/>
    <n v="59"/>
    <m/>
    <m/>
  </r>
  <r>
    <x v="17"/>
    <x v="17"/>
    <x v="1"/>
    <n v="53376365818.75296"/>
    <n v="53932152154"/>
    <n v="6894139"/>
    <n v="3.0266282009999999"/>
    <n v="122.8055191"/>
    <n v="58"/>
    <n v="51557491885"/>
    <n v="3.53"/>
  </r>
  <r>
    <x v="17"/>
    <x v="17"/>
    <x v="2"/>
    <n v="63176836552.317032"/>
    <n v="59170671046"/>
    <n v="6803468"/>
    <n v="2.7459273780000002"/>
    <n v="129.63443380000001"/>
    <n v="57"/>
    <n v="53376365818.75296"/>
    <n v="18.36"/>
  </r>
  <r>
    <x v="17"/>
    <x v="17"/>
    <x v="3"/>
    <n v="67574287979.520027"/>
    <n v="66100606677"/>
    <n v="6710798"/>
    <n v="2.3301505420000002"/>
    <n v="129.1665022"/>
    <n v="56"/>
    <n v="63176836552.317032"/>
    <n v="6.96"/>
  </r>
  <r>
    <x v="17"/>
    <x v="17"/>
    <x v="4"/>
    <n v="66908896098.797012"/>
    <n v="68511235459"/>
    <n v="6616726"/>
    <n v="3.793319646"/>
    <n v="125.2604151"/>
    <n v="55"/>
    <n v="67574287979.520027"/>
    <n v="-0.98"/>
  </r>
  <r>
    <x v="17"/>
    <x v="17"/>
    <x v="5"/>
    <n v="63829407766.993996"/>
    <n v="70490478088"/>
    <n v="6550696"/>
    <n v="-3.1332354310000001"/>
    <n v="110.4239031"/>
    <n v="54"/>
    <n v="66908896098.797012"/>
    <n v="-4.5999999999999996"/>
  </r>
  <r>
    <x v="17"/>
    <x v="17"/>
    <x v="6"/>
    <n v="82741713374.588989"/>
    <n v="84378926047"/>
    <n v="6507301"/>
    <n v="7.8281731069999996"/>
    <n v="121.214091"/>
    <n v="55"/>
    <n v="63829407766.993996"/>
    <n v="29.63"/>
  </r>
  <r>
    <x v="17"/>
    <x v="17"/>
    <x v="7"/>
    <n v="100500565715.09807"/>
    <n v="90510784778"/>
    <n v="6465097"/>
    <n v="4.0838639810000004"/>
    <n v="138.84487279999999"/>
    <n v="53"/>
    <n v="82741713374.588989"/>
    <n v="21.46"/>
  </r>
  <r>
    <x v="17"/>
    <x v="17"/>
    <x v="8"/>
    <n v="95801113660.749954"/>
    <n v="102000000000"/>
    <n v="6446596"/>
    <n v="1.6815107579999999"/>
    <n v="119.89950589999999"/>
    <n v="50"/>
    <n v="100500565715.09807"/>
    <n v="-4.68"/>
  </r>
  <r>
    <x v="17"/>
    <x v="17"/>
    <x v="9"/>
    <n v="93294486588.622025"/>
    <n v="113000000000"/>
    <n v="6441421"/>
    <n v="3.3870896199999998"/>
    <n v="110.2263177"/>
    <n v="50"/>
    <n v="95801113660.749954"/>
    <n v="-2.62"/>
  </r>
  <r>
    <x v="18"/>
    <x v="18"/>
    <x v="0"/>
    <n v="27764341337.101009"/>
    <n v="32523297872"/>
    <n v="1370322"/>
    <n v="2.5078720529999998"/>
    <n v="147.9160602"/>
    <n v="67"/>
    <m/>
    <m/>
  </r>
  <r>
    <x v="18"/>
    <x v="18"/>
    <x v="1"/>
    <n v="21091777928.511002"/>
    <n v="33884680851"/>
    <n v="1423726"/>
    <n v="3.8149932739999999"/>
    <n v="132.82299789999999"/>
    <n v="78"/>
    <n v="27764341337.101009"/>
    <n v="-24.03"/>
  </r>
  <r>
    <x v="18"/>
    <x v="18"/>
    <x v="2"/>
    <n v="24970718453.988003"/>
    <n v="37204813830"/>
    <n v="1501116"/>
    <n v="4.9538353409999996"/>
    <n v="136.4292398"/>
    <n v="73"/>
    <n v="21091777928.511002"/>
    <n v="18.39"/>
  </r>
  <r>
    <x v="18"/>
    <x v="18"/>
    <x v="3"/>
    <n v="28695474988.337006"/>
    <n v="39567978723"/>
    <n v="1503091"/>
    <n v="2.0525886500000001"/>
    <n v="144.07537260000001"/>
    <n v="74"/>
    <n v="24970718453.988003"/>
    <n v="14.92"/>
  </r>
  <r>
    <x v="18"/>
    <x v="18"/>
    <x v="4"/>
    <n v="28334526270.146004"/>
    <n v="40446808511"/>
    <n v="1483756"/>
    <n v="2.0528777439999999"/>
    <n v="135.4175434"/>
    <n v="74"/>
    <n v="28695474988.337006"/>
    <n v="-1.26"/>
  </r>
  <r>
    <x v="18"/>
    <x v="18"/>
    <x v="5"/>
    <n v="23118464886.099991"/>
    <n v="35837632979"/>
    <n v="1472204"/>
    <n v="-5.9113629520000002"/>
    <n v="135.46098499999999"/>
    <n v="75"/>
    <n v="28334526270.146004"/>
    <n v="-18.41"/>
  </r>
  <r>
    <x v="18"/>
    <x v="18"/>
    <x v="6"/>
    <n v="36397947599.988998"/>
    <n v="40840212766"/>
    <n v="1504365"/>
    <n v="4.3500409170000003"/>
    <n v="153.7993165"/>
    <n v="68"/>
    <n v="23118464886.099991"/>
    <n v="57.44"/>
  </r>
  <r>
    <x v="18"/>
    <x v="18"/>
    <x v="7"/>
    <n v="44504366578.53701"/>
    <n v="46458191489"/>
    <n v="1524693"/>
    <n v="6.1801612549999998"/>
    <n v="167.1412412"/>
    <n v="66"/>
    <n v="36397947599.988998"/>
    <n v="22.27"/>
  </r>
  <r>
    <x v="18"/>
    <x v="18"/>
    <x v="8"/>
    <n v="24813855518.866005"/>
    <n v="46192260638"/>
    <n v="1577059"/>
    <n v="3.8781161480000002"/>
    <n v="157.44785469999999"/>
    <n v="76"/>
    <n v="44504366578.53701"/>
    <n v="-44.24"/>
  </r>
  <r>
    <x v="18"/>
    <x v="18"/>
    <x v="9"/>
    <n v="24905450825.860996"/>
    <n v="47210732713"/>
    <n v="1588670"/>
    <n v="2.897105432"/>
    <n v="157.48086939999999"/>
    <n v="74"/>
    <n v="24813855518.866005"/>
    <n v="0.37"/>
  </r>
  <r>
    <x v="19"/>
    <x v="19"/>
    <x v="0"/>
    <n v="885562750"/>
    <n v="11837600000"/>
    <n v="385346"/>
    <n v="0.99741167500000005"/>
    <n v="69.677975270000005"/>
    <n v="143"/>
    <m/>
    <m/>
  </r>
  <r>
    <x v="19"/>
    <x v="19"/>
    <x v="1"/>
    <n v="805424844"/>
    <n v="11880900000"/>
    <n v="388055"/>
    <n v="-1.1565081129999999"/>
    <n v="67.21292158"/>
    <n v="147"/>
    <n v="885562750"/>
    <n v="-9.0500000000000007"/>
  </r>
  <r>
    <x v="19"/>
    <x v="19"/>
    <x v="2"/>
    <n v="946644554.26000011"/>
    <n v="12446900000"/>
    <n v="390485"/>
    <n v="3.3713988459999999"/>
    <n v="68.33428404"/>
    <n v="145"/>
    <n v="805424844"/>
    <n v="17.53"/>
  </r>
  <r>
    <x v="19"/>
    <x v="19"/>
    <x v="3"/>
    <n v="1048385844.4800003"/>
    <n v="12819200000"/>
    <n v="392717"/>
    <n v="2.3979551080000001"/>
    <n v="72.154268599999995"/>
    <n v="142"/>
    <n v="946644554.26000011"/>
    <n v="10.75"/>
  </r>
  <r>
    <x v="19"/>
    <x v="19"/>
    <x v="4"/>
    <n v="1074537119.6159997"/>
    <n v="13277000000"/>
    <n v="394675"/>
    <n v="-0.83858587100000004"/>
    <n v="68.786623480000003"/>
    <n v="140"/>
    <n v="1048385844.4800003"/>
    <n v="2.4900000000000002"/>
  </r>
  <r>
    <x v="19"/>
    <x v="19"/>
    <x v="5"/>
    <n v="678519692"/>
    <n v="10363200000"/>
    <n v="395863"/>
    <n v="-20.08936649"/>
    <n v="53.420758069999998"/>
    <n v="140"/>
    <n v="1074537119.6159997"/>
    <n v="-36.85"/>
  </r>
  <r>
    <x v="19"/>
    <x v="19"/>
    <x v="6"/>
    <n v="1086847568"/>
    <n v="12037000000"/>
    <n v="396373"/>
    <n v="17.586138999999999"/>
    <n v="65.932541330000006"/>
    <n v="139"/>
    <n v="678519692"/>
    <n v="60.18"/>
  </r>
  <r>
    <x v="19"/>
    <x v="19"/>
    <x v="7"/>
    <n v="1148473024"/>
    <n v="13896800000"/>
    <n v="397538"/>
    <n v="10.87790094"/>
    <n v="75.982960109999993"/>
    <n v="136"/>
    <n v="1086847568"/>
    <n v="5.67"/>
  </r>
  <r>
    <x v="19"/>
    <x v="19"/>
    <x v="8"/>
    <n v="1401203162"/>
    <n v="15271300000"/>
    <n v="399440"/>
    <n v="3.0482418060000001"/>
    <n v="76.54947516"/>
    <n v="132"/>
    <n v="1148473024"/>
    <n v="22.01"/>
  </r>
  <r>
    <x v="19"/>
    <x v="19"/>
    <x v="9"/>
    <n v="1888653136"/>
    <n v="15832800000"/>
    <n v="401283"/>
    <n v="3.3786655329999999"/>
    <n v="79.242458690000007"/>
    <n v="116"/>
    <n v="1401203162"/>
    <n v="34.79"/>
  </r>
  <r>
    <x v="20"/>
    <x v="20"/>
    <x v="0"/>
    <n v="10198371528"/>
    <n v="16404348361"/>
    <n v="3518541"/>
    <n v="4.2841301610000002"/>
    <n v="88.291992590000007"/>
    <n v="96"/>
    <m/>
    <m/>
  </r>
  <r>
    <x v="20"/>
    <x v="20"/>
    <x v="1"/>
    <n v="10655156678"/>
    <n v="17116926554"/>
    <n v="3473003"/>
    <n v="3.2422582219999998"/>
    <n v="88.244033999999999"/>
    <n v="94"/>
    <n v="10198371528"/>
    <n v="4.4800000000000004"/>
  </r>
  <r>
    <x v="20"/>
    <x v="20"/>
    <x v="2"/>
    <n v="12735844543.119995"/>
    <n v="18326373136"/>
    <n v="3428682"/>
    <n v="3.244098953"/>
    <n v="96.645880360000007"/>
    <n v="90"/>
    <n v="10655156678"/>
    <n v="19.53"/>
  </r>
  <r>
    <x v="20"/>
    <x v="20"/>
    <x v="3"/>
    <n v="14364192635.540005"/>
    <n v="20484058033"/>
    <n v="3387000"/>
    <n v="3.8290039930000002"/>
    <n v="98.432069420000005"/>
    <n v="90"/>
    <n v="12735844543.119995"/>
    <n v="12.79"/>
  </r>
  <r>
    <x v="20"/>
    <x v="20"/>
    <x v="4"/>
    <n v="13156487804.470993"/>
    <n v="20482608984"/>
    <n v="3345533"/>
    <n v="2.8858524210000001"/>
    <n v="94.516125149999993"/>
    <n v="92"/>
    <n v="14364192635.540005"/>
    <n v="-8.41"/>
  </r>
  <r>
    <x v="20"/>
    <x v="20"/>
    <x v="5"/>
    <n v="12305025075.990999"/>
    <n v="20226038370"/>
    <n v="3299349"/>
    <n v="-3.0150933549999999"/>
    <n v="82.521646799999999"/>
    <n v="89"/>
    <n v="13156487804.470993"/>
    <n v="-6.47"/>
  </r>
  <r>
    <x v="20"/>
    <x v="20"/>
    <x v="6"/>
    <n v="17228220021.731998"/>
    <n v="23672712121"/>
    <n v="3244907"/>
    <n v="7.3916425649999997"/>
    <n v="96.739114439999994"/>
    <n v="89"/>
    <n v="12305025075.990999"/>
    <n v="40.01"/>
  </r>
  <r>
    <x v="20"/>
    <x v="20"/>
    <x v="7"/>
    <n v="19356304739.541992"/>
    <n v="24534663636"/>
    <n v="3204802"/>
    <n v="4.226813334"/>
    <n v="110.2052837"/>
    <n v="88"/>
    <n v="17228220021.731998"/>
    <n v="12.35"/>
  </r>
  <r>
    <x v="20"/>
    <x v="20"/>
    <x v="8"/>
    <n v="18456371700.370998"/>
    <n v="27592361498"/>
    <n v="3185073"/>
    <n v="1.9943941489999999"/>
    <n v="99.633031799999998"/>
    <n v="86"/>
    <n v="19356304739.541992"/>
    <n v="-4.6500000000000004"/>
  </r>
  <r>
    <x v="20"/>
    <x v="20"/>
    <x v="9"/>
    <n v="17787713859.841995"/>
    <n v="29737363103"/>
    <n v="3164253"/>
    <n v="3.2267997980000001"/>
    <n v="94.760177850000005"/>
    <n v="81"/>
    <n v="18456371700.370998"/>
    <n v="-3.62"/>
  </r>
  <r>
    <x v="21"/>
    <x v="21"/>
    <x v="0"/>
    <n v="53320789200"/>
    <n v="56454769845"/>
    <n v="9461076"/>
    <n v="-3.8295705679999998"/>
    <n v="115.91482619999999"/>
    <n v="57"/>
    <m/>
    <m/>
  </r>
  <r>
    <x v="21"/>
    <x v="21"/>
    <x v="1"/>
    <n v="47074709000"/>
    <n v="47723545321"/>
    <n v="9469379"/>
    <n v="-2.526446446"/>
    <n v="125.2093229"/>
    <n v="60"/>
    <n v="53320789200"/>
    <n v="-11.71"/>
  </r>
  <r>
    <x v="21"/>
    <x v="21"/>
    <x v="2"/>
    <n v="58479987800"/>
    <n v="54725405751"/>
    <n v="9458989"/>
    <n v="2.532183495"/>
    <n v="133.36775470000001"/>
    <n v="59"/>
    <n v="47074709000"/>
    <n v="24.23"/>
  </r>
  <r>
    <x v="21"/>
    <x v="21"/>
    <x v="3"/>
    <n v="67452282800"/>
    <n v="60031026576"/>
    <n v="9438785"/>
    <n v="3.1491975829999999"/>
    <n v="139.3937363"/>
    <n v="57"/>
    <n v="58479987800"/>
    <n v="15.34"/>
  </r>
  <r>
    <x v="21"/>
    <x v="21"/>
    <x v="4"/>
    <n v="65910244800"/>
    <n v="64410170653"/>
    <n v="9419758"/>
    <n v="1.446455482"/>
    <n v="130.85040609999999"/>
    <n v="57"/>
    <n v="67452282800"/>
    <n v="-2.29"/>
  </r>
  <r>
    <x v="21"/>
    <x v="21"/>
    <x v="5"/>
    <n v="58358882000"/>
    <n v="61371673345"/>
    <n v="9379952"/>
    <n v="-0.67274291900000005"/>
    <n v="118.9341761"/>
    <n v="57"/>
    <n v="65910244800"/>
    <n v="-11.46"/>
  </r>
  <r>
    <x v="21"/>
    <x v="21"/>
    <x v="6"/>
    <n v="79778045600"/>
    <n v="69673747132"/>
    <n v="9302585"/>
    <n v="2.4388621019999999"/>
    <n v="136.01416789999999"/>
    <n v="57"/>
    <n v="58358882000"/>
    <n v="36.700000000000003"/>
  </r>
  <r>
    <x v="22"/>
    <x v="22"/>
    <x v="0"/>
    <n v="627790370"/>
    <n v="2193095150"/>
    <n v="356333"/>
    <n v="2.7602602740000002"/>
    <n v="104.0709588"/>
    <n v="148"/>
    <m/>
    <m/>
  </r>
  <r>
    <x v="22"/>
    <x v="22"/>
    <x v="1"/>
    <n v="492325257"/>
    <n v="2239604950"/>
    <n v="364705"/>
    <n v="-1.8741496E-2"/>
    <n v="96.499835829999995"/>
    <n v="151"/>
    <n v="627790370"/>
    <n v="-21.58"/>
  </r>
  <r>
    <x v="22"/>
    <x v="22"/>
    <x v="2"/>
    <n v="555169920.13"/>
    <n v="2266028250"/>
    <n v="373202"/>
    <n v="-1.8332372910000001"/>
    <n v="97.707257179999999"/>
    <n v="148"/>
    <n v="492325257"/>
    <n v="12.76"/>
  </r>
  <r>
    <x v="22"/>
    <x v="22"/>
    <x v="3"/>
    <n v="481822316.20000023"/>
    <n v="2285915050"/>
    <n v="380226"/>
    <n v="0.82206859300000001"/>
    <n v="100.98921439999999"/>
    <n v="147"/>
    <n v="555169920.13"/>
    <n v="-13.21"/>
  </r>
  <r>
    <x v="22"/>
    <x v="22"/>
    <x v="4"/>
    <n v="491802454.71799999"/>
    <n v="2381187850"/>
    <n v="385829"/>
    <n v="4.2565871"/>
    <n v="102.4418569"/>
    <n v="146"/>
    <n v="481822316.20000023"/>
    <n v="2.0699999999999998"/>
  </r>
  <r>
    <x v="22"/>
    <x v="22"/>
    <x v="5"/>
    <n v="425444613.05700004"/>
    <n v="2047284600"/>
    <n v="390812"/>
    <n v="-13.522899710000001"/>
    <n v="81.643143309999999"/>
    <n v="143"/>
    <n v="491802454.71799999"/>
    <n v="-13.49"/>
  </r>
  <r>
    <x v="22"/>
    <x v="22"/>
    <x v="6"/>
    <n v="527215237.2899999"/>
    <n v="2428606250"/>
    <n v="395346"/>
    <n v="17.98992441"/>
    <n v="98.982436939999999"/>
    <n v="143"/>
    <n v="425444613.05700004"/>
    <n v="23.92"/>
  </r>
  <r>
    <x v="22"/>
    <x v="22"/>
    <x v="7"/>
    <n v="588406733.59300041"/>
    <n v="2846604350"/>
    <n v="402733"/>
    <n v="9.2505132949999993"/>
    <n v="107.84025010000001"/>
    <n v="143"/>
    <n v="527215237.2899999"/>
    <n v="11.61"/>
  </r>
  <r>
    <x v="22"/>
    <x v="22"/>
    <x v="8"/>
    <n v="507675091.10600013"/>
    <n v="3052362650"/>
    <n v="411106"/>
    <n v="0.50012794199999999"/>
    <n v="106.4005059"/>
    <n v="139"/>
    <n v="588406733.59300041"/>
    <n v="-13.72"/>
  </r>
  <r>
    <x v="22"/>
    <x v="22"/>
    <x v="9"/>
    <n v="565510960.09599996"/>
    <n v="3203631800"/>
    <n v="417072"/>
    <n v="3.5046643500000001"/>
    <n v="108.9724465"/>
    <n v="121"/>
    <n v="507675091.10600013"/>
    <n v="11.39"/>
  </r>
  <r>
    <x v="23"/>
    <x v="23"/>
    <x v="0"/>
    <n v="17244859"/>
    <n v="6654541000"/>
    <n v="63464"/>
    <n v="0.77552969999999999"/>
    <n v="73.295498519999995"/>
    <n v="167"/>
    <m/>
    <m/>
  </r>
  <r>
    <x v="23"/>
    <x v="23"/>
    <x v="1"/>
    <n v="16634779"/>
    <n v="6899911000"/>
    <n v="63449"/>
    <n v="-0.65720630400000002"/>
    <n v="72.749909380000005"/>
    <n v="170"/>
    <n v="17244859"/>
    <n v="-3.54"/>
  </r>
  <r>
    <x v="23"/>
    <x v="23"/>
    <x v="2"/>
    <n v="23484331.34"/>
    <n v="7142316000"/>
    <n v="63578"/>
    <n v="3.6114198370000001"/>
    <n v="72.392428449999997"/>
    <n v="171"/>
    <n v="16634779"/>
    <n v="41.18"/>
  </r>
  <r>
    <x v="23"/>
    <x v="23"/>
    <x v="3"/>
    <n v="45824849.079999991"/>
    <n v="7225977000"/>
    <n v="63831"/>
    <n v="-0.4328013"/>
    <n v="77.555270379999996"/>
    <n v="165"/>
    <n v="23484331.34"/>
    <n v="95.13"/>
  </r>
  <r>
    <x v="23"/>
    <x v="23"/>
    <x v="4"/>
    <n v="53665104.539999992"/>
    <n v="7423465000"/>
    <n v="64107"/>
    <n v="0.307106461"/>
    <n v="77.560101649999993"/>
    <n v="161"/>
    <n v="45824849.079999991"/>
    <n v="17.11"/>
  </r>
  <r>
    <x v="23"/>
    <x v="23"/>
    <x v="5"/>
    <n v="38207000.32"/>
    <n v="6887364000"/>
    <n v="64382"/>
    <n v="-6.9716257150000001"/>
    <n v="70.589822170000005"/>
    <n v="158"/>
    <n v="53665104.539999992"/>
    <n v="-28.8"/>
  </r>
  <r>
    <x v="23"/>
    <x v="23"/>
    <x v="6"/>
    <n v="57265058.159999996"/>
    <n v="7290037000"/>
    <n v="64648"/>
    <n v="4.764978997"/>
    <n v="72.927092139999999"/>
    <n v="155"/>
    <n v="38207000.32"/>
    <n v="49.88"/>
  </r>
  <r>
    <x v="23"/>
    <x v="23"/>
    <x v="7"/>
    <n v="67053568.859999985"/>
    <n v="7767884000"/>
    <n v="64749"/>
    <n v="6.2569552120000003"/>
    <n v="77.977052700000002"/>
    <n v="156"/>
    <n v="57265058.159999996"/>
    <n v="17.09"/>
  </r>
  <r>
    <x v="23"/>
    <x v="23"/>
    <x v="8"/>
    <n v="44569547.479999989"/>
    <n v="8602360000"/>
    <n v="64698"/>
    <n v="4.3344728039999998"/>
    <n v="77.646529560000005"/>
    <n v="154"/>
    <n v="67053568.859999985"/>
    <n v="-33.53"/>
  </r>
  <r>
    <x v="23"/>
    <x v="23"/>
    <x v="9"/>
    <n v="136671969.25999999"/>
    <n v="9194499000"/>
    <n v="64636"/>
    <n v="1.88822862"/>
    <n v="80.206088440000002"/>
    <n v="124"/>
    <n v="44569547.479999989"/>
    <n v="206.65"/>
  </r>
  <r>
    <x v="24"/>
    <x v="24"/>
    <x v="0"/>
    <n v="17846230765.720001"/>
    <n v="33000198249"/>
    <n v="11014705"/>
    <n v="4.8571871849999999"/>
    <n v="67.932845189999995"/>
    <n v="82"/>
    <m/>
    <m/>
  </r>
  <r>
    <x v="24"/>
    <x v="24"/>
    <x v="1"/>
    <n v="14517426337.139997"/>
    <n v="33941126194"/>
    <n v="11180020"/>
    <n v="4.2639208699999998"/>
    <n v="56.401034500000002"/>
    <n v="88"/>
    <n v="17846230765.720001"/>
    <n v="-18.649999999999999"/>
  </r>
  <r>
    <x v="24"/>
    <x v="24"/>
    <x v="2"/>
    <n v="16734157040.180004"/>
    <n v="45927439595"/>
    <n v="11344587"/>
    <n v="4.1952063339999999"/>
    <n v="45.576112369999997"/>
    <n v="85"/>
    <n v="14517426337.139997"/>
    <n v="15.27"/>
  </r>
  <r>
    <x v="24"/>
    <x v="24"/>
    <x v="3"/>
    <n v="18220711261.259998"/>
    <n v="48414038842"/>
    <n v="11508368"/>
    <n v="2.8680840480000001"/>
    <n v="46.92619534"/>
    <n v="83"/>
    <n v="16734157040.180004"/>
    <n v="8.8800000000000008"/>
  </r>
  <r>
    <x v="24"/>
    <x v="24"/>
    <x v="4"/>
    <n v="17866661976.739998"/>
    <n v="49056643589"/>
    <n v="11671386"/>
    <n v="1.506721027"/>
    <n v="45.820973270000003"/>
    <n v="82"/>
    <n v="18220711261.259998"/>
    <n v="-1.94"/>
  </r>
  <r>
    <x v="24"/>
    <x v="24"/>
    <x v="5"/>
    <n v="14065528375.979998"/>
    <n v="42313784081"/>
    <n v="11816299"/>
    <n v="-12.719469009999999"/>
    <n v="37.516434240000002"/>
    <n v="85"/>
    <n v="17866661976.739998"/>
    <n v="-21.28"/>
  </r>
  <r>
    <x v="24"/>
    <x v="24"/>
    <x v="6"/>
    <n v="22159577680.479996"/>
    <n v="47877892402"/>
    <n v="11937360"/>
    <n v="10.029048879999999"/>
    <n v="47.667084320000001"/>
    <n v="79"/>
    <n v="14065528375.979998"/>
    <n v="57.55"/>
  </r>
  <r>
    <x v="24"/>
    <x v="24"/>
    <x v="7"/>
    <n v="27305625740.079987"/>
    <n v="50959081954"/>
    <n v="12077154"/>
    <n v="3.7474178120000001"/>
    <n v="57.524933580000003"/>
    <n v="77"/>
    <n v="22159577680.479996"/>
    <n v="23.22"/>
  </r>
  <r>
    <x v="24"/>
    <x v="24"/>
    <x v="8"/>
    <n v="21837376114.120003"/>
    <n v="52340206946"/>
    <n v="12244159"/>
    <n v="2.516365902"/>
    <n v="49.608325559999997"/>
    <n v="81"/>
    <n v="27305625740.079987"/>
    <n v="-20.03"/>
  </r>
  <r>
    <x v="24"/>
    <x v="24"/>
    <x v="9"/>
    <n v="18118334818.860004"/>
    <n v="54881327453"/>
    <n v="12413315"/>
    <n v="-1.1233559550000001"/>
    <n v="46.977871610000001"/>
    <n v="80"/>
    <n v="21837376114.120003"/>
    <n v="-17.03"/>
  </r>
  <r>
    <x v="25"/>
    <x v="25"/>
    <x v="0"/>
    <n v="373549832626"/>
    <n v="1800000000000"/>
    <n v="201675532"/>
    <n v="-3.5457633930000001"/>
    <n v="26.953625939999998"/>
    <n v="23"/>
    <m/>
    <m/>
  </r>
  <r>
    <x v="25"/>
    <x v="25"/>
    <x v="1"/>
    <n v="359052255020"/>
    <n v="1800000000000"/>
    <n v="203218114"/>
    <n v="-3.2759169080000001"/>
    <n v="24.533682079999998"/>
    <n v="23"/>
    <n v="373549832626"/>
    <n v="-3.88"/>
  </r>
  <r>
    <x v="25"/>
    <x v="25"/>
    <x v="2"/>
    <n v="429976216706"/>
    <n v="2060000000000"/>
    <n v="204703445"/>
    <n v="1.3228690540000001"/>
    <n v="24.319734369999999"/>
    <n v="24"/>
    <n v="359052255020"/>
    <n v="19.75"/>
  </r>
  <r>
    <x v="25"/>
    <x v="25"/>
    <x v="3"/>
    <n v="463779046798"/>
    <n v="1920000000000"/>
    <n v="206107261"/>
    <n v="1.783666762"/>
    <n v="28.87620338"/>
    <n v="24"/>
    <n v="429976216706"/>
    <n v="7.86"/>
  </r>
  <r>
    <x v="25"/>
    <x v="25"/>
    <x v="4"/>
    <n v="442253615294"/>
    <n v="1870000000000"/>
    <n v="207455459"/>
    <n v="1.220777824"/>
    <n v="28.890257869999999"/>
    <n v="24"/>
    <n v="463779046798"/>
    <n v="-4.6399999999999997"/>
  </r>
  <r>
    <x v="25"/>
    <x v="25"/>
    <x v="5"/>
    <n v="418360483310"/>
    <n v="1480000000000"/>
    <n v="208660842"/>
    <n v="-3.2767587960000002"/>
    <n v="32.302078539999997"/>
    <n v="23"/>
    <n v="442253615294"/>
    <n v="-5.4"/>
  </r>
  <r>
    <x v="25"/>
    <x v="25"/>
    <x v="6"/>
    <n v="561629154920"/>
    <n v="1670000000000"/>
    <n v="209550294"/>
    <n v="4.7626043789999999"/>
    <n v="37.656330760000003"/>
    <n v="22"/>
    <n v="418360483310"/>
    <n v="34.25"/>
  </r>
  <r>
    <x v="25"/>
    <x v="25"/>
    <x v="7"/>
    <n v="668926158390"/>
    <n v="1950000000000"/>
    <n v="210306415"/>
    <n v="3.0166943540000002"/>
    <n v="38.816065979999998"/>
    <n v="22"/>
    <n v="561629154920"/>
    <n v="19.100000000000001"/>
  </r>
  <r>
    <x v="25"/>
    <x v="25"/>
    <x v="8"/>
    <n v="679391532016"/>
    <n v="2190000000000"/>
    <n v="211140729"/>
    <n v="3.2416553289999999"/>
    <n v="33.666229829999999"/>
    <n v="20"/>
    <n v="668926158390"/>
    <n v="1.56"/>
  </r>
  <r>
    <x v="25"/>
    <x v="25"/>
    <x v="9"/>
    <n v="674072550844"/>
    <n v="2190000000000"/>
    <n v="211998573"/>
    <n v="3.419315165"/>
    <n v="35.584523939999997"/>
    <n v="18"/>
    <n v="679391532016"/>
    <n v="-0.78"/>
  </r>
  <r>
    <x v="26"/>
    <x v="26"/>
    <x v="0"/>
    <n v="965503890"/>
    <n v="5699619150"/>
    <n v="278990"/>
    <n v="-0.77262007799999999"/>
    <m/>
    <n v="141"/>
    <m/>
    <m/>
  </r>
  <r>
    <x v="26"/>
    <x v="26"/>
    <x v="1"/>
    <n v="1033651786"/>
    <n v="5679029450"/>
    <n v="279598"/>
    <n v="1.416324468"/>
    <m/>
    <n v="142"/>
    <n v="965503890"/>
    <n v="7.06"/>
  </r>
  <r>
    <x v="26"/>
    <x v="26"/>
    <x v="2"/>
    <n v="970775895"/>
    <n v="5847381600"/>
    <n v="280171"/>
    <n v="0.65465560300000003"/>
    <m/>
    <n v="144"/>
    <n v="1033651786"/>
    <n v="-6.08"/>
  </r>
  <r>
    <x v="26"/>
    <x v="26"/>
    <x v="3"/>
    <n v="915419501"/>
    <n v="6001101550"/>
    <n v="280711"/>
    <n v="-0.252085326"/>
    <m/>
    <n v="144"/>
    <n v="970775895"/>
    <n v="-5.7"/>
  </r>
  <r>
    <x v="26"/>
    <x v="26"/>
    <x v="4"/>
    <n v="888170738"/>
    <n v="6166710800"/>
    <n v="281207"/>
    <n v="0.24109978900000001"/>
    <m/>
    <n v="143"/>
    <n v="915419501"/>
    <n v="-2.98"/>
  </r>
  <r>
    <x v="26"/>
    <x v="26"/>
    <x v="5"/>
    <n v="690412434"/>
    <n v="5403246950"/>
    <n v="281698"/>
    <n v="-17.405931469999999"/>
    <m/>
    <n v="139"/>
    <n v="888170738"/>
    <n v="-22.27"/>
  </r>
  <r>
    <x v="26"/>
    <x v="26"/>
    <x v="6"/>
    <n v="700345822"/>
    <n v="5948900600"/>
    <n v="282147"/>
    <n v="8.0198770100000001"/>
    <m/>
    <n v="142"/>
    <n v="690412434"/>
    <n v="1.44"/>
  </r>
  <r>
    <x v="26"/>
    <x v="26"/>
    <x v="7"/>
    <n v="995637396"/>
    <n v="6886644900"/>
    <n v="282318"/>
    <n v="15.94532062"/>
    <m/>
    <n v="137"/>
    <n v="700345822"/>
    <n v="42.16"/>
  </r>
  <r>
    <x v="26"/>
    <x v="26"/>
    <x v="8"/>
    <n v="951685098"/>
    <n v="7223248150"/>
    <n v="282336"/>
    <n v="1.8141981780000001"/>
    <m/>
    <n v="134"/>
    <n v="995637396"/>
    <n v="-4.41"/>
  </r>
  <r>
    <x v="26"/>
    <x v="26"/>
    <x v="9"/>
    <n v="987998342"/>
    <n v="7597571450"/>
    <n v="282467"/>
    <n v="3.366949258"/>
    <m/>
    <n v="120"/>
    <n v="951685098"/>
    <n v="3.82"/>
  </r>
  <r>
    <x v="27"/>
    <x v="27"/>
    <x v="0"/>
    <n v="12705324985"/>
    <n v="12930296870"/>
    <n v="422212"/>
    <n v="-0.39238374999999998"/>
    <n v="89.896188249999994"/>
    <n v="90"/>
    <m/>
    <m/>
  </r>
  <r>
    <x v="27"/>
    <x v="27"/>
    <x v="1"/>
    <n v="9750150611"/>
    <n v="11400266045"/>
    <n v="427564"/>
    <n v="-2.477917718"/>
    <n v="87.319801330000004"/>
    <n v="96"/>
    <n v="12705324985"/>
    <n v="-23.26"/>
  </r>
  <r>
    <x v="27"/>
    <x v="27"/>
    <x v="2"/>
    <n v="11141150427.531998"/>
    <n v="12128168045"/>
    <n v="432772"/>
    <n v="1.328726611"/>
    <n v="85.176860430000005"/>
    <n v="97"/>
    <n v="9750150611"/>
    <n v="14.27"/>
  </r>
  <r>
    <x v="27"/>
    <x v="27"/>
    <x v="3"/>
    <n v="13147273885.264013"/>
    <n v="13566908391"/>
    <n v="437810"/>
    <n v="5.2371042E-2"/>
    <n v="93.898061769999998"/>
    <n v="94"/>
    <n v="11141150427.531998"/>
    <n v="18.010000000000002"/>
  </r>
  <r>
    <x v="27"/>
    <x v="27"/>
    <x v="4"/>
    <n v="14078166171.500002"/>
    <n v="13469235365"/>
    <n v="442680"/>
    <n v="3.8688443619999999"/>
    <n v="108.50965840000001"/>
    <n v="91"/>
    <n v="13147273885.264013"/>
    <n v="7.08"/>
  </r>
  <r>
    <x v="27"/>
    <x v="27"/>
    <x v="5"/>
    <n v="13216355704.199999"/>
    <n v="12005799654"/>
    <n v="447404"/>
    <n v="1.13357335"/>
    <n v="110.2910037"/>
    <n v="88"/>
    <n v="14078166171.500002"/>
    <n v="-6.12"/>
  </r>
  <r>
    <x v="27"/>
    <x v="27"/>
    <x v="6"/>
    <n v="22116368746.02"/>
    <n v="14006496617"/>
    <n v="451721"/>
    <n v="-1.590762601"/>
    <n v="147.1231124"/>
    <n v="80"/>
    <n v="13216355704.199999"/>
    <n v="67.34"/>
  </r>
  <r>
    <x v="27"/>
    <x v="27"/>
    <x v="7"/>
    <n v="28460476623.005985"/>
    <n v="16681536467"/>
    <n v="455370"/>
    <n v="-1.628331545"/>
    <n v="146.9739659"/>
    <n v="76"/>
    <n v="22116368746.02"/>
    <n v="28.69"/>
  </r>
  <r>
    <x v="27"/>
    <x v="27"/>
    <x v="8"/>
    <n v="22481249410.540012"/>
    <n v="15095084656"/>
    <n v="458949"/>
    <n v="1.1276441820000001"/>
    <n v="136.8634347"/>
    <n v="80"/>
    <n v="28460476623.005985"/>
    <n v="-21.01"/>
  </r>
  <r>
    <x v="27"/>
    <x v="27"/>
    <x v="9"/>
    <n v="22516988211.682999"/>
    <n v="15340808592"/>
    <n v="462721"/>
    <n v="4.0525170929999996"/>
    <n v="132.58743949999999"/>
    <n v="77"/>
    <n v="22481249410.540012"/>
    <n v="0.16"/>
  </r>
  <r>
    <x v="28"/>
    <x v="28"/>
    <x v="1"/>
    <n v="661686896.30799985"/>
    <n v="2357504761"/>
    <n v="747866"/>
    <n v="8.4759433919999996"/>
    <n v="76.384752849999998"/>
    <n v="150"/>
    <m/>
    <m/>
  </r>
  <r>
    <x v="28"/>
    <x v="28"/>
    <x v="2"/>
    <n v="778286134.45899999"/>
    <n v="2591358009"/>
    <n v="754335"/>
    <n v="2.086845227"/>
    <n v="76.788401690000001"/>
    <n v="147"/>
    <n v="661686896.30799985"/>
    <n v="17.62"/>
  </r>
  <r>
    <x v="28"/>
    <x v="28"/>
    <x v="3"/>
    <n v="901878176.74000013"/>
    <n v="2583335722"/>
    <n v="759759"/>
    <n v="3.5018718569999998"/>
    <n v="79.739720329999997"/>
    <n v="145"/>
    <n v="778286134.45899999"/>
    <n v="15.88"/>
  </r>
  <r>
    <x v="28"/>
    <x v="28"/>
    <x v="4"/>
    <n v="888287306.91199994"/>
    <n v="2735683570"/>
    <n v="764824"/>
    <n v="5.7551485119999999"/>
    <n v="76.123516699999996"/>
    <n v="142"/>
    <n v="901878176.74000013"/>
    <n v="-1.51"/>
  </r>
  <r>
    <x v="28"/>
    <x v="28"/>
    <x v="5"/>
    <n v="559876952.495"/>
    <n v="2457604334"/>
    <n v="770006"/>
    <n v="-10.218397420000001"/>
    <n v="71.830351039999996"/>
    <n v="141"/>
    <n v="888287306.91199994"/>
    <n v="-36.97"/>
  </r>
  <r>
    <x v="28"/>
    <x v="28"/>
    <x v="7"/>
    <n v="875764012.62800014"/>
    <n v="2898227744"/>
    <n v="780914"/>
    <n v="5.2138678379999996"/>
    <n v="85.571216519999993"/>
    <n v="139"/>
    <n v="559876952.495"/>
    <n v="56.42"/>
  </r>
  <r>
    <x v="28"/>
    <x v="28"/>
    <x v="8"/>
    <n v="871251760.67499995"/>
    <n v="3012896790"/>
    <n v="786385"/>
    <n v="4.6321570300000001"/>
    <n v="81.736627850000005"/>
    <n v="137"/>
    <n v="875764012.62800014"/>
    <n v="-0.52"/>
  </r>
  <r>
    <x v="29"/>
    <x v="29"/>
    <x v="0"/>
    <n v="12659493236.90601"/>
    <n v="13530748845"/>
    <n v="2203273"/>
    <n v="-4.851325074"/>
    <n v="112.900891"/>
    <n v="91"/>
    <m/>
    <m/>
  </r>
  <r>
    <x v="29"/>
    <x v="29"/>
    <x v="1"/>
    <n v="14641411657"/>
    <n v="15082637184"/>
    <n v="2234776"/>
    <n v="7.2044247590000001"/>
    <n v="100.4646898"/>
    <n v="87"/>
    <n v="12659493236.90601"/>
    <n v="15.66"/>
  </r>
  <r>
    <x v="29"/>
    <x v="29"/>
    <x v="2"/>
    <n v="11925822520.800003"/>
    <n v="16105155857"/>
    <n v="2266747"/>
    <n v="4.1143785639999999"/>
    <n v="81.923951380000005"/>
    <n v="92"/>
    <n v="14641411657"/>
    <n v="-18.55"/>
  </r>
  <r>
    <x v="29"/>
    <x v="29"/>
    <x v="3"/>
    <n v="13435474450.432007"/>
    <n v="17031943186"/>
    <n v="2299141"/>
    <n v="4.1886923720000002"/>
    <n v="87.455103989999998"/>
    <n v="93"/>
    <n v="11925822520.800003"/>
    <n v="12.66"/>
  </r>
  <r>
    <x v="29"/>
    <x v="29"/>
    <x v="4"/>
    <n v="10625814021.289"/>
    <n v="16725908149"/>
    <n v="2332083"/>
    <n v="3.0317733950000001"/>
    <n v="83.092981359999996"/>
    <n v="97"/>
    <n v="13435474450.432007"/>
    <n v="-20.91"/>
  </r>
  <r>
    <x v="29"/>
    <x v="29"/>
    <x v="5"/>
    <n v="8752912475.6839981"/>
    <n v="14960251608"/>
    <n v="2365894"/>
    <n v="-8.7288824399999996"/>
    <n v="80.325034489999993"/>
    <n v="101"/>
    <n v="10625814021.289"/>
    <n v="-17.63"/>
  </r>
  <r>
    <x v="29"/>
    <x v="29"/>
    <x v="6"/>
    <n v="14949783316.002993"/>
    <n v="18750182236"/>
    <n v="2401441"/>
    <n v="11.91627244"/>
    <n v="91.047849740000004"/>
    <n v="92"/>
    <n v="8752912475.6839981"/>
    <n v="70.8"/>
  </r>
  <r>
    <x v="29"/>
    <x v="29"/>
    <x v="7"/>
    <n v="16829627191.847994"/>
    <n v="20321150599"/>
    <n v="2439892"/>
    <n v="5.4860170640000003"/>
    <n v="86.069603990000005"/>
    <n v="92"/>
    <n v="14949783316.002993"/>
    <n v="12.57"/>
  </r>
  <r>
    <x v="29"/>
    <x v="29"/>
    <x v="8"/>
    <n v="11005433047.508999"/>
    <n v="19413614555"/>
    <n v="2480244"/>
    <n v="3.2080681219999998"/>
    <n v="70.112832729999994"/>
    <n v="103"/>
    <n v="16829627191.847994"/>
    <n v="-34.61"/>
  </r>
  <r>
    <x v="30"/>
    <x v="30"/>
    <x v="0"/>
    <n v="193707363"/>
    <n v="1695825714"/>
    <n v="4629320"/>
    <n v="4.3371210299999996"/>
    <n v="53.145147780000002"/>
    <n v="153"/>
    <m/>
    <m/>
  </r>
  <r>
    <x v="30"/>
    <x v="30"/>
    <x v="1"/>
    <n v="176902504"/>
    <n v="1825018145"/>
    <n v="4713663"/>
    <n v="4.7503168410000001"/>
    <n v="50.530644019999997"/>
    <n v="158"/>
    <n v="193707363"/>
    <n v="-8.68"/>
  </r>
  <r>
    <x v="30"/>
    <x v="30"/>
    <x v="2"/>
    <n v="393981874.43000007"/>
    <n v="2072349973"/>
    <n v="4793511"/>
    <n v="4.5272782129999998"/>
    <n v="57.143545709999998"/>
    <n v="150"/>
    <n v="176902504"/>
    <n v="122.71"/>
  </r>
  <r>
    <x v="30"/>
    <x v="30"/>
    <x v="3"/>
    <n v="108528196"/>
    <n v="2220979146"/>
    <n v="4878657"/>
    <n v="3.7894435930000001"/>
    <n v="49.660200000000003"/>
    <n v="157"/>
    <n v="393981874.43000007"/>
    <n v="-72.45"/>
  </r>
  <r>
    <x v="30"/>
    <x v="30"/>
    <x v="4"/>
    <n v="247939512.51300001"/>
    <n v="2221301351"/>
    <n v="4944703"/>
    <n v="3.1"/>
    <n v="50.065800000000003"/>
    <n v="151"/>
    <n v="108528196"/>
    <n v="128.46"/>
  </r>
  <r>
    <x v="30"/>
    <x v="30"/>
    <x v="5"/>
    <n v="81064340.078999996"/>
    <n v="2326720900"/>
    <n v="5026628"/>
    <n v="0.899999997"/>
    <n v="49.52102"/>
    <n v="152"/>
    <n v="247939512.51300001"/>
    <n v="-67.3"/>
  </r>
  <r>
    <x v="30"/>
    <x v="30"/>
    <x v="6"/>
    <n v="115451005.854"/>
    <n v="2516498412"/>
    <n v="5112100"/>
    <n v="0.98291999600000002"/>
    <n v="44.159120000000001"/>
    <n v="150"/>
    <n v="81064340.078999996"/>
    <n v="42.42"/>
  </r>
  <r>
    <x v="30"/>
    <x v="30"/>
    <x v="7"/>
    <n v="231082812.70999992"/>
    <n v="2382618615"/>
    <n v="5098039"/>
    <n v="0.45390187599999998"/>
    <n v="45.23357"/>
    <n v="147"/>
    <n v="115451005.854"/>
    <n v="100.16"/>
  </r>
  <r>
    <x v="30"/>
    <x v="30"/>
    <x v="8"/>
    <n v="226569340.49799997"/>
    <n v="2555492086"/>
    <n v="5152421"/>
    <n v="0.69996840100000002"/>
    <n v="43.480570210000003"/>
    <n v="145"/>
    <n v="231082812.70999992"/>
    <n v="-1.95"/>
  </r>
  <r>
    <x v="30"/>
    <x v="30"/>
    <x v="9"/>
    <n v="409007644.56"/>
    <n v="2751494281"/>
    <n v="5330690"/>
    <n v="1.4999999980000001"/>
    <n v="46.431899979999997"/>
    <n v="122"/>
    <n v="226569340.49799997"/>
    <n v="80.52"/>
  </r>
  <r>
    <x v="31"/>
    <x v="31"/>
    <x v="0"/>
    <n v="817394647207.02051"/>
    <n v="1560000000000"/>
    <n v="35704498"/>
    <n v="0.64997101499999999"/>
    <n v="66.164835580000002"/>
    <n v="10"/>
    <m/>
    <m/>
  </r>
  <r>
    <x v="31"/>
    <x v="31"/>
    <x v="1"/>
    <n v="777706283879.42493"/>
    <n v="1530000000000"/>
    <n v="36110803"/>
    <n v="1.03855092"/>
    <n v="65.363619979999996"/>
    <n v="10"/>
    <n v="817394647207.02051"/>
    <n v="-4.8600000000000003"/>
  </r>
  <r>
    <x v="31"/>
    <x v="31"/>
    <x v="2"/>
    <n v="840148764379.62012"/>
    <n v="1650000000000"/>
    <n v="36545075"/>
    <n v="3.0338349180000002"/>
    <n v="65.100908790000005"/>
    <n v="10"/>
    <n v="777706283879.42493"/>
    <n v="8.0299999999999994"/>
  </r>
  <r>
    <x v="31"/>
    <x v="31"/>
    <x v="3"/>
    <n v="900784792937.96814"/>
    <n v="1730000000000"/>
    <n v="37072620"/>
    <n v="2.7429634140000001"/>
    <n v="66.599826269999994"/>
    <n v="12"/>
    <n v="840148764379.62012"/>
    <n v="7.22"/>
  </r>
  <r>
    <x v="31"/>
    <x v="31"/>
    <x v="4"/>
    <n v="891026211855.16174"/>
    <n v="1740000000000"/>
    <n v="37618495"/>
    <n v="1.908431939"/>
    <n v="66.171342269999997"/>
    <n v="11"/>
    <n v="900784792937.96814"/>
    <n v="-1.08"/>
  </r>
  <r>
    <x v="31"/>
    <x v="31"/>
    <x v="5"/>
    <n v="776346741202.42371"/>
    <n v="1660000000000"/>
    <n v="38028638"/>
    <n v="-5.0382334279999998"/>
    <n v="61.156688340000002"/>
    <n v="11"/>
    <n v="891026211855.16174"/>
    <n v="-12.87"/>
  </r>
  <r>
    <x v="31"/>
    <x v="31"/>
    <x v="6"/>
    <n v="1003246933345.071"/>
    <n v="2020000000000"/>
    <n v="38239864"/>
    <n v="5.95052805"/>
    <n v="62.246861260000003"/>
    <n v="9"/>
    <n v="776346741202.42371"/>
    <n v="29.23"/>
  </r>
  <r>
    <x v="31"/>
    <x v="31"/>
    <x v="7"/>
    <n v="1199883615332.5637"/>
    <n v="2200000000000"/>
    <n v="38950132"/>
    <n v="4.6954198500000004"/>
    <n v="66.953162070000005"/>
    <n v="9"/>
    <n v="1003246933345.071"/>
    <n v="19.600000000000001"/>
  </r>
  <r>
    <x v="31"/>
    <x v="31"/>
    <x v="8"/>
    <n v="1134689076006.9451"/>
    <n v="2200000000000"/>
    <n v="40049088"/>
    <n v="1.9530855220000001"/>
    <n v="66.574542500000007"/>
    <n v="11"/>
    <n v="1199883615332.5637"/>
    <n v="-5.43"/>
  </r>
  <r>
    <x v="31"/>
    <x v="31"/>
    <x v="9"/>
    <n v="1138571679556.626"/>
    <n v="2270000000000"/>
    <n v="41262329"/>
    <n v="2.0462660540000002"/>
    <n v="65.121498729999999"/>
    <n v="10"/>
    <n v="1134689076006.9451"/>
    <n v="0.34"/>
  </r>
  <r>
    <x v="32"/>
    <x v="32"/>
    <x v="0"/>
    <n v="124236440752.66396"/>
    <n v="242000000000"/>
    <n v="18047625"/>
    <n v="2.1519425000000001"/>
    <n v="59.349110570000001"/>
    <n v="37"/>
    <m/>
    <m/>
  </r>
  <r>
    <x v="32"/>
    <x v="32"/>
    <x v="1"/>
    <n v="121537380909.20804"/>
    <n v="249000000000"/>
    <n v="18267221"/>
    <n v="1.7530387489999999"/>
    <n v="56.057860310000002"/>
    <n v="37"/>
    <n v="124236440752.66396"/>
    <n v="-2.17"/>
  </r>
  <r>
    <x v="32"/>
    <x v="32"/>
    <x v="2"/>
    <n v="137807157408.55994"/>
    <n v="276000000000"/>
    <n v="18558868"/>
    <n v="1.3576953730000001"/>
    <n v="56.026158639999998"/>
    <n v="37"/>
    <n v="121537380909.20804"/>
    <n v="13.39"/>
  </r>
  <r>
    <x v="32"/>
    <x v="32"/>
    <x v="3"/>
    <n v="149675962694.82901"/>
    <n v="296000000000"/>
    <n v="18893191"/>
    <n v="3.9900294779999999"/>
    <n v="58.177051300000002"/>
    <n v="39"/>
    <n v="137807157408.55994"/>
    <n v="8.61"/>
  </r>
  <r>
    <x v="32"/>
    <x v="32"/>
    <x v="4"/>
    <n v="137584016366.16595"/>
    <n v="278000000000"/>
    <n v="19197744"/>
    <n v="0.64422340300000003"/>
    <n v="57.606915790000002"/>
    <n v="39"/>
    <n v="149675962694.82901"/>
    <n v="-8.08"/>
  </r>
  <r>
    <x v="32"/>
    <x v="32"/>
    <x v="5"/>
    <n v="148038725709.10101"/>
    <n v="254000000000"/>
    <n v="19370624"/>
    <n v="-6.1396969410000004"/>
    <n v="58.168769390000001"/>
    <n v="35"/>
    <n v="137584016366.16595"/>
    <n v="7.6"/>
  </r>
  <r>
    <x v="32"/>
    <x v="32"/>
    <x v="6"/>
    <n v="189353618412.56693"/>
    <n v="316000000000"/>
    <n v="19456334"/>
    <n v="11.33740324"/>
    <n v="64.839992480000006"/>
    <n v="35"/>
    <n v="148038725709.10101"/>
    <n v="27.91"/>
  </r>
  <r>
    <x v="32"/>
    <x v="32"/>
    <x v="7"/>
    <n v="197114010338.96603"/>
    <n v="301000000000"/>
    <n v="19553036"/>
    <n v="2.0639186430000001"/>
    <n v="75.233419749999996"/>
    <n v="36"/>
    <n v="189353618412.56693"/>
    <n v="4.0999999999999996"/>
  </r>
  <r>
    <x v="32"/>
    <x v="32"/>
    <x v="8"/>
    <n v="185910550302.03018"/>
    <n v="336000000000"/>
    <n v="19658835"/>
    <n v="0.67702483199999997"/>
    <n v="60.676644469999999"/>
    <n v="36"/>
    <n v="197114010338.96603"/>
    <n v="-5.68"/>
  </r>
  <r>
    <x v="32"/>
    <x v="32"/>
    <x v="9"/>
    <n v="197756546584.26398"/>
    <n v="329000000000"/>
    <n v="19764771"/>
    <n v="2.8051263710000001"/>
    <n v="63.957746530000001"/>
    <n v="33"/>
    <n v="185910550302.03018"/>
    <n v="6.37"/>
  </r>
  <r>
    <x v="33"/>
    <x v="33"/>
    <x v="0"/>
    <n v="4546936448226"/>
    <n v="11300000000000"/>
    <n v="1379860000"/>
    <n v="6.9816225559999996"/>
    <n v="38.697184839999998"/>
    <n v="1"/>
    <m/>
    <m/>
  </r>
  <r>
    <x v="33"/>
    <x v="33"/>
    <x v="1"/>
    <n v="4195274343790"/>
    <n v="11500000000000"/>
    <n v="1387790000"/>
    <n v="6.7736886869999999"/>
    <n v="36.177170689999997"/>
    <n v="1"/>
    <n v="4546936448226"/>
    <n v="-7.73"/>
  </r>
  <r>
    <x v="33"/>
    <x v="33"/>
    <x v="2"/>
    <n v="4526741008602"/>
    <n v="12500000000000"/>
    <n v="1396215000"/>
    <n v="6.8912391660000001"/>
    <n v="36.950852619999999"/>
    <n v="1"/>
    <n v="4195274343790"/>
    <n v="7.9"/>
  </r>
  <r>
    <x v="33"/>
    <x v="33"/>
    <x v="3"/>
    <n v="4972879439606"/>
    <n v="14100000000000"/>
    <n v="1402760000"/>
    <n v="6.7578061419999997"/>
    <n v="36.894384389999999"/>
    <n v="1"/>
    <n v="4526741008602"/>
    <n v="9.86"/>
  </r>
  <r>
    <x v="33"/>
    <x v="33"/>
    <x v="4"/>
    <n v="4998413987732"/>
    <n v="14600000000000"/>
    <n v="1407745000"/>
    <n v="6.0673780629999996"/>
    <n v="35.454435029999999"/>
    <n v="1"/>
    <n v="4972879439606"/>
    <n v="0.51"/>
  </r>
  <r>
    <x v="33"/>
    <x v="33"/>
    <x v="5"/>
    <n v="5178196706596"/>
    <n v="15000000000000"/>
    <n v="1411100000"/>
    <n v="2.339503852"/>
    <n v="34.337778470000003"/>
    <n v="1"/>
    <n v="4998413987732"/>
    <n v="3.6"/>
  </r>
  <r>
    <x v="33"/>
    <x v="33"/>
    <x v="6"/>
    <n v="6632044267970"/>
    <n v="18200000000000"/>
    <n v="1412360000"/>
    <n v="8.5703841500000006"/>
    <n v="36.642878959999997"/>
    <n v="1"/>
    <n v="5178196706596"/>
    <n v="28.08"/>
  </r>
  <r>
    <x v="33"/>
    <x v="33"/>
    <x v="7"/>
    <n v="7187202871204"/>
    <n v="18300000000000"/>
    <n v="1412175000"/>
    <n v="3.1338543840000002"/>
    <n v="37.512555679999998"/>
    <n v="1"/>
    <n v="6632044267970"/>
    <n v="8.3699999999999992"/>
  </r>
  <r>
    <x v="33"/>
    <x v="33"/>
    <x v="8"/>
    <n v="6759495669768"/>
    <n v="18300000000000"/>
    <n v="1410710000"/>
    <n v="5.416003345"/>
    <n v="36.739149689999998"/>
    <n v="1"/>
    <n v="7187202871204"/>
    <n v="-5.95"/>
  </r>
  <r>
    <x v="33"/>
    <x v="33"/>
    <x v="9"/>
    <n v="7153086587684"/>
    <n v="18700000000000"/>
    <n v="1408975000"/>
    <n v="4.9583037880000003"/>
    <n v="37.956060139999998"/>
    <n v="1"/>
    <n v="6759495669768"/>
    <n v="5.82"/>
  </r>
  <r>
    <x v="34"/>
    <x v="34"/>
    <x v="0"/>
    <n v="8105286582"/>
    <n v="32210233020"/>
    <n v="22763414"/>
    <n v="5.6669529870000002"/>
    <n v="45.540146829999998"/>
    <n v="103"/>
    <m/>
    <m/>
  </r>
  <r>
    <x v="34"/>
    <x v="34"/>
    <x v="1"/>
    <n v="4260899007"/>
    <n v="33814337044"/>
    <n v="23454161"/>
    <n v="4.5357942370000002"/>
    <n v="40.638631529999998"/>
    <n v="118"/>
    <n v="8105286582"/>
    <n v="-47.43"/>
  </r>
  <r>
    <x v="34"/>
    <x v="34"/>
    <x v="2"/>
    <n v="6528370343.3250008"/>
    <n v="36098547033"/>
    <n v="24128601"/>
    <n v="3.5411765489999998"/>
    <n v="39.199021610000003"/>
    <n v="110"/>
    <n v="4260899007"/>
    <n v="53.22"/>
  </r>
  <r>
    <x v="34"/>
    <x v="34"/>
    <x v="3"/>
    <n v="7609584117.8030014"/>
    <n v="39955552190"/>
    <n v="24806383"/>
    <n v="3.9555142390000002"/>
    <n v="40.587602879999999"/>
    <n v="106"/>
    <n v="6528370343.3250008"/>
    <n v="16.559999999999999"/>
  </r>
  <r>
    <x v="34"/>
    <x v="34"/>
    <x v="4"/>
    <n v="8153136122.166997"/>
    <n v="39667757528"/>
    <n v="25506095"/>
    <n v="3.4750599819999999"/>
    <n v="43.378513249999997"/>
    <n v="106"/>
    <n v="7609584117.8030014"/>
    <n v="7.14"/>
  </r>
  <r>
    <x v="34"/>
    <x v="34"/>
    <x v="5"/>
    <n v="6305706126.4599962"/>
    <n v="40773241177"/>
    <n v="26210558"/>
    <n v="0.25993291600000001"/>
    <n v="33.738831359999999"/>
    <n v="110"/>
    <n v="8153136122.166997"/>
    <n v="-22.66"/>
  </r>
  <r>
    <x v="34"/>
    <x v="34"/>
    <x v="6"/>
    <n v="8588111952.7139978"/>
    <n v="45011937347"/>
    <n v="26915758"/>
    <n v="3.3388574719999999"/>
    <n v="36.730834719999997"/>
    <n v="105"/>
    <n v="6305706126.4599962"/>
    <n v="36.200000000000003"/>
  </r>
  <r>
    <x v="34"/>
    <x v="34"/>
    <x v="7"/>
    <n v="11245971372.645006"/>
    <n v="44347206073"/>
    <n v="27632771"/>
    <n v="3.7367840060000002"/>
    <n v="41.286602559999999"/>
    <n v="102"/>
    <n v="8588111952.7139978"/>
    <n v="30.95"/>
  </r>
  <r>
    <x v="34"/>
    <x v="34"/>
    <x v="8"/>
    <n v="9935023791.960001"/>
    <n v="48814501547"/>
    <n v="28372687"/>
    <n v="3.347562908"/>
    <n v="37.890332119999997"/>
    <n v="106"/>
    <n v="11245971372.645006"/>
    <n v="-11.66"/>
  </r>
  <r>
    <x v="35"/>
    <x v="35"/>
    <x v="0"/>
    <n v="17370104445.732002"/>
    <n v="40179574490"/>
    <n v="81035531"/>
    <n v="6.3597375620000003"/>
    <n v="57.753923620000002"/>
    <n v="83"/>
    <m/>
    <m/>
  </r>
  <r>
    <x v="35"/>
    <x v="35"/>
    <x v="1"/>
    <n v="14385693517.501997"/>
    <n v="38600224214"/>
    <n v="83956415"/>
    <n v="0.39383279799999998"/>
    <n v="68.008334289999993"/>
    <n v="89"/>
    <n v="17370104445.732002"/>
    <n v="-17.18"/>
  </r>
  <r>
    <x v="35"/>
    <x v="35"/>
    <x v="2"/>
    <n v="24591416887.221001"/>
    <n v="37537521566"/>
    <n v="87083398"/>
    <n v="4.2412104729999998"/>
    <n v="65.918452529999996"/>
    <n v="74"/>
    <n v="14385693517.501997"/>
    <n v="70.94"/>
  </r>
  <r>
    <x v="35"/>
    <x v="35"/>
    <x v="3"/>
    <n v="40008569374.188995"/>
    <n v="46659954092"/>
    <n v="90047644"/>
    <n v="6.0716887059999998"/>
    <n v="72.559173909999998"/>
    <n v="64"/>
    <n v="24591416887.221001"/>
    <n v="62.69"/>
  </r>
  <r>
    <x v="35"/>
    <x v="35"/>
    <x v="4"/>
    <n v="26764598338.611015"/>
    <n v="46845900350"/>
    <n v="92947442"/>
    <n v="0.55538429499999997"/>
    <n v="60.914352370000003"/>
    <n v="75"/>
    <n v="40008569374.188995"/>
    <n v="-33.1"/>
  </r>
  <r>
    <x v="35"/>
    <x v="35"/>
    <x v="5"/>
    <n v="28460494511.750008"/>
    <n v="46691989749"/>
    <n v="95989998"/>
    <n v="0.77542799200000001"/>
    <n v="61.028470769999998"/>
    <n v="68"/>
    <n v="26764598338.611015"/>
    <n v="6.34"/>
  </r>
  <r>
    <x v="35"/>
    <x v="35"/>
    <x v="6"/>
    <n v="42824833212.724983"/>
    <n v="59067289574"/>
    <n v="99148932"/>
    <n v="6.4296100559999996"/>
    <n v="75.387052389999994"/>
    <n v="66"/>
    <n v="28460494511.750008"/>
    <n v="50.47"/>
  </r>
  <r>
    <x v="35"/>
    <x v="35"/>
    <x v="7"/>
    <n v="31344958806.821014"/>
    <n v="70422346142"/>
    <n v="102396968"/>
    <n v="9.3111694410000005"/>
    <n v="85.822169189999997"/>
    <n v="73"/>
    <n v="42824833212.724983"/>
    <n v="-26.81"/>
  </r>
  <r>
    <x v="35"/>
    <x v="35"/>
    <x v="8"/>
    <n v="55453658745.677994"/>
    <n v="69843655425"/>
    <n v="105789731"/>
    <n v="8.5334898320000008"/>
    <n v="86.740058180000005"/>
    <n v="61"/>
    <n v="31344958806.821014"/>
    <n v="76.91"/>
  </r>
  <r>
    <x v="36"/>
    <x v="36"/>
    <x v="0"/>
    <n v="17245900891.187"/>
    <n v="12434793867"/>
    <n v="5097581"/>
    <n v="0.41519306099999997"/>
    <n v="117.3207216"/>
    <n v="84"/>
    <m/>
    <m/>
  </r>
  <r>
    <x v="36"/>
    <x v="36"/>
    <x v="1"/>
    <n v="15801184824.904007"/>
    <n v="10931328151"/>
    <n v="5222536"/>
    <n v="-8.6852434390000006"/>
    <n v="122.25981830000001"/>
    <n v="84"/>
    <n v="17245900891.187"/>
    <n v="-8.3800000000000008"/>
  </r>
  <r>
    <x v="36"/>
    <x v="36"/>
    <x v="2"/>
    <n v="16503968776.66"/>
    <n v="11834473039"/>
    <n v="5351011"/>
    <n v="-5.594773719"/>
    <n v="94.617095259999999"/>
    <n v="86"/>
    <n v="15801184824.904007"/>
    <n v="4.45"/>
  </r>
  <r>
    <x v="36"/>
    <x v="36"/>
    <x v="3"/>
    <n v="22310058649.666996"/>
    <n v="14773900289"/>
    <n v="5483118"/>
    <n v="-2.3043178009999998"/>
    <n v="100.5832168"/>
    <n v="78"/>
    <n v="16503968776.66"/>
    <n v="35.18"/>
  </r>
  <r>
    <x v="36"/>
    <x v="36"/>
    <x v="4"/>
    <n v="11151884640.395994"/>
    <n v="13976637780"/>
    <n v="5616661"/>
    <n v="1.12447392"/>
    <n v="91.575754790000005"/>
    <n v="96"/>
    <n v="22310058649.666996"/>
    <n v="-50.01"/>
  </r>
  <r>
    <x v="36"/>
    <x v="36"/>
    <x v="5"/>
    <n v="9786184973.4999981"/>
    <n v="11468687464"/>
    <n v="5752791"/>
    <n v="-6.26777228"/>
    <n v="69.306624720000002"/>
    <n v="96"/>
    <n v="11151884640.395994"/>
    <n v="-12.25"/>
  </r>
  <r>
    <x v="36"/>
    <x v="36"/>
    <x v="6"/>
    <n v="4724460322.0199976"/>
    <n v="14825690211"/>
    <n v="5892183"/>
    <n v="1.0150703700000001"/>
    <n v="85.546203160000005"/>
    <n v="121"/>
    <n v="9786184973.4999981"/>
    <n v="-51.72"/>
  </r>
  <r>
    <x v="36"/>
    <x v="36"/>
    <x v="7"/>
    <n v="17739982931.686996"/>
    <n v="15817030155"/>
    <n v="6035104"/>
    <n v="1.4753561319999999"/>
    <n v="98.161336689999999"/>
    <n v="90"/>
    <n v="4724460322.0199976"/>
    <n v="275.49"/>
  </r>
  <r>
    <x v="36"/>
    <x v="36"/>
    <x v="8"/>
    <n v="18930065909.382996"/>
    <n v="15321055823"/>
    <n v="6182885"/>
    <n v="1.9068642629999999"/>
    <n v="96.210394399999998"/>
    <n v="85"/>
    <n v="17739982931.686996"/>
    <n v="6.71"/>
  </r>
  <r>
    <x v="37"/>
    <x v="37"/>
    <x v="0"/>
    <n v="71381533185"/>
    <n v="293000000000"/>
    <n v="46969940"/>
    <n v="2.9559013749999998"/>
    <n v="38.360764119999999"/>
    <n v="50"/>
    <m/>
    <m/>
  </r>
  <r>
    <x v="37"/>
    <x v="37"/>
    <x v="1"/>
    <n v="62089982489"/>
    <n v="283000000000"/>
    <n v="47437512"/>
    <n v="2.0873825020000001"/>
    <n v="36.202652980000003"/>
    <n v="52"/>
    <n v="71381533185"/>
    <n v="-13.02"/>
  </r>
  <r>
    <x v="37"/>
    <x v="37"/>
    <x v="2"/>
    <n v="75532642120.060043"/>
    <n v="312000000000"/>
    <n v="48131078"/>
    <n v="1.359360868"/>
    <n v="35.282914939999998"/>
    <n v="52"/>
    <n v="62089982489"/>
    <n v="21.65"/>
  </r>
  <r>
    <x v="37"/>
    <x v="37"/>
    <x v="3"/>
    <n v="83663040441.579971"/>
    <n v="334000000000"/>
    <n v="49024465"/>
    <n v="2.5643242829999999"/>
    <n v="36.5347528"/>
    <n v="49"/>
    <n v="75532642120.060043"/>
    <n v="10.76"/>
  </r>
  <r>
    <x v="37"/>
    <x v="37"/>
    <x v="4"/>
    <n v="78978718923.980011"/>
    <n v="323000000000"/>
    <n v="49907985"/>
    <n v="3.186855392"/>
    <n v="37.55853398"/>
    <n v="50"/>
    <n v="83663040441.579971"/>
    <n v="-5.6"/>
  </r>
  <r>
    <x v="37"/>
    <x v="37"/>
    <x v="5"/>
    <n v="62111621319.38002"/>
    <n v="270000000000"/>
    <n v="50629997"/>
    <n v="-7.1859141380000002"/>
    <n v="34.055570969999998"/>
    <n v="55"/>
    <n v="78978718923.980011"/>
    <n v="-21.36"/>
  </r>
  <r>
    <x v="37"/>
    <x v="37"/>
    <x v="6"/>
    <n v="82779978095.5"/>
    <n v="319000000000"/>
    <n v="51188173"/>
    <n v="10.801198189999999"/>
    <n v="40.059146390000002"/>
    <n v="54"/>
    <n v="62111621319.38002"/>
    <n v="33.28"/>
  </r>
  <r>
    <x v="37"/>
    <x v="37"/>
    <x v="7"/>
    <n v="113820273295.43997"/>
    <n v="346000000000"/>
    <n v="51737944"/>
    <n v="7.3282772940000003"/>
    <n v="48.28265511"/>
    <n v="49"/>
    <n v="82779978095.5"/>
    <n v="37.5"/>
  </r>
  <r>
    <x v="37"/>
    <x v="37"/>
    <x v="8"/>
    <n v="99538228864.760025"/>
    <n v="367000000000"/>
    <n v="52321152"/>
    <n v="0.84181955600000002"/>
    <n v="40.133316530000002"/>
    <n v="49"/>
    <n v="113820273295.43997"/>
    <n v="-12.55"/>
  </r>
  <r>
    <x v="37"/>
    <x v="37"/>
    <x v="9"/>
    <n v="99113042368.460098"/>
    <n v="421000000000"/>
    <n v="52886363"/>
    <n v="1.493307288"/>
    <n v="36.317993880000003"/>
    <n v="49"/>
    <n v="99538228864.760025"/>
    <n v="-0.43"/>
  </r>
  <r>
    <x v="38"/>
    <x v="38"/>
    <x v="0"/>
    <n v="32014926.561000004"/>
    <n v="966029600.89999998"/>
    <n v="726682"/>
    <n v="1.1473563229999999"/>
    <n v="37.804952069999999"/>
    <n v="164"/>
    <m/>
    <m/>
  </r>
  <r>
    <x v="38"/>
    <x v="38"/>
    <x v="1"/>
    <n v="66925501.343999997"/>
    <n v="1012835493"/>
    <n v="741741"/>
    <n v="3.3204465550000002"/>
    <n v="37.132879719999998"/>
    <n v="166"/>
    <n v="32014926.561000004"/>
    <n v="109.04"/>
  </r>
  <r>
    <x v="38"/>
    <x v="38"/>
    <x v="2"/>
    <n v="77449097.745999992"/>
    <n v="1077439757"/>
    <n v="756669"/>
    <n v="3.8157628749999999"/>
    <n v="40.164358919999998"/>
    <n v="164"/>
    <n v="66925501.343999997"/>
    <n v="15.72"/>
  </r>
  <r>
    <x v="38"/>
    <x v="38"/>
    <x v="3"/>
    <n v="91942475.170000017"/>
    <n v="1188797449"/>
    <n v="771590"/>
    <n v="3.6424511470000001"/>
    <n v="42.996153339999999"/>
    <n v="159"/>
    <n v="77449097.745999992"/>
    <n v="18.71"/>
  </r>
  <r>
    <x v="38"/>
    <x v="38"/>
    <x v="4"/>
    <n v="97924460.743000045"/>
    <n v="1195019532"/>
    <n v="786578"/>
    <n v="1.760780236"/>
    <n v="42.268078539999998"/>
    <n v="156"/>
    <n v="91942475.170000017"/>
    <n v="6.51"/>
  </r>
  <r>
    <x v="38"/>
    <x v="38"/>
    <x v="5"/>
    <n v="41366202.616999991"/>
    <n v="1225039197"/>
    <n v="802163"/>
    <n v="-0.19555684200000001"/>
    <n v="33.729934620000002"/>
    <n v="157"/>
    <n v="97924460.743000045"/>
    <n v="-57.76"/>
  </r>
  <r>
    <x v="38"/>
    <x v="38"/>
    <x v="6"/>
    <n v="68444557.366000012"/>
    <n v="1299039312"/>
    <n v="818174"/>
    <n v="2.0424523830000001"/>
    <n v="42.067723649999998"/>
    <n v="153"/>
    <n v="41366202.616999991"/>
    <n v="65.459999999999994"/>
  </r>
  <r>
    <x v="38"/>
    <x v="38"/>
    <x v="7"/>
    <n v="109275831.27700001"/>
    <n v="1279542249"/>
    <n v="834188"/>
    <n v="2.453811746"/>
    <n v="50.388770489999999"/>
    <n v="151"/>
    <n v="68444557.366000012"/>
    <n v="59.66"/>
  </r>
  <r>
    <x v="38"/>
    <x v="38"/>
    <x v="8"/>
    <n v="57059595.518999994"/>
    <n v="1465977684"/>
    <n v="850387"/>
    <n v="3.1866131800000002"/>
    <n v="44.439863449999997"/>
    <n v="153"/>
    <n v="109275831.27700001"/>
    <n v="-47.78"/>
  </r>
  <r>
    <x v="39"/>
    <x v="39"/>
    <x v="0"/>
    <n v="133658554.45299996"/>
    <n v="1749857620"/>
    <n v="512394"/>
    <n v="0.93602650799999998"/>
    <n v="94.008487020000004"/>
    <n v="158"/>
    <m/>
    <m/>
  </r>
  <r>
    <x v="39"/>
    <x v="39"/>
    <x v="1"/>
    <n v="120722162"/>
    <n v="1849789986"/>
    <n v="512554"/>
    <n v="4.2807148269999997"/>
    <n v="95.378139860000005"/>
    <n v="160"/>
    <n v="133658554.45299996"/>
    <n v="-9.68"/>
  </r>
  <r>
    <x v="39"/>
    <x v="39"/>
    <x v="2"/>
    <n v="99870605.077999994"/>
    <n v="1996741540"/>
    <n v="512893"/>
    <n v="4.55131481"/>
    <n v="100.0521339"/>
    <n v="161"/>
    <n v="120722162"/>
    <n v="-17.27"/>
  </r>
  <r>
    <x v="39"/>
    <x v="39"/>
    <x v="3"/>
    <n v="150541132.12"/>
    <n v="2205099507"/>
    <n v="513415"/>
    <n v="3.706964583"/>
    <n v="105.8675241"/>
    <n v="155"/>
    <n v="99870605.077999994"/>
    <n v="50.74"/>
  </r>
  <r>
    <x v="39"/>
    <x v="39"/>
    <x v="4"/>
    <n v="689454263.36000013"/>
    <n v="2252177124"/>
    <n v="514104"/>
    <n v="6.9478263409999999"/>
    <n v="103.60265649999999"/>
    <n v="144"/>
    <n v="150541132.12"/>
    <n v="357.98"/>
  </r>
  <r>
    <x v="39"/>
    <x v="39"/>
    <x v="5"/>
    <n v="106181586.78300001"/>
    <n v="1821565614"/>
    <n v="514679"/>
    <n v="-20.805275900000002"/>
    <n v="78.393454590000005"/>
    <n v="151"/>
    <n v="689454263.36000013"/>
    <n v="-84.6"/>
  </r>
  <r>
    <x v="39"/>
    <x v="39"/>
    <x v="6"/>
    <n v="469823995.58200002"/>
    <n v="2051842619"/>
    <n v="516649"/>
    <n v="7.0335301069999998"/>
    <n v="77.455058629999996"/>
    <n v="144"/>
    <n v="106181586.78300001"/>
    <n v="342.47"/>
  </r>
  <r>
    <x v="39"/>
    <x v="39"/>
    <x v="7"/>
    <n v="619611673.98399973"/>
    <n v="2247003344"/>
    <n v="519741"/>
    <n v="15.84367568"/>
    <n v="96.994136850000004"/>
    <n v="142"/>
    <n v="469823995.58200002"/>
    <n v="31.88"/>
  </r>
  <r>
    <x v="39"/>
    <x v="39"/>
    <x v="8"/>
    <n v="563368134.76599991"/>
    <n v="2504525538"/>
    <n v="522331"/>
    <n v="4.7947613909999998"/>
    <n v="95.032494330000006"/>
    <n v="138"/>
    <n v="619611673.98399973"/>
    <n v="-9.08"/>
  </r>
  <r>
    <x v="39"/>
    <x v="39"/>
    <x v="9"/>
    <n v="136490197.903"/>
    <n v="2713721857"/>
    <n v="524877"/>
    <n v="6.9888828099999998"/>
    <n v="96.902256159999993"/>
    <n v="125"/>
    <n v="563368134.76599991"/>
    <n v="-75.77"/>
  </r>
  <r>
    <x v="40"/>
    <x v="40"/>
    <x v="0"/>
    <n v="19156675562"/>
    <n v="56441920888"/>
    <n v="4818038"/>
    <n v="3.6520809299999999"/>
    <n v="60.75356215"/>
    <n v="80"/>
    <m/>
    <m/>
  </r>
  <r>
    <x v="40"/>
    <x v="40"/>
    <x v="1"/>
    <n v="19815747639"/>
    <n v="58847019588"/>
    <n v="4866998"/>
    <n v="4.2043232079999999"/>
    <n v="62.178478290000001"/>
    <n v="80"/>
    <n v="19156675562"/>
    <n v="3.44"/>
  </r>
  <r>
    <x v="40"/>
    <x v="40"/>
    <x v="2"/>
    <n v="22593280857.479004"/>
    <n v="60516044661"/>
    <n v="4913177"/>
    <n v="4.1576991469999998"/>
    <n v="65.071953699999995"/>
    <n v="77"/>
    <n v="19815747639"/>
    <n v="14.02"/>
  </r>
  <r>
    <x v="40"/>
    <x v="40"/>
    <x v="3"/>
    <n v="22503562896.380001"/>
    <n v="62567765946"/>
    <n v="4957818"/>
    <n v="2.8528595980000002"/>
    <n v="66.787413790000002"/>
    <n v="77"/>
    <n v="22593280857.479004"/>
    <n v="-0.4"/>
  </r>
  <r>
    <x v="40"/>
    <x v="40"/>
    <x v="4"/>
    <n v="22903986153.740002"/>
    <n v="64753504730"/>
    <n v="4999553"/>
    <n v="2.7081391290000001"/>
    <n v="65.419473249999996"/>
    <n v="77"/>
    <n v="22503562896.380001"/>
    <n v="1.78"/>
  </r>
  <r>
    <x v="40"/>
    <x v="40"/>
    <x v="5"/>
    <n v="23245510306.840008"/>
    <n v="62806591555"/>
    <n v="5034320"/>
    <n v="-4.1415934060000001"/>
    <n v="59.74635507"/>
    <n v="74"/>
    <n v="22903986153.740002"/>
    <n v="1.49"/>
  </r>
  <r>
    <x v="40"/>
    <x v="40"/>
    <x v="6"/>
    <n v="28690791130.439987"/>
    <n v="65588938787"/>
    <n v="5059988"/>
    <n v="8.2181795399999995"/>
    <n v="70.103693309999997"/>
    <n v="74"/>
    <n v="23245510306.840008"/>
    <n v="23.43"/>
  </r>
  <r>
    <x v="40"/>
    <x v="40"/>
    <x v="7"/>
    <n v="30639390138.935005"/>
    <n v="71001226361"/>
    <n v="5081765"/>
    <n v="5.4611945520000003"/>
    <n v="79.052390320000001"/>
    <n v="74"/>
    <n v="28690791130.439987"/>
    <n v="6.79"/>
  </r>
  <r>
    <x v="40"/>
    <x v="40"/>
    <x v="8"/>
    <n v="36211809347.332001"/>
    <n v="87512637056"/>
    <n v="5105525"/>
    <n v="4.7918773239999997"/>
    <n v="71.438031030000005"/>
    <n v="68"/>
    <n v="30639390138.935005"/>
    <n v="18.190000000000001"/>
  </r>
  <r>
    <x v="40"/>
    <x v="40"/>
    <x v="9"/>
    <n v="39764631714.825996"/>
    <n v="96715644331"/>
    <n v="5129910"/>
    <n v="4.0829244420000004"/>
    <n v="69.853378640000003"/>
    <n v="64"/>
    <n v="36211809347.332001"/>
    <n v="9.81"/>
  </r>
  <r>
    <x v="41"/>
    <x v="41"/>
    <x v="1"/>
    <n v="4312214558.1400003"/>
    <n v="91370407900"/>
    <n v="11265612"/>
    <n v="0.512843096"/>
    <n v="27.269113239999999"/>
    <n v="117"/>
    <m/>
    <m/>
  </r>
  <r>
    <x v="41"/>
    <x v="41"/>
    <x v="2"/>
    <n v="4688376071.2000008"/>
    <n v="96850649700"/>
    <n v="11247829"/>
    <n v="1.809791784"/>
    <n v="26.222436380000001"/>
    <n v="118"/>
    <n v="4312214558.1400003"/>
    <n v="8.7200000000000006"/>
  </r>
  <r>
    <x v="41"/>
    <x v="41"/>
    <x v="3"/>
    <n v="4627173455.3999996"/>
    <n v="100000000000"/>
    <n v="11227118"/>
    <n v="2.2479485289999999"/>
    <n v="27.083548449999999"/>
    <n v="118"/>
    <n v="4688376071.2000008"/>
    <n v="-1.31"/>
  </r>
  <r>
    <x v="41"/>
    <x v="41"/>
    <x v="4"/>
    <n v="4124937756.3400011"/>
    <n v="103000000000"/>
    <n v="11202846"/>
    <n v="-0.163087224"/>
    <n v="22.820891140000001"/>
    <n v="121"/>
    <n v="4627173455.3999996"/>
    <n v="-10.85"/>
  </r>
  <r>
    <x v="41"/>
    <x v="41"/>
    <x v="5"/>
    <n v="3405623890.2799997"/>
    <n v="107000000000"/>
    <n v="11176354"/>
    <n v="-10.949435899999999"/>
    <n v="15.682986809999999"/>
    <n v="122"/>
    <n v="4124937756.3400011"/>
    <n v="-17.440000000000001"/>
  </r>
  <r>
    <x v="41"/>
    <x v="41"/>
    <x v="6"/>
    <n v="3932079990.6400008"/>
    <m/>
    <n v="11122168"/>
    <n v="1.2544873569999999"/>
    <n v="80.023770310000003"/>
    <n v="124"/>
    <n v="3405623890.2799997"/>
    <n v="15.46"/>
  </r>
  <r>
    <x v="41"/>
    <x v="41"/>
    <x v="7"/>
    <n v="4340017995.9000015"/>
    <m/>
    <n v="11059820"/>
    <n v="1.7746522769999999"/>
    <n v="93.860775590000003"/>
    <n v="120"/>
    <n v="3932079990.6400008"/>
    <n v="10.37"/>
  </r>
  <r>
    <x v="42"/>
    <x v="42"/>
    <x v="2"/>
    <n v="210027277.21299994"/>
    <n v="3033433240"/>
    <n v="160175"/>
    <n v="-1.2762081009999999"/>
    <n v="139.81244950000001"/>
    <n v="157"/>
    <m/>
    <m/>
  </r>
  <r>
    <x v="42"/>
    <x v="42"/>
    <x v="3"/>
    <n v="230480021.86900005"/>
    <n v="3046364804"/>
    <n v="159336"/>
    <n v="-2.1041113309999999"/>
    <n v="155.2688588"/>
    <n v="154"/>
    <n v="210027277.21299994"/>
    <n v="9.74"/>
  </r>
  <r>
    <x v="42"/>
    <x v="42"/>
    <x v="4"/>
    <n v="192672051.00799993"/>
    <n v="3026124134"/>
    <n v="157441"/>
    <n v="-3.206132303"/>
    <m/>
    <n v="153"/>
    <n v="230480021.86900005"/>
    <n v="-16.399999999999999"/>
  </r>
  <r>
    <x v="42"/>
    <x v="42"/>
    <x v="5"/>
    <n v="164286975.04199997"/>
    <n v="2534327598"/>
    <n v="155482"/>
    <n v="-18.438469609999999"/>
    <m/>
    <n v="147"/>
    <n v="192672051.00799993"/>
    <n v="-14.73"/>
  </r>
  <r>
    <x v="43"/>
    <x v="43"/>
    <x v="5"/>
    <n v="44275514.104000002"/>
    <n v="5655357984"/>
    <n v="68684"/>
    <n v="-4.9548069650000004"/>
    <n v="105.47279020000001"/>
    <n v="156"/>
    <m/>
    <m/>
  </r>
  <r>
    <x v="43"/>
    <x v="43"/>
    <x v="6"/>
    <n v="34164522.482999995"/>
    <n v="6060813808"/>
    <n v="70108"/>
    <n v="4.8694165539999998"/>
    <m/>
    <n v="159"/>
    <n v="44275514.104000002"/>
    <n v="-22.84"/>
  </r>
  <r>
    <x v="43"/>
    <x v="43"/>
    <x v="7"/>
    <n v="75829649.011000007"/>
    <n v="6653516041"/>
    <n v="71591"/>
    <n v="5.6607936690000002"/>
    <m/>
    <n v="154"/>
    <n v="34164522.482999995"/>
    <n v="121.95"/>
  </r>
  <r>
    <x v="43"/>
    <x v="43"/>
    <x v="8"/>
    <n v="90652560.392000005"/>
    <n v="7308564549"/>
    <n v="73038"/>
    <n v="5.8043696120000003"/>
    <m/>
    <n v="149"/>
    <n v="75829649.011000007"/>
    <n v="19.55"/>
  </r>
  <r>
    <x v="43"/>
    <x v="43"/>
    <x v="9"/>
    <n v="112793691.736"/>
    <n v="7765336505"/>
    <n v="74457"/>
    <n v="3.756411972"/>
    <m/>
    <n v="126"/>
    <n v="90652560.392000005"/>
    <n v="24.42"/>
  </r>
  <r>
    <x v="44"/>
    <x v="44"/>
    <x v="0"/>
    <n v="6717719935.3010006"/>
    <n v="19909269065"/>
    <n v="1219502"/>
    <n v="3.4189203890000002"/>
    <n v="137.27642650000001"/>
    <n v="106"/>
    <m/>
    <m/>
  </r>
  <r>
    <x v="44"/>
    <x v="44"/>
    <x v="1"/>
    <n v="6008677678.8319998"/>
    <n v="21046452117"/>
    <n v="1237112"/>
    <n v="6.5735908089999997"/>
    <n v="139.0220985"/>
    <n v="108"/>
    <n v="6717719935.3010006"/>
    <n v="-10.55"/>
  </r>
  <r>
    <x v="44"/>
    <x v="44"/>
    <x v="2"/>
    <n v="6706648753.4750004"/>
    <n v="22946583376"/>
    <n v="1254275"/>
    <n v="5.750832366"/>
    <n v="148.01335560000001"/>
    <n v="109"/>
    <n v="6008677678.8319998"/>
    <n v="11.62"/>
  </r>
  <r>
    <x v="44"/>
    <x v="44"/>
    <x v="3"/>
    <n v="10179547594.976992"/>
    <n v="25754011492"/>
    <n v="1270737"/>
    <n v="6.2716636010000002"/>
    <n v="147.62356740000001"/>
    <n v="100"/>
    <n v="6706648753.4750004"/>
    <n v="51.78"/>
  </r>
  <r>
    <x v="44"/>
    <x v="44"/>
    <x v="4"/>
    <n v="7041797703.4130011"/>
    <n v="26196660680"/>
    <n v="1286671"/>
    <n v="5.8755958340000003"/>
    <n v="150.50616310000001"/>
    <n v="111"/>
    <n v="10179547594.976992"/>
    <n v="-30.82"/>
  </r>
  <r>
    <x v="44"/>
    <x v="44"/>
    <x v="5"/>
    <n v="6274191616.3439999"/>
    <n v="25555082267"/>
    <n v="1302247"/>
    <n v="-3.2206301860000002"/>
    <n v="160.66871649999999"/>
    <n v="111"/>
    <n v="7041797703.4130011"/>
    <n v="-10.9"/>
  </r>
  <r>
    <x v="44"/>
    <x v="44"/>
    <x v="6"/>
    <n v="8013534225.6089964"/>
    <n v="30372637513"/>
    <n v="1317309"/>
    <n v="11.397559080000001"/>
    <n v="176.8277368"/>
    <n v="109"/>
    <n v="6274191616.3439999"/>
    <n v="27.72"/>
  </r>
  <r>
    <x v="44"/>
    <x v="44"/>
    <x v="7"/>
    <n v="8822507602.0309963"/>
    <n v="31218047044"/>
    <n v="1331370"/>
    <n v="8.7385468490000004"/>
    <n v="205.75353029999999"/>
    <n v="107"/>
    <n v="8013534225.6089964"/>
    <n v="10.1"/>
  </r>
  <r>
    <x v="44"/>
    <x v="44"/>
    <x v="8"/>
    <n v="10264752392.603001"/>
    <n v="35075440603"/>
    <n v="1344976"/>
    <n v="3.620453682"/>
    <n v="190.74095800000001"/>
    <n v="105"/>
    <n v="8822507602.0309963"/>
    <n v="16.350000000000001"/>
  </r>
  <r>
    <x v="44"/>
    <x v="44"/>
    <x v="9"/>
    <n v="11227375085.834999"/>
    <n v="37634551821"/>
    <n v="1358282"/>
    <n v="3.940769344"/>
    <n v="190.40287090000001"/>
    <n v="97"/>
    <n v="10264752392.603001"/>
    <n v="9.3800000000000008"/>
  </r>
  <r>
    <x v="45"/>
    <x v="45"/>
    <x v="0"/>
    <n v="314388245202"/>
    <n v="189000000000"/>
    <n v="10546059"/>
    <n v="4.958758489"/>
    <n v="154.01840100000001"/>
    <n v="25"/>
    <m/>
    <m/>
  </r>
  <r>
    <x v="45"/>
    <x v="45"/>
    <x v="1"/>
    <n v="324174664380"/>
    <n v="198000000000"/>
    <n v="10566332"/>
    <n v="2.580870139"/>
    <n v="148.5470047"/>
    <n v="25"/>
    <n v="314388245202"/>
    <n v="3.11"/>
  </r>
  <r>
    <x v="45"/>
    <x v="45"/>
    <x v="2"/>
    <n v="364462721046"/>
    <n v="222000000000"/>
    <n v="10594438"/>
    <n v="5.1735652999999999"/>
    <n v="147.7508349"/>
    <n v="25"/>
    <n v="324174664380"/>
    <n v="12.43"/>
  </r>
  <r>
    <x v="45"/>
    <x v="45"/>
    <x v="3"/>
    <n v="405043155418"/>
    <n v="252000000000"/>
    <n v="10629928"/>
    <n v="2.8303058829999999"/>
    <n v="145.1417179"/>
    <n v="25"/>
    <n v="364462721046"/>
    <n v="11.13"/>
  </r>
  <r>
    <x v="45"/>
    <x v="45"/>
    <x v="4"/>
    <n v="398939420670"/>
    <n v="257000000000"/>
    <n v="10671870"/>
    <n v="3.5657765810000002"/>
    <n v="138.15460999999999"/>
    <n v="25"/>
    <n v="405043155418"/>
    <n v="-1.51"/>
  </r>
  <r>
    <x v="45"/>
    <x v="45"/>
    <x v="5"/>
    <n v="384614759610"/>
    <n v="251000000000"/>
    <n v="10697858"/>
    <n v="-5.3048795550000003"/>
    <n v="128.78043030000001"/>
    <n v="24"/>
    <n v="398939420670"/>
    <n v="-3.59"/>
  </r>
  <r>
    <x v="45"/>
    <x v="45"/>
    <x v="6"/>
    <n v="454336822044"/>
    <n v="291000000000"/>
    <n v="10505772"/>
    <n v="4.0290183209999997"/>
    <n v="137.37811629999999"/>
    <n v="26"/>
    <n v="384614759610"/>
    <n v="18.13"/>
  </r>
  <r>
    <x v="45"/>
    <x v="45"/>
    <x v="7"/>
    <n v="483378262234"/>
    <n v="302000000000"/>
    <n v="10672118"/>
    <n v="2.847170658"/>
    <n v="144.01149409999999"/>
    <n v="26"/>
    <n v="454336822044"/>
    <n v="6.39"/>
  </r>
  <r>
    <x v="45"/>
    <x v="45"/>
    <x v="8"/>
    <n v="506655042436"/>
    <n v="345000000000"/>
    <n v="10864042"/>
    <n v="4.7580330999999997E-2"/>
    <n v="131.8925983"/>
    <n v="26"/>
    <n v="483378262234"/>
    <n v="4.82"/>
  </r>
  <r>
    <x v="45"/>
    <x v="45"/>
    <x v="9"/>
    <n v="518584864890"/>
    <n v="347000000000"/>
    <n v="10905028"/>
    <n v="1.251310962"/>
    <n v="131.4666081"/>
    <n v="24"/>
    <n v="506655042436"/>
    <n v="2.35"/>
  </r>
  <r>
    <x v="46"/>
    <x v="46"/>
    <x v="6"/>
    <n v="7658600080.5089951"/>
    <n v="3392796953"/>
    <n v="1121248"/>
    <n v="4.4071566759999996"/>
    <n v="263.4777287"/>
    <n v="111"/>
    <m/>
    <m/>
  </r>
  <r>
    <x v="46"/>
    <x v="46"/>
    <x v="7"/>
    <n v="9216604759.7199936"/>
    <n v="3562814909"/>
    <n v="1137096"/>
    <n v="5.1665370289999997"/>
    <n v="302.2854092"/>
    <n v="105"/>
    <n v="7658600080.5089951"/>
    <n v="20.34"/>
  </r>
  <r>
    <x v="46"/>
    <x v="46"/>
    <x v="8"/>
    <n v="9569431364.6420021"/>
    <n v="3898447007"/>
    <n v="1152944"/>
    <n v="6.8073352939999996"/>
    <n v="285.9020438"/>
    <n v="107"/>
    <n v="9216604759.7199936"/>
    <n v="3.83"/>
  </r>
  <r>
    <x v="47"/>
    <x v="47"/>
    <x v="1"/>
    <n v="35450300.103000015"/>
    <n v="612711111.10000002"/>
    <n v="69606"/>
    <n v="1.447245565"/>
    <m/>
    <n v="167"/>
    <m/>
    <m/>
  </r>
  <r>
    <x v="47"/>
    <x v="47"/>
    <x v="2"/>
    <n v="23452782.252000012"/>
    <n v="563355555.60000002"/>
    <n v="68496"/>
    <n v="-7.544363755"/>
    <m/>
    <n v="172"/>
    <n v="35450300.103000015"/>
    <n v="-33.840000000000003"/>
  </r>
  <r>
    <x v="47"/>
    <x v="47"/>
    <x v="3"/>
    <n v="20630418.065000001"/>
    <n v="628244444.39999998"/>
    <n v="68174"/>
    <n v="2.9640106099999999"/>
    <m/>
    <n v="169"/>
    <n v="23452782.252000012"/>
    <n v="-12.03"/>
  </r>
  <r>
    <x v="47"/>
    <x v="47"/>
    <x v="4"/>
    <n v="26424863.739000008"/>
    <n v="644259259.29999995"/>
    <n v="67880"/>
    <n v="3.9480975790000001"/>
    <m/>
    <n v="164"/>
    <n v="20630418.065000001"/>
    <n v="28.09"/>
  </r>
  <r>
    <x v="47"/>
    <x v="47"/>
    <x v="5"/>
    <n v="26289230.011"/>
    <n v="528944444.39999998"/>
    <n v="67573"/>
    <n v="-15.706402450000001"/>
    <m/>
    <n v="160"/>
    <n v="26424863.739000008"/>
    <n v="-0.51"/>
  </r>
  <r>
    <x v="47"/>
    <x v="47"/>
    <x v="6"/>
    <n v="28290383.559999995"/>
    <n v="562911111.10000002"/>
    <n v="67202"/>
    <n v="5.3798383899999997"/>
    <m/>
    <n v="160"/>
    <n v="26289230.011"/>
    <n v="7.61"/>
  </r>
  <r>
    <x v="47"/>
    <x v="47"/>
    <x v="7"/>
    <n v="44808568.522999994"/>
    <n v="623062963"/>
    <n v="66826"/>
    <n v="10.39680766"/>
    <m/>
    <n v="158"/>
    <n v="28290383.559999995"/>
    <n v="58.39"/>
  </r>
  <r>
    <x v="47"/>
    <x v="47"/>
    <x v="8"/>
    <n v="44084460.361000016"/>
    <n v="659311111.10000002"/>
    <n v="66510"/>
    <n v="3.6522101220000001"/>
    <m/>
    <n v="155"/>
    <n v="44808568.522999994"/>
    <n v="-1.62"/>
  </r>
  <r>
    <x v="48"/>
    <x v="48"/>
    <x v="0"/>
    <n v="189237633371"/>
    <n v="302000000000"/>
    <n v="5683483"/>
    <n v="2.1044145639999998"/>
    <n v="105.1303625"/>
    <n v="32"/>
    <m/>
    <m/>
  </r>
  <r>
    <x v="48"/>
    <x v="48"/>
    <x v="1"/>
    <n v="189458026119.44293"/>
    <n v="312000000000"/>
    <n v="5728010"/>
    <n v="3.0730454919999999"/>
    <n v="101.45278380000001"/>
    <n v="32"/>
    <n v="189237633371"/>
    <n v="0.12"/>
  </r>
  <r>
    <x v="48"/>
    <x v="48"/>
    <x v="2"/>
    <n v="202696982628.93997"/>
    <n v="332000000000"/>
    <n v="5764980"/>
    <n v="3.0564772389999999"/>
    <n v="104.21567690000001"/>
    <n v="33"/>
    <n v="189458026119.44293"/>
    <n v="6.99"/>
  </r>
  <r>
    <x v="48"/>
    <x v="48"/>
    <x v="3"/>
    <n v="217042898828.03"/>
    <n v="355000000000"/>
    <n v="5793636"/>
    <n v="1.8600074900000001"/>
    <n v="108.8139855"/>
    <n v="32"/>
    <n v="202696982628.93997"/>
    <n v="7.08"/>
  </r>
  <r>
    <x v="48"/>
    <x v="48"/>
    <x v="4"/>
    <n v="219758168898.93005"/>
    <n v="345000000000"/>
    <n v="5814422"/>
    <n v="1.711400939"/>
    <n v="111.89147509999999"/>
    <n v="32"/>
    <n v="217042898828.03"/>
    <n v="1.25"/>
  </r>
  <r>
    <x v="48"/>
    <x v="48"/>
    <x v="5"/>
    <n v="213742308538.51624"/>
    <n v="356000000000"/>
    <n v="5831404"/>
    <n v="-1.7801060179999999"/>
    <n v="104.4334327"/>
    <n v="32"/>
    <n v="219758168898.93005"/>
    <n v="-2.74"/>
  </r>
  <r>
    <x v="48"/>
    <x v="48"/>
    <x v="6"/>
    <n v="248527381842.0928"/>
    <n v="406000000000"/>
    <n v="5856733"/>
    <n v="6.5002544579999997"/>
    <n v="112.3214727"/>
    <n v="32"/>
    <n v="213742308538.51624"/>
    <n v="16.27"/>
  </r>
  <r>
    <x v="48"/>
    <x v="48"/>
    <x v="7"/>
    <n v="258354709909.85007"/>
    <n v="400000000000"/>
    <n v="5903037"/>
    <n v="0.44383261499999999"/>
    <n v="131.9958249"/>
    <n v="32"/>
    <n v="248527381842.0928"/>
    <n v="3.95"/>
  </r>
  <r>
    <x v="48"/>
    <x v="48"/>
    <x v="8"/>
    <n v="256848763022.51968"/>
    <n v="405000000000"/>
    <n v="5946952"/>
    <n v="0.60458776599999997"/>
    <n v="129.62533740000001"/>
    <n v="31"/>
    <n v="258354709909.85007"/>
    <n v="-0.57999999999999996"/>
  </r>
  <r>
    <x v="48"/>
    <x v="48"/>
    <x v="9"/>
    <n v="267590308215.76886"/>
    <n v="425000000000"/>
    <n v="5976992"/>
    <n v="3.477835931"/>
    <n v="131.76503099999999"/>
    <n v="29"/>
    <n v="256848763022.51968"/>
    <n v="4.18"/>
  </r>
  <r>
    <x v="49"/>
    <x v="49"/>
    <x v="0"/>
    <n v="18777473144.399994"/>
    <n v="70966782572"/>
    <n v="10434829"/>
    <n v="6.9877113120000001"/>
    <n v="52.347123869999997"/>
    <n v="81"/>
    <m/>
    <m/>
  </r>
  <r>
    <x v="49"/>
    <x v="49"/>
    <x v="1"/>
    <n v="19570372479.476006"/>
    <n v="75552902636"/>
    <n v="10551430"/>
    <n v="6.7197407870000001"/>
    <n v="51.730657119999996"/>
    <n v="81"/>
    <n v="18777473144.399994"/>
    <n v="4.22"/>
  </r>
  <r>
    <x v="49"/>
    <x v="49"/>
    <x v="2"/>
    <n v="20449316800.17601"/>
    <n v="79070274743"/>
    <n v="10666843"/>
    <n v="3.933861764"/>
    <n v="50.759535550000003"/>
    <n v="81"/>
    <n v="19570372479.476006"/>
    <n v="4.49"/>
  </r>
  <r>
    <x v="49"/>
    <x v="49"/>
    <x v="3"/>
    <n v="21516021487.137001"/>
    <n v="84994732049"/>
    <n v="10782053"/>
    <n v="7.0975164020000001"/>
    <n v="52.335170959999999"/>
    <n v="81"/>
    <n v="20449316800.17601"/>
    <n v="5.22"/>
  </r>
  <r>
    <x v="49"/>
    <x v="49"/>
    <x v="4"/>
    <n v="22574398663.794998"/>
    <n v="89146130745"/>
    <n v="10894043"/>
    <n v="4.8940301149999996"/>
    <n v="50.912982200000002"/>
    <n v="79"/>
    <n v="21516021487.137001"/>
    <n v="4.92"/>
  </r>
  <r>
    <x v="49"/>
    <x v="49"/>
    <x v="5"/>
    <n v="19688142311.450993"/>
    <n v="78546672407"/>
    <n v="11008300"/>
    <n v="-7.9290523420000003"/>
    <n v="44.733161350000003"/>
    <n v="78"/>
    <n v="22574398663.794998"/>
    <n v="-12.79"/>
  </r>
  <r>
    <x v="49"/>
    <x v="49"/>
    <x v="6"/>
    <n v="23286440008.37801"/>
    <n v="94850719517"/>
    <n v="11123476"/>
    <n v="14.012428910000001"/>
    <n v="51.950022730000001"/>
    <n v="78"/>
    <n v="19688142311.450993"/>
    <n v="18.28"/>
  </r>
  <r>
    <x v="49"/>
    <x v="49"/>
    <x v="7"/>
    <n v="19672694477.309002"/>
    <n v="113000000000"/>
    <n v="11230734"/>
    <n v="5.2379565289999999"/>
    <n v="54.378197669999999"/>
    <n v="87"/>
    <n v="23286440008.37801"/>
    <n v="-15.52"/>
  </r>
  <r>
    <x v="49"/>
    <x v="49"/>
    <x v="8"/>
    <n v="23863907572.090004"/>
    <n v="120000000000"/>
    <n v="11331265"/>
    <n v="2.192298482"/>
    <n v="49.843613179999998"/>
    <n v="78"/>
    <n v="19672694477.309002"/>
    <n v="21.3"/>
  </r>
  <r>
    <x v="49"/>
    <x v="49"/>
    <x v="9"/>
    <n v="25847890994.663994"/>
    <n v="124000000000"/>
    <n v="11427557"/>
    <n v="4.9535220449999997"/>
    <n v="51.783514400000001"/>
    <n v="73"/>
    <n v="23863907572.090004"/>
    <n v="8.31"/>
  </r>
  <r>
    <x v="50"/>
    <x v="50"/>
    <x v="0"/>
    <n v="69591902982"/>
    <n v="187000000000"/>
    <n v="40019529"/>
    <n v="3.2000000009999998"/>
    <n v="53.20462259"/>
    <n v="52"/>
    <m/>
    <m/>
  </r>
  <r>
    <x v="50"/>
    <x v="50"/>
    <x v="1"/>
    <n v="59984202943"/>
    <n v="181000000000"/>
    <n v="40850721"/>
    <n v="3.9"/>
    <n v="49.760932789999998"/>
    <n v="54"/>
    <n v="69591902982"/>
    <n v="-13.81"/>
  </r>
  <r>
    <x v="50"/>
    <x v="50"/>
    <x v="2"/>
    <n v="70382234832.200073"/>
    <n v="190000000000"/>
    <n v="41689299"/>
    <n v="1.4999999989999999"/>
    <n v="49.820816170000001"/>
    <n v="53"/>
    <n v="59984202943"/>
    <n v="17.329999999999998"/>
  </r>
  <r>
    <x v="50"/>
    <x v="50"/>
    <x v="9"/>
    <n v="103714850221.95"/>
    <n v="269000000000"/>
    <n v="46814308"/>
    <n v="3.6999999990000001"/>
    <n v="40.134574120000003"/>
    <n v="48"/>
    <n v="70382234832.200073"/>
    <n v="47.36"/>
  </r>
  <r>
    <x v="51"/>
    <x v="51"/>
    <x v="0"/>
    <n v="36661215391"/>
    <n v="97209558000"/>
    <n v="16266225"/>
    <n v="0.119692109"/>
    <n v="47.828039709999999"/>
    <n v="64"/>
    <m/>
    <m/>
  </r>
  <r>
    <x v="51"/>
    <x v="51"/>
    <x v="1"/>
    <n v="33595329246"/>
    <n v="97671433000"/>
    <n v="16505139"/>
    <n v="-0.68795424599999999"/>
    <n v="40.534491799999998"/>
    <n v="65"/>
    <n v="36661215391"/>
    <n v="-8.36"/>
  </r>
  <r>
    <x v="51"/>
    <x v="51"/>
    <x v="2"/>
    <n v="38184704485.122009"/>
    <n v="104000000000"/>
    <n v="16759519"/>
    <n v="5.9703988099999998"/>
    <n v="43.617723320000003"/>
    <n v="64"/>
    <n v="33595329246"/>
    <n v="13.66"/>
  </r>
  <r>
    <x v="51"/>
    <x v="51"/>
    <x v="3"/>
    <n v="43303911100.812004"/>
    <n v="107000000000"/>
    <n v="17049547"/>
    <n v="1.0442946070000001"/>
    <n v="48.00934762"/>
    <n v="63"/>
    <n v="38184704485.122009"/>
    <n v="13.41"/>
  </r>
  <r>
    <x v="51"/>
    <x v="51"/>
    <x v="4"/>
    <n v="44658757437.035995"/>
    <n v="108000000000"/>
    <n v="17340021"/>
    <n v="0.165404465"/>
    <n v="48.082849490000001"/>
    <n v="62"/>
    <n v="43303911100.812004"/>
    <n v="3.13"/>
  </r>
  <r>
    <x v="51"/>
    <x v="51"/>
    <x v="5"/>
    <n v="40710722877.387985"/>
    <n v="95865473000"/>
    <n v="17546065"/>
    <n v="-9.2450961920000001"/>
    <n v="43.989310940000003"/>
    <n v="61"/>
    <n v="44658757437.035995"/>
    <n v="-8.84"/>
  </r>
  <r>
    <x v="51"/>
    <x v="51"/>
    <x v="6"/>
    <n v="53398399688.74398"/>
    <n v="107000000000"/>
    <n v="17682454"/>
    <n v="9.42189269"/>
    <n v="53.261275609999998"/>
    <n v="61"/>
    <n v="40710722877.387985"/>
    <n v="31.17"/>
  </r>
  <r>
    <x v="51"/>
    <x v="51"/>
    <x v="7"/>
    <n v="70760723413.999985"/>
    <n v="116000000000"/>
    <n v="17823897"/>
    <n v="5.8684235490000001"/>
    <n v="61.880792820000003"/>
    <n v="59"/>
    <n v="53398399688.74398"/>
    <n v="32.51"/>
  </r>
  <r>
    <x v="51"/>
    <x v="51"/>
    <x v="8"/>
    <n v="62252848152.600014"/>
    <n v="121000000000"/>
    <n v="17980083"/>
    <n v="1.832840611"/>
    <n v="57.162693830000002"/>
    <n v="58"/>
    <n v="70760723413.999985"/>
    <n v="-12.02"/>
  </r>
  <r>
    <x v="51"/>
    <x v="51"/>
    <x v="9"/>
    <n v="63116193242.536041"/>
    <n v="124000000000"/>
    <n v="18135478"/>
    <n v="-1.9440902250000001"/>
    <n v="57.443644820000003"/>
    <n v="58"/>
    <n v="62252848152.600014"/>
    <n v="1.39"/>
  </r>
  <r>
    <x v="52"/>
    <x v="52"/>
    <x v="0"/>
    <n v="43717547649.941994"/>
    <n v="329000000000"/>
    <n v="99597342"/>
    <n v="4.3720190780000001"/>
    <n v="34.845942960000002"/>
    <n v="63"/>
    <m/>
    <m/>
  </r>
  <r>
    <x v="52"/>
    <x v="52"/>
    <x v="1"/>
    <n v="45946737708.784981"/>
    <n v="332000000000"/>
    <n v="101644589"/>
    <n v="4.3466434559999998"/>
    <n v="30.246549049999999"/>
    <n v="61"/>
    <n v="43717547649.941994"/>
    <n v="5.0999999999999996"/>
  </r>
  <r>
    <x v="52"/>
    <x v="52"/>
    <x v="2"/>
    <n v="52868076959.884041"/>
    <n v="248000000000"/>
    <n v="103696057"/>
    <n v="4.1812209999999999"/>
    <n v="42.832134359999998"/>
    <n v="60"/>
    <n v="45946737708.784981"/>
    <n v="15.06"/>
  </r>
  <r>
    <x v="52"/>
    <x v="52"/>
    <x v="3"/>
    <n v="58607745146.746002"/>
    <n v="263000000000"/>
    <n v="105682094"/>
    <n v="5.3311086190000001"/>
    <n v="45.911019670000002"/>
    <n v="61"/>
    <n v="52868076959.884041"/>
    <n v="10.86"/>
  </r>
  <r>
    <x v="52"/>
    <x v="52"/>
    <x v="4"/>
    <n v="61010503367.103981"/>
    <n v="319000000000"/>
    <n v="107553158"/>
    <n v="5.5520930709999998"/>
    <n v="41.124017160000001"/>
    <n v="58"/>
    <n v="58607745146.746002"/>
    <n v="4.0999999999999996"/>
  </r>
  <r>
    <x v="52"/>
    <x v="52"/>
    <x v="5"/>
    <n v="58645839189.571976"/>
    <n v="384000000000"/>
    <n v="109315124"/>
    <n v="3.5501648389999998"/>
    <n v="32.126255569999998"/>
    <n v="56"/>
    <n v="61010503367.103981"/>
    <n v="-3.88"/>
  </r>
  <r>
    <x v="52"/>
    <x v="52"/>
    <x v="6"/>
    <n v="87273703978.528961"/>
    <n v="425000000000"/>
    <n v="110957008"/>
    <n v="3.2906460119999998"/>
    <n v="29.856973480000001"/>
    <n v="53"/>
    <n v="58645839189.571976"/>
    <n v="48.81"/>
  </r>
  <r>
    <x v="52"/>
    <x v="52"/>
    <x v="7"/>
    <n v="104231455826.59399"/>
    <n v="477000000000"/>
    <n v="112618250"/>
    <n v="6.5878456090000004"/>
    <n v="36.983104879999999"/>
    <n v="51"/>
    <n v="87273703978.528961"/>
    <n v="19.43"/>
  </r>
  <r>
    <x v="52"/>
    <x v="52"/>
    <x v="8"/>
    <n v="85106486302.263062"/>
    <n v="396000000000"/>
    <n v="114535772"/>
    <n v="3.760280523"/>
    <n v="40.450400770000002"/>
    <n v="52"/>
    <n v="104231455826.59399"/>
    <n v="-18.350000000000001"/>
  </r>
  <r>
    <x v="52"/>
    <x v="52"/>
    <x v="9"/>
    <n v="89693742702.608994"/>
    <n v="389000000000"/>
    <n v="116538258"/>
    <n v="2.3991692680000001"/>
    <n v="39.60075209"/>
    <n v="51"/>
    <n v="85106486302.263062"/>
    <n v="5.39"/>
  </r>
  <r>
    <x v="53"/>
    <x v="53"/>
    <x v="0"/>
    <n v="553917023428.79993"/>
    <n v="1210000000000"/>
    <n v="46422303"/>
    <n v="4.0608667250000003"/>
    <n v="63.582041220000001"/>
    <n v="15"/>
    <m/>
    <m/>
  </r>
  <r>
    <x v="53"/>
    <x v="53"/>
    <x v="1"/>
    <n v="567522131724.59558"/>
    <n v="1240000000000"/>
    <n v="46458139"/>
    <n v="2.9151559859999998"/>
    <n v="63.188677849999998"/>
    <n v="15"/>
    <n v="553917023428.79993"/>
    <n v="2.46"/>
  </r>
  <r>
    <x v="53"/>
    <x v="53"/>
    <x v="2"/>
    <n v="623906789611.72253"/>
    <n v="1320000000000"/>
    <n v="46571232"/>
    <n v="2.8960420789999999"/>
    <n v="66.167446139999996"/>
    <n v="15"/>
    <n v="567522131724.59558"/>
    <n v="9.94"/>
  </r>
  <r>
    <x v="53"/>
    <x v="53"/>
    <x v="3"/>
    <n v="692128630102.28186"/>
    <n v="1430000000000"/>
    <n v="46782011"/>
    <n v="2.395411245"/>
    <n v="67.009410399999993"/>
    <n v="15"/>
    <n v="623906789611.72253"/>
    <n v="10.93"/>
  </r>
  <r>
    <x v="53"/>
    <x v="53"/>
    <x v="4"/>
    <n v="674405202815.61597"/>
    <n v="1400000000000"/>
    <n v="47118501"/>
    <n v="1.9611785079999999"/>
    <n v="66.366225040000003"/>
    <n v="15"/>
    <n v="692128630102.28186"/>
    <n v="-2.56"/>
  </r>
  <r>
    <x v="53"/>
    <x v="53"/>
    <x v="5"/>
    <n v="624161026842.302"/>
    <n v="1290000000000"/>
    <n v="47359424"/>
    <n v="-10.94007064"/>
    <n v="59.446128010000002"/>
    <n v="15"/>
    <n v="674405202815.61597"/>
    <n v="-7.45"/>
  </r>
  <r>
    <x v="53"/>
    <x v="53"/>
    <x v="6"/>
    <n v="783117038953.349"/>
    <n v="1460000000000"/>
    <n v="47443821"/>
    <n v="6.6831442049999996"/>
    <n v="66.524588940000001"/>
    <n v="16"/>
    <n v="624161026842.302"/>
    <n v="25.47"/>
  </r>
  <r>
    <x v="53"/>
    <x v="53"/>
    <x v="7"/>
    <n v="848572109619.80359"/>
    <n v="1450000000000"/>
    <n v="47786102"/>
    <n v="6.3703171210000002"/>
    <n v="78.465733869999994"/>
    <n v="16"/>
    <n v="783117038953.349"/>
    <n v="8.36"/>
  </r>
  <r>
    <x v="53"/>
    <x v="53"/>
    <x v="8"/>
    <n v="840339182005.09827"/>
    <n v="1620000000000"/>
    <n v="48352528"/>
    <n v="2.460857968"/>
    <n v="71.797636609999998"/>
    <n v="15"/>
    <n v="848572109619.80359"/>
    <n v="-0.97"/>
  </r>
  <r>
    <x v="53"/>
    <x v="53"/>
    <x v="9"/>
    <n v="807405878311.62195"/>
    <n v="1730000000000"/>
    <n v="48848840"/>
    <n v="3.4552540559999998"/>
    <n v="69.950261240000003"/>
    <n v="14"/>
    <n v="840339182005.09827"/>
    <n v="-3.92"/>
  </r>
  <r>
    <x v="54"/>
    <x v="54"/>
    <x v="0"/>
    <n v="27815219896"/>
    <n v="23311847751"/>
    <n v="1315407"/>
    <n v="1.8381526290000001"/>
    <n v="148.5071571"/>
    <n v="66"/>
    <m/>
    <m/>
  </r>
  <r>
    <x v="54"/>
    <x v="54"/>
    <x v="1"/>
    <n v="27934858851.578003"/>
    <n v="24561027788"/>
    <n v="1315790"/>
    <n v="3.0930192079999999"/>
    <n v="147.74623270000001"/>
    <n v="67"/>
    <n v="27815219896"/>
    <n v="0.43"/>
  </r>
  <r>
    <x v="54"/>
    <x v="54"/>
    <x v="2"/>
    <n v="30775470925.424011"/>
    <n v="27469461919"/>
    <n v="1317384"/>
    <n v="5.6346724899999998"/>
    <n v="144.6356509"/>
    <n v="67"/>
    <n v="27934858851.578003"/>
    <n v="10.17"/>
  </r>
  <r>
    <x v="54"/>
    <x v="54"/>
    <x v="3"/>
    <n v="35702955421.402992"/>
    <n v="31222632741"/>
    <n v="1321977"/>
    <n v="3.6996975619999999"/>
    <n v="143.48522489999999"/>
    <n v="67"/>
    <n v="30775470925.424011"/>
    <n v="16.010000000000002"/>
  </r>
  <r>
    <x v="54"/>
    <x v="54"/>
    <x v="4"/>
    <n v="33614816940.453979"/>
    <n v="31873748770"/>
    <n v="1326898"/>
    <n v="3.7266494350000001"/>
    <n v="140.352148"/>
    <n v="67"/>
    <n v="35702955421.402992"/>
    <n v="-5.85"/>
  </r>
  <r>
    <x v="54"/>
    <x v="54"/>
    <x v="5"/>
    <n v="33803198128.179989"/>
    <n v="31820771494"/>
    <n v="1329522"/>
    <n v="-2.883807515"/>
    <n v="137.39264130000001"/>
    <n v="66"/>
    <n v="33614816940.453979"/>
    <n v="0.56000000000000005"/>
  </r>
  <r>
    <x v="54"/>
    <x v="54"/>
    <x v="6"/>
    <n v="44606461942.140007"/>
    <n v="37201101171"/>
    <n v="1330932"/>
    <n v="8.2548804459999996"/>
    <n v="160.47192229999999"/>
    <n v="63"/>
    <n v="33803198128.179989"/>
    <n v="31.96"/>
  </r>
  <r>
    <x v="54"/>
    <x v="54"/>
    <x v="7"/>
    <n v="47200388377.840004"/>
    <n v="38226641740"/>
    <n v="1348840"/>
    <n v="-1.2261696660000001"/>
    <n v="175.68711949999999"/>
    <n v="63"/>
    <n v="44606461942.140007"/>
    <n v="5.82"/>
  </r>
  <r>
    <x v="54"/>
    <x v="54"/>
    <x v="8"/>
    <n v="40216393205.999992"/>
    <n v="41470344395"/>
    <n v="1370286"/>
    <n v="-2.7442191459999998"/>
    <n v="154.59261710000001"/>
    <n v="66"/>
    <n v="47200388377.840004"/>
    <n v="-14.8"/>
  </r>
  <r>
    <x v="54"/>
    <x v="54"/>
    <x v="9"/>
    <n v="39546104318.239952"/>
    <n v="43130419829"/>
    <n v="1372341"/>
    <n v="-9.0042865E-2"/>
    <n v="151.0377024"/>
    <n v="65"/>
    <n v="40216393205.999992"/>
    <n v="-1.67"/>
  </r>
  <r>
    <x v="55"/>
    <x v="55"/>
    <x v="0"/>
    <n v="4047104886.1990018"/>
    <n v="62103418182"/>
    <n v="103867135"/>
    <n v="10.39246301"/>
    <n v="39.656124140000003"/>
    <n v="116"/>
    <m/>
    <m/>
  </r>
  <r>
    <x v="55"/>
    <x v="55"/>
    <x v="1"/>
    <n v="3977005859.6219997"/>
    <n v="68475871210"/>
    <n v="106718162"/>
    <n v="9.4334826599999992"/>
    <n v="34.899021079999997"/>
    <n v="121"/>
    <n v="4047104886.1990018"/>
    <n v="-1.73"/>
  </r>
  <r>
    <x v="55"/>
    <x v="55"/>
    <x v="2"/>
    <n v="4611801955.2300005"/>
    <n v="76366081767"/>
    <n v="109666481"/>
    <n v="9.5641896580000001"/>
    <n v="31.103649489999999"/>
    <n v="119"/>
    <n v="3977005859.6219997"/>
    <n v="15.96"/>
  </r>
  <r>
    <x v="55"/>
    <x v="55"/>
    <x v="3"/>
    <n v="3097109183.4350014"/>
    <n v="83337901072"/>
    <n v="112664152"/>
    <n v="6.8161477860000002"/>
    <n v="31.199368979999999"/>
    <n v="125"/>
    <n v="4611801955.2300005"/>
    <n v="-32.840000000000003"/>
  </r>
  <r>
    <x v="55"/>
    <x v="55"/>
    <x v="4"/>
    <n v="5367504746.0199976"/>
    <n v="91834517114"/>
    <n v="115737383"/>
    <n v="8.3640857309999994"/>
    <n v="28.815293929999999"/>
    <n v="116"/>
    <n v="3097109183.4350014"/>
    <n v="73.31"/>
  </r>
  <r>
    <x v="55"/>
    <x v="55"/>
    <x v="5"/>
    <n v="5066554457.6000023"/>
    <n v="98676811062"/>
    <n v="118917671"/>
    <n v="6.0595308919999997"/>
    <n v="24.00611434"/>
    <n v="114"/>
    <n v="5367504746.0199976"/>
    <n v="-5.61"/>
  </r>
  <r>
    <x v="55"/>
    <x v="55"/>
    <x v="6"/>
    <n v="6115257653.1800013"/>
    <n v="109000000000"/>
    <n v="122138588"/>
    <n v="5.641530693"/>
    <n v="24.34505747"/>
    <n v="117"/>
    <n v="5066554457.6000023"/>
    <n v="20.7"/>
  </r>
  <r>
    <x v="55"/>
    <x v="55"/>
    <x v="7"/>
    <n v="6170232218.0670013"/>
    <n v="123000000000"/>
    <n v="125384287"/>
    <n v="5.3217598849999996"/>
    <n v="26.595499700000001"/>
    <n v="117"/>
    <n v="6115257653.1800013"/>
    <n v="0.9"/>
  </r>
  <r>
    <x v="55"/>
    <x v="55"/>
    <x v="8"/>
    <n v="5718913731.8980026"/>
    <n v="136000000000"/>
    <n v="128691692"/>
    <n v="6.5942459910000002"/>
    <n v="20.598201509999999"/>
    <n v="118"/>
    <n v="6170232218.0670013"/>
    <n v="-7.31"/>
  </r>
  <r>
    <x v="56"/>
    <x v="56"/>
    <x v="0"/>
    <n v="119364622415"/>
    <n v="233000000000"/>
    <n v="5479531"/>
    <n v="0.46650376599999999"/>
    <n v="71.961825379999993"/>
    <n v="40"/>
    <m/>
    <m/>
  </r>
  <r>
    <x v="56"/>
    <x v="56"/>
    <x v="1"/>
    <n v="114651743434"/>
    <n v="239000000000"/>
    <n v="5495303"/>
    <n v="2.5719341490000001"/>
    <n v="71.72221012"/>
    <n v="40"/>
    <n v="119364622415"/>
    <n v="-3.95"/>
  </r>
  <r>
    <x v="56"/>
    <x v="56"/>
    <x v="2"/>
    <n v="134561281696.76402"/>
    <n v="254000000000"/>
    <n v="5508214"/>
    <n v="3.303370036"/>
    <n v="75.938782230000001"/>
    <n v="40"/>
    <n v="114651743434"/>
    <n v="17.37"/>
  </r>
  <r>
    <x v="56"/>
    <x v="56"/>
    <x v="3"/>
    <n v="150516580919.62393"/>
    <n v="274000000000"/>
    <n v="5515525"/>
    <n v="1.1929775970000001"/>
    <n v="79.143614839999998"/>
    <n v="38"/>
    <n v="134561281696.76402"/>
    <n v="11.86"/>
  </r>
  <r>
    <x v="56"/>
    <x v="56"/>
    <x v="4"/>
    <n v="145678352026.513"/>
    <n v="267000000000"/>
    <n v="5521606"/>
    <n v="1.3497384569999999"/>
    <n v="80.564150290000001"/>
    <n v="37"/>
    <n v="150516580919.62393"/>
    <n v="-3.21"/>
  </r>
  <r>
    <x v="56"/>
    <x v="56"/>
    <x v="5"/>
    <n v="131213951680.317"/>
    <n v="270000000000"/>
    <n v="5529543"/>
    <n v="-2.4910360549999999"/>
    <n v="72.184595599999994"/>
    <n v="37"/>
    <n v="145678352026.513"/>
    <n v="-9.93"/>
  </r>
  <r>
    <x v="56"/>
    <x v="56"/>
    <x v="6"/>
    <n v="163000530418.616"/>
    <n v="294000000000"/>
    <n v="5541017"/>
    <n v="2.6763464149999998"/>
    <n v="79.789278190000005"/>
    <n v="38"/>
    <n v="131213951680.317"/>
    <n v="24.22"/>
  </r>
  <r>
    <x v="56"/>
    <x v="56"/>
    <x v="7"/>
    <n v="172456480361.64999"/>
    <n v="280000000000"/>
    <n v="5556106"/>
    <n v="0.76304191300000002"/>
    <n v="94.562534049999996"/>
    <n v="39"/>
    <n v="163000530418.616"/>
    <n v="5.8"/>
  </r>
  <r>
    <x v="56"/>
    <x v="56"/>
    <x v="8"/>
    <n v="165135505345.51205"/>
    <n v="295000000000"/>
    <n v="5583911"/>
    <n v="-1.2897348449999999"/>
    <n v="85.514184720000003"/>
    <n v="39"/>
    <n v="172456480361.64999"/>
    <n v="-4.25"/>
  </r>
  <r>
    <x v="56"/>
    <x v="56"/>
    <x v="9"/>
    <n v="151157449686.582"/>
    <n v="299000000000"/>
    <n v="5619911"/>
    <n v="0.37456656900000002"/>
    <n v="83.451029559999995"/>
    <n v="40"/>
    <n v="165135505345.51205"/>
    <n v="-8.4600000000000009"/>
  </r>
  <r>
    <x v="57"/>
    <x v="57"/>
    <x v="0"/>
    <n v="1962481141.2609987"/>
    <n v="4682479894"/>
    <n v="918578"/>
    <n v="4.5012006449999999"/>
    <n v="101.189049"/>
    <n v="130"/>
    <m/>
    <m/>
  </r>
  <r>
    <x v="57"/>
    <x v="57"/>
    <x v="1"/>
    <n v="1844074974.0140007"/>
    <n v="4930213644"/>
    <n v="919166"/>
    <n v="2.4456520240000001"/>
    <n v="97.174490579999997"/>
    <n v="133"/>
    <n v="1962481141.2609987"/>
    <n v="-6.03"/>
  </r>
  <r>
    <x v="57"/>
    <x v="57"/>
    <x v="2"/>
    <n v="2072298388.2459993"/>
    <n v="5353469174"/>
    <n v="918759"/>
    <n v="5.3533643499999997"/>
    <n v="97.02166253"/>
    <n v="131"/>
    <n v="1844074974.0140007"/>
    <n v="12.38"/>
  </r>
  <r>
    <x v="57"/>
    <x v="57"/>
    <x v="3"/>
    <n v="2013636884.059"/>
    <n v="5581425327"/>
    <n v="917180"/>
    <n v="3.81235094"/>
    <n v="103.2354199"/>
    <n v="131"/>
    <n v="2072298388.2459993"/>
    <n v="-2.83"/>
  </r>
  <r>
    <x v="57"/>
    <x v="57"/>
    <x v="4"/>
    <n v="1930300275.2829998"/>
    <n v="5344907153"/>
    <n v="914899"/>
    <n v="-0.58194659000000004"/>
    <n v="110.6961921"/>
    <n v="131"/>
    <n v="2013636884.059"/>
    <n v="-4.1399999999999997"/>
  </r>
  <r>
    <x v="57"/>
    <x v="57"/>
    <x v="5"/>
    <n v="1652469613.5809991"/>
    <n v="4227719873"/>
    <n v="914963"/>
    <n v="-17.183535259999999"/>
    <n v="78.076365179999996"/>
    <n v="133"/>
    <n v="1930300275.2829998"/>
    <n v="-14.39"/>
  </r>
  <r>
    <x v="57"/>
    <x v="57"/>
    <x v="6"/>
    <n v="1630671306.3070014"/>
    <n v="4158873156"/>
    <n v="916711"/>
    <n v="-4.345961999"/>
    <n v="87.215932179999996"/>
    <n v="136"/>
    <n v="1652469613.5809991"/>
    <n v="-1.32"/>
  </r>
  <r>
    <x v="57"/>
    <x v="57"/>
    <x v="7"/>
    <n v="2110458414.9309995"/>
    <n v="4977861886"/>
    <n v="919422"/>
    <n v="17.745126979999998"/>
    <n v="119.2137467"/>
    <n v="130"/>
    <n v="1630671306.3070014"/>
    <n v="29.42"/>
  </r>
  <r>
    <x v="57"/>
    <x v="57"/>
    <x v="8"/>
    <n v="2135379395.2789984"/>
    <n v="5476673518"/>
    <n v="924145"/>
    <n v="9.4424585669999992"/>
    <n v="126.2821345"/>
    <n v="127"/>
    <n v="2110458414.9309995"/>
    <n v="1.18"/>
  </r>
  <r>
    <x v="57"/>
    <x v="57"/>
    <x v="9"/>
    <n v="2247967134.031002"/>
    <n v="5968125909"/>
    <n v="928784"/>
    <n v="3.5308589609999999"/>
    <n v="118.9628809"/>
    <n v="110"/>
    <n v="2135379395.2789984"/>
    <n v="5.27"/>
  </r>
  <r>
    <x v="58"/>
    <x v="58"/>
    <x v="0"/>
    <n v="987882428442"/>
    <n v="2440000000000"/>
    <n v="66548272"/>
    <n v="1.0667547479999999"/>
    <n v="63.504687199999999"/>
    <n v="6"/>
    <m/>
    <m/>
  </r>
  <r>
    <x v="58"/>
    <x v="58"/>
    <x v="1"/>
    <n v="977770144882"/>
    <n v="2470000000000"/>
    <n v="66724104"/>
    <n v="0.86003107499999998"/>
    <n v="63.342756440000002"/>
    <n v="6"/>
    <n v="987882428442"/>
    <n v="-1.02"/>
  </r>
  <r>
    <x v="58"/>
    <x v="58"/>
    <x v="2"/>
    <n v="1046770266568.9873"/>
    <n v="2590000000000"/>
    <n v="66918020"/>
    <n v="2.08361486"/>
    <n v="65.39584816"/>
    <n v="7"/>
    <n v="977770144882"/>
    <n v="7.06"/>
  </r>
  <r>
    <x v="58"/>
    <x v="58"/>
    <x v="3"/>
    <n v="1137071759689.8562"/>
    <n v="2780000000000"/>
    <n v="67158348"/>
    <n v="1.6459087240000001"/>
    <n v="66.802260779999997"/>
    <n v="7"/>
    <n v="1046770266568.9873"/>
    <n v="8.6300000000000008"/>
  </r>
  <r>
    <x v="58"/>
    <x v="58"/>
    <x v="4"/>
    <n v="1112728228016.6475"/>
    <n v="2720000000000"/>
    <n v="67382061"/>
    <n v="2.0274464640000001"/>
    <n v="66.42896073"/>
    <n v="5"/>
    <n v="1137071759689.8562"/>
    <n v="-2.14"/>
  </r>
  <r>
    <x v="58"/>
    <x v="58"/>
    <x v="5"/>
    <n v="979808751542.88428"/>
    <n v="2650000000000"/>
    <n v="67601110"/>
    <n v="-7.4406458989999997"/>
    <n v="58.838890720000002"/>
    <n v="8"/>
    <n v="1112728228016.6475"/>
    <n v="-11.95"/>
  </r>
  <r>
    <x v="58"/>
    <x v="58"/>
    <x v="6"/>
    <n v="1170354793956.5891"/>
    <n v="2970000000000"/>
    <n v="67842811"/>
    <n v="6.8823378340000003"/>
    <n v="63.788482629999997"/>
    <n v="8"/>
    <n v="979808751542.88428"/>
    <n v="19.45"/>
  </r>
  <r>
    <x v="58"/>
    <x v="58"/>
    <x v="7"/>
    <n v="1265518486184.4741"/>
    <n v="2790000000000"/>
    <n v="68184457"/>
    <n v="2.7167626419999999"/>
    <n v="75.9630078"/>
    <n v="7"/>
    <n v="1170354793956.5891"/>
    <n v="8.1300000000000008"/>
  </r>
  <r>
    <x v="58"/>
    <x v="58"/>
    <x v="8"/>
    <n v="1320897443921.1133"/>
    <n v="3060000000000"/>
    <n v="68372286"/>
    <n v="1.4392149439999999"/>
    <n v="70.626145059999999"/>
    <n v="6"/>
    <n v="1265518486184.4741"/>
    <n v="4.38"/>
  </r>
  <r>
    <x v="58"/>
    <x v="58"/>
    <x v="9"/>
    <n v="1291917915048.0876"/>
    <n v="3160000000000"/>
    <n v="68551653"/>
    <n v="1.190467983"/>
    <n v="68.108187540000003"/>
    <n v="7"/>
    <n v="1320897443921.1133"/>
    <n v="-2.19"/>
  </r>
  <r>
    <x v="59"/>
    <x v="59"/>
    <x v="0"/>
    <n v="21307029193.645988"/>
    <n v="14383107763"/>
    <n v="2040989"/>
    <n v="3.8788993949999999"/>
    <n v="73.949781459999997"/>
    <n v="78"/>
    <m/>
    <m/>
  </r>
  <r>
    <x v="59"/>
    <x v="59"/>
    <x v="1"/>
    <n v="19006997967.314999"/>
    <n v="14023890265"/>
    <n v="2100306"/>
    <n v="2.0914422080000001"/>
    <n v="70.133381060000005"/>
    <n v="82"/>
    <n v="21307029193.645988"/>
    <n v="-10.79"/>
  </r>
  <r>
    <x v="59"/>
    <x v="59"/>
    <x v="2"/>
    <n v="11542054406.409992"/>
    <n v="14929487485"/>
    <n v="2156900"/>
    <n v="0.47264203100000002"/>
    <n v="75.068740450000007"/>
    <n v="93"/>
    <n v="19006997967.314999"/>
    <n v="-39.270000000000003"/>
  </r>
  <r>
    <x v="59"/>
    <x v="59"/>
    <x v="3"/>
    <n v="17167716419.689997"/>
    <n v="16867326402"/>
    <n v="2212318"/>
    <n v="0.83791658099999999"/>
    <n v="77.036597700000002"/>
    <n v="86"/>
    <n v="11542054406.409992"/>
    <n v="48.74"/>
  </r>
  <r>
    <x v="59"/>
    <x v="59"/>
    <x v="4"/>
    <n v="15427085773.809994"/>
    <n v="16874405465"/>
    <n v="2267706"/>
    <n v="3.9208087950000001"/>
    <n v="73.428089450000002"/>
    <n v="85"/>
    <n v="17167716419.689997"/>
    <n v="-10.14"/>
  </r>
  <r>
    <x v="59"/>
    <x v="59"/>
    <x v="5"/>
    <n v="14689572861.021004"/>
    <n v="15342236164"/>
    <n v="2322539"/>
    <n v="-1.8377610639999999"/>
    <n v="70.11405465"/>
    <n v="84"/>
    <n v="15427085773.809994"/>
    <n v="-4.78"/>
  </r>
  <r>
    <x v="59"/>
    <x v="59"/>
    <x v="6"/>
    <n v="16062335692.988995"/>
    <n v="19444935097"/>
    <n v="2376722"/>
    <n v="1.467957315"/>
    <n v="85.348312210000003"/>
    <n v="91"/>
    <n v="14689572861.021004"/>
    <n v="9.35"/>
  </r>
  <r>
    <x v="59"/>
    <x v="59"/>
    <x v="7"/>
    <n v="20940912957.212002"/>
    <n v="20440655695"/>
    <n v="2430747"/>
    <n v="3.0376144950000001"/>
    <n v="92.06308885"/>
    <n v="85"/>
    <n v="16062335692.988995"/>
    <n v="30.37"/>
  </r>
  <r>
    <x v="59"/>
    <x v="59"/>
    <x v="8"/>
    <n v="25389935057.115002"/>
    <n v="19388372071"/>
    <n v="2484789"/>
    <n v="2.43893665"/>
    <n v="91.478653320000006"/>
    <n v="74"/>
    <n v="20940912957.212002"/>
    <n v="21.25"/>
  </r>
  <r>
    <x v="60"/>
    <x v="60"/>
    <x v="0"/>
    <n v="932591365509"/>
    <n v="2950000000000"/>
    <n v="65087000"/>
    <n v="2.1404055999999998"/>
    <n v="57.125044610000003"/>
    <n v="7"/>
    <m/>
    <m/>
  </r>
  <r>
    <x v="60"/>
    <x v="60"/>
    <x v="1"/>
    <n v="822926711253"/>
    <n v="2710000000000"/>
    <n v="65606000"/>
    <n v="2.206520206"/>
    <n v="59.83953151"/>
    <n v="9"/>
    <n v="932591365509"/>
    <n v="-11.76"/>
  </r>
  <r>
    <x v="60"/>
    <x v="60"/>
    <x v="2"/>
    <n v="883694648428.58984"/>
    <n v="2700000000000"/>
    <n v="65964000"/>
    <n v="3.023222198"/>
    <n v="63.189924580000003"/>
    <n v="9"/>
    <n v="822926711253"/>
    <n v="7.38"/>
  </r>
  <r>
    <x v="60"/>
    <x v="60"/>
    <x v="3"/>
    <n v="981680727107.14917"/>
    <n v="2900000000000"/>
    <n v="66287000"/>
    <n v="1.551330951"/>
    <n v="64.909772200000006"/>
    <n v="9"/>
    <n v="883694648428.58984"/>
    <n v="11.09"/>
  </r>
  <r>
    <x v="60"/>
    <x v="60"/>
    <x v="4"/>
    <n v="936644832295.16675"/>
    <n v="2880000000000"/>
    <n v="66628000"/>
    <n v="1.2562989979999999"/>
    <n v="65.003566419999999"/>
    <n v="9"/>
    <n v="981680727107.14917"/>
    <n v="-4.59"/>
  </r>
  <r>
    <x v="60"/>
    <x v="60"/>
    <x v="5"/>
    <n v="791384173172.27637"/>
    <n v="2720000000000"/>
    <n v="66740000"/>
    <n v="-10.047896639999999"/>
    <n v="59.159889300000003"/>
    <n v="10"/>
    <n v="936644832295.16675"/>
    <n v="-15.51"/>
  </r>
  <r>
    <x v="60"/>
    <x v="60"/>
    <x v="6"/>
    <n v="941095572058.92432"/>
    <n v="3190000000000"/>
    <n v="66978000"/>
    <n v="8.5431118450000003"/>
    <n v="58.538386289999998"/>
    <n v="12"/>
    <n v="791384173172.27637"/>
    <n v="18.920000000000002"/>
  </r>
  <r>
    <x v="60"/>
    <x v="60"/>
    <x v="7"/>
    <n v="1086372091001.4473"/>
    <n v="3180000000000"/>
    <n v="67636000"/>
    <n v="5.1497038850000001"/>
    <n v="69.198926439999994"/>
    <n v="11"/>
    <n v="941095572058.92432"/>
    <n v="15.44"/>
  </r>
  <r>
    <x v="60"/>
    <x v="60"/>
    <x v="8"/>
    <n v="1042414445910.6543"/>
    <n v="3420000000000"/>
    <n v="68526000"/>
    <n v="0.27165004799999998"/>
    <n v="64.992384169999994"/>
    <n v="12"/>
    <n v="1086372091001.4473"/>
    <n v="-4.05"/>
  </r>
  <r>
    <x v="60"/>
    <x v="60"/>
    <x v="9"/>
    <n v="1040331742475.95"/>
    <n v="3700000000000"/>
    <n v="69281000"/>
    <n v="1.0802771689999999"/>
    <n v="62.839052039999999"/>
    <n v="11"/>
    <n v="1042414445910.6543"/>
    <n v="-0.2"/>
  </r>
  <r>
    <x v="61"/>
    <x v="61"/>
    <x v="0"/>
    <n v="4408349362.8600006"/>
    <n v="15223796149"/>
    <n v="3725276"/>
    <n v="3.351023503"/>
    <n v="97.016311509999994"/>
    <n v="114"/>
    <m/>
    <m/>
  </r>
  <r>
    <x v="61"/>
    <x v="61"/>
    <x v="1"/>
    <n v="4234261415.1400013"/>
    <n v="15444548902"/>
    <n v="3727505"/>
    <n v="3.4502151799999998"/>
    <n v="94.926252840000004"/>
    <n v="119"/>
    <n v="4408349362.8600006"/>
    <n v="-3.95"/>
  </r>
  <r>
    <x v="61"/>
    <x v="61"/>
    <x v="2"/>
    <n v="5491318518.7399998"/>
    <n v="16473125375"/>
    <n v="3728004"/>
    <n v="5.1599026170000002"/>
    <n v="102.5842777"/>
    <n v="116"/>
    <n v="4234261415.1400013"/>
    <n v="29.69"/>
  </r>
  <r>
    <x v="61"/>
    <x v="61"/>
    <x v="3"/>
    <n v="6759299025.079999"/>
    <n v="17902544881"/>
    <n v="3726549"/>
    <n v="6.0620364130000004"/>
    <n v="109.84774059999999"/>
    <n v="111"/>
    <n v="5491318518.7399998"/>
    <n v="23.09"/>
  </r>
  <r>
    <x v="61"/>
    <x v="61"/>
    <x v="4"/>
    <n v="7595931387.5000038"/>
    <n v="17638337117"/>
    <n v="3720161"/>
    <n v="5.3807192659999998"/>
    <n v="117.8100802"/>
    <n v="107"/>
    <n v="6759299025.079999"/>
    <n v="12.38"/>
  </r>
  <r>
    <x v="61"/>
    <x v="61"/>
    <x v="5"/>
    <n v="6681395114.2599974"/>
    <n v="16010869216"/>
    <n v="3722716"/>
    <n v="-6.2904717850000003"/>
    <n v="92.891084179999993"/>
    <n v="109"/>
    <n v="7595931387.5000038"/>
    <n v="-12.04"/>
  </r>
  <r>
    <x v="61"/>
    <x v="61"/>
    <x v="6"/>
    <n v="8485025870.1400023"/>
    <n v="18853115589"/>
    <n v="3708610"/>
    <n v="10.644233659999999"/>
    <n v="101.60090750000001"/>
    <n v="106"/>
    <n v="6681395114.2599974"/>
    <n v="26.99"/>
  </r>
  <r>
    <x v="61"/>
    <x v="61"/>
    <x v="7"/>
    <n v="11165004433.390997"/>
    <n v="24984568960"/>
    <n v="3712502"/>
    <n v="10.958532140000001"/>
    <n v="114.6954377"/>
    <n v="103"/>
    <n v="8485025870.1400023"/>
    <n v="31.58"/>
  </r>
  <r>
    <x v="61"/>
    <x v="61"/>
    <x v="8"/>
    <n v="12172651929.909992"/>
    <n v="30777833601"/>
    <n v="3715483"/>
    <n v="7.8322012660000002"/>
    <n v="107.1511792"/>
    <n v="100"/>
    <n v="11165004433.390997"/>
    <n v="9.0299999999999994"/>
  </r>
  <r>
    <x v="61"/>
    <x v="61"/>
    <x v="9"/>
    <n v="13117377139.084993"/>
    <n v="34189423333"/>
    <n v="3812518"/>
    <n v="9.6797937970000003"/>
    <n v="103.45647150000001"/>
    <n v="92"/>
    <n v="12172651929.909992"/>
    <n v="7.76"/>
  </r>
  <r>
    <x v="62"/>
    <x v="62"/>
    <x v="0"/>
    <n v="27511129874.545998"/>
    <n v="49436806230"/>
    <n v="28696068"/>
    <n v="2.120759338"/>
    <n v="76.521270920000006"/>
    <n v="68"/>
    <m/>
    <m/>
  </r>
  <r>
    <x v="62"/>
    <x v="62"/>
    <x v="1"/>
    <n v="21311592830"/>
    <n v="56144179398"/>
    <n v="29356742"/>
    <n v="3.3734657499999998"/>
    <n v="67.876999440000006"/>
    <n v="75"/>
    <n v="27511129874.545998"/>
    <n v="-22.53"/>
  </r>
  <r>
    <x v="62"/>
    <x v="62"/>
    <x v="2"/>
    <n v="28717019903.972004"/>
    <n v="60385409435"/>
    <n v="30008354"/>
    <n v="8.1288948810000008"/>
    <n v="70.548365290000007"/>
    <n v="69"/>
    <n v="21311592830"/>
    <n v="34.75"/>
  </r>
  <r>
    <x v="62"/>
    <x v="62"/>
    <x v="3"/>
    <n v="34199176799.322002"/>
    <n v="67259353966"/>
    <n v="30637585"/>
    <n v="6.2000776809999998"/>
    <n v="67.958517459999996"/>
    <n v="69"/>
    <n v="28717019903.972004"/>
    <n v="19.09"/>
  </r>
  <r>
    <x v="62"/>
    <x v="62"/>
    <x v="4"/>
    <n v="33536550379.847004"/>
    <n v="68352629246"/>
    <n v="31258945"/>
    <n v="6.5077747940000004"/>
    <n v="76.824802730000002"/>
    <n v="68"/>
    <n v="34199176799.322002"/>
    <n v="-1.94"/>
  </r>
  <r>
    <x v="62"/>
    <x v="62"/>
    <x v="6"/>
    <n v="29646464976.175003"/>
    <n v="79514204730"/>
    <n v="32518665"/>
    <n v="5.0764664350000004"/>
    <n v="62.707830909999998"/>
    <n v="73"/>
    <n v="33536550379.847004"/>
    <n v="-11.6"/>
  </r>
  <r>
    <x v="62"/>
    <x v="62"/>
    <x v="7"/>
    <n v="34757514773.783005"/>
    <n v="73919003212"/>
    <n v="33149152"/>
    <n v="3.8048497819999998"/>
    <n v="70.115455789999999"/>
    <n v="69"/>
    <n v="29646464976.175003"/>
    <n v="17.239999999999998"/>
  </r>
  <r>
    <x v="62"/>
    <x v="62"/>
    <x v="8"/>
    <n v="33749324572.265999"/>
    <n v="80547146876"/>
    <n v="33787914"/>
    <n v="3.140091001"/>
    <n v="64.387861529999995"/>
    <n v="69"/>
    <n v="34757514773.783005"/>
    <n v="-2.9"/>
  </r>
  <r>
    <x v="63"/>
    <x v="63"/>
    <x v="0"/>
    <n v="3147350405"/>
    <n v="8794201743"/>
    <n v="11767070"/>
    <n v="3.8259105689999999"/>
    <n v="72.442730749999996"/>
    <n v="122"/>
    <m/>
    <m/>
  </r>
  <r>
    <x v="63"/>
    <x v="63"/>
    <x v="1"/>
    <n v="4789057041.9000006"/>
    <n v="8595955222"/>
    <n v="12073030"/>
    <n v="10.820627200000001"/>
    <n v="111.8394674"/>
    <n v="114"/>
    <n v="3147350405"/>
    <n v="52.16"/>
  </r>
  <r>
    <x v="64"/>
    <x v="64"/>
    <x v="0"/>
    <n v="166648030.46300006"/>
    <n v="1378176609"/>
    <n v="2224529"/>
    <n v="4.0580738040000002"/>
    <n v="44.522373080000001"/>
    <n v="156"/>
    <m/>
    <m/>
  </r>
  <r>
    <x v="64"/>
    <x v="64"/>
    <x v="1"/>
    <n v="68581874.193000004"/>
    <n v="1484578886"/>
    <n v="2283769"/>
    <n v="1.9433596550000001"/>
    <n v="38.114087959999999"/>
    <n v="165"/>
    <n v="166648030.46300006"/>
    <n v="-58.85"/>
  </r>
  <r>
    <x v="64"/>
    <x v="64"/>
    <x v="2"/>
    <n v="27615743.997999996"/>
    <n v="1504909463"/>
    <n v="2342189"/>
    <n v="4.8226112490000004"/>
    <n v="55.73357961"/>
    <n v="170"/>
    <n v="68581874.193000004"/>
    <n v="-59.73"/>
  </r>
  <r>
    <x v="64"/>
    <x v="64"/>
    <x v="3"/>
    <n v="22856929.745999992"/>
    <n v="1670671328"/>
    <n v="2399632"/>
    <n v="7.2348903330000001"/>
    <n v="64.812464000000006"/>
    <n v="168"/>
    <n v="27615743.997999996"/>
    <n v="-17.23"/>
  </r>
  <r>
    <x v="64"/>
    <x v="64"/>
    <x v="4"/>
    <n v="49204541.782999985"/>
    <n v="1813609692"/>
    <n v="2456844"/>
    <n v="6.2220531599999997"/>
    <n v="55.997911620000004"/>
    <n v="162"/>
    <n v="22856929.745999992"/>
    <n v="115.27"/>
  </r>
  <r>
    <x v="64"/>
    <x v="64"/>
    <x v="5"/>
    <n v="51720028.406000003"/>
    <n v="1812170891"/>
    <n v="2515733"/>
    <n v="0.59148728800000006"/>
    <n v="47.395520169999998"/>
    <n v="153"/>
    <n v="49204541.782999985"/>
    <n v="5.1100000000000003"/>
  </r>
  <r>
    <x v="64"/>
    <x v="64"/>
    <x v="6"/>
    <n v="52802920.879999995"/>
    <n v="2014158842"/>
    <n v="2576010"/>
    <n v="5.2559687879999997"/>
    <n v="42.097982799999997"/>
    <n v="156"/>
    <n v="51720028.406000003"/>
    <n v="2.09"/>
  </r>
  <r>
    <x v="64"/>
    <x v="64"/>
    <x v="7"/>
    <n v="109824591.567"/>
    <n v="2204734528"/>
    <n v="2636470"/>
    <n v="5.4929982300000004"/>
    <n v="44.721921539999997"/>
    <n v="150"/>
    <n v="52802920.879999995"/>
    <n v="107.99"/>
  </r>
  <r>
    <x v="64"/>
    <x v="64"/>
    <x v="8"/>
    <n v="166899603.18799999"/>
    <n v="2382262185"/>
    <n v="2697845"/>
    <n v="5.9167957659999999"/>
    <n v="39.962017350000004"/>
    <n v="147"/>
    <n v="109824591.567"/>
    <n v="51.97"/>
  </r>
  <r>
    <x v="64"/>
    <x v="64"/>
    <x v="9"/>
    <n v="99283798.947999999"/>
    <n v="2404888738"/>
    <n v="2759988"/>
    <n v="5.5512606580000003"/>
    <n v="42.170617210000003"/>
    <n v="127"/>
    <n v="166899603.18799999"/>
    <n v="-40.51"/>
  </r>
  <r>
    <x v="65"/>
    <x v="65"/>
    <x v="0"/>
    <n v="654447951.55599999"/>
    <n v="1152384167"/>
    <n v="1786457"/>
    <n v="6.1340893620000001"/>
    <n v="54.370375590000002"/>
    <n v="147"/>
    <m/>
    <m/>
  </r>
  <r>
    <x v="65"/>
    <x v="65"/>
    <x v="1"/>
    <n v="352527011.93800002"/>
    <n v="1245074264"/>
    <n v="1831893"/>
    <n v="5.4326782649999998"/>
    <n v="54.30067305"/>
    <n v="152"/>
    <n v="654447951.55599999"/>
    <n v="-46.13"/>
  </r>
  <r>
    <x v="65"/>
    <x v="65"/>
    <x v="2"/>
    <n v="378538579.42000002"/>
    <n v="1469978606"/>
    <n v="1877072"/>
    <n v="4.663679439"/>
    <n v="56.91374759"/>
    <n v="152"/>
    <n v="352527011.93800002"/>
    <n v="7.38"/>
  </r>
  <r>
    <x v="65"/>
    <x v="65"/>
    <x v="3"/>
    <n v="489597516.22799999"/>
    <n v="1554133594"/>
    <n v="1922168"/>
    <n v="3.761453596"/>
    <n v="55.01958904"/>
    <n v="146"/>
    <n v="378538579.42000002"/>
    <n v="29.34"/>
  </r>
  <r>
    <x v="66"/>
    <x v="66"/>
    <x v="0"/>
    <n v="56578473162"/>
    <n v="195000000000"/>
    <n v="10820883"/>
    <n v="-0.22830189200000001"/>
    <n v="65.271645460000002"/>
    <n v="56"/>
    <m/>
    <m/>
  </r>
  <r>
    <x v="66"/>
    <x v="66"/>
    <x v="1"/>
    <n v="55621849674"/>
    <n v="193000000000"/>
    <n v="10775971"/>
    <n v="-3.1794768000000001E-2"/>
    <n v="63.657549090000003"/>
    <n v="56"/>
    <n v="56578473162"/>
    <n v="-1.69"/>
  </r>
  <r>
    <x v="66"/>
    <x v="66"/>
    <x v="2"/>
    <n v="64309632811.274979"/>
    <n v="200000000000"/>
    <n v="10754679"/>
    <n v="1.4731247270000001"/>
    <n v="70.882496739999993"/>
    <n v="55"/>
    <n v="55621849674"/>
    <n v="15.62"/>
  </r>
  <r>
    <x v="66"/>
    <x v="66"/>
    <x v="3"/>
    <n v="78981042875.705994"/>
    <n v="213000000000"/>
    <n v="10732882"/>
    <n v="2.0646720790000002"/>
    <n v="79.237990859999996"/>
    <n v="54"/>
    <n v="64309632811.274979"/>
    <n v="22.81"/>
  </r>
  <r>
    <x v="66"/>
    <x v="66"/>
    <x v="4"/>
    <n v="75771053008.740997"/>
    <n v="207000000000"/>
    <n v="10721582"/>
    <n v="2.2771806529999998"/>
    <n v="80.590094949999994"/>
    <n v="52"/>
    <n v="78981042875.705994"/>
    <n v="-4.0599999999999996"/>
  </r>
  <r>
    <x v="66"/>
    <x v="66"/>
    <x v="5"/>
    <n v="70140923211.673981"/>
    <n v="191000000000"/>
    <n v="10698599"/>
    <n v="-9.1962314969999994"/>
    <n v="70.293746459999994"/>
    <n v="49"/>
    <n v="75771053008.740997"/>
    <n v="-7.43"/>
  </r>
  <r>
    <x v="66"/>
    <x v="66"/>
    <x v="6"/>
    <n v="94488554633.391922"/>
    <n v="218000000000"/>
    <n v="10570130"/>
    <n v="8.6544978599999993"/>
    <n v="88.01266545"/>
    <n v="48"/>
    <n v="70140923211.673981"/>
    <n v="34.71"/>
  </r>
  <r>
    <x v="66"/>
    <x v="66"/>
    <x v="7"/>
    <n v="115136049942.05496"/>
    <n v="218000000000"/>
    <n v="10437805"/>
    <n v="5.521985806"/>
    <n v="108.1218432"/>
    <n v="48"/>
    <n v="94488554633.391922"/>
    <n v="21.85"/>
  </r>
  <r>
    <x v="66"/>
    <x v="66"/>
    <x v="8"/>
    <n v="110103173567.40707"/>
    <n v="243000000000"/>
    <n v="10407351"/>
    <n v="2.1359113199999999"/>
    <n v="92.471088289999997"/>
    <n v="48"/>
    <n v="115136049942.05496"/>
    <n v="-4.37"/>
  </r>
  <r>
    <x v="66"/>
    <x v="66"/>
    <x v="9"/>
    <n v="106714297917.19612"/>
    <n v="256000000000"/>
    <n v="10405134"/>
    <n v="2.0865743380000001"/>
    <n v="89.776527939999994"/>
    <n v="46"/>
    <n v="110103173567.40707"/>
    <n v="-3.08"/>
  </r>
  <r>
    <x v="67"/>
    <x v="67"/>
    <x v="0"/>
    <n v="66638825.210000016"/>
    <n v="997007407.39999998"/>
    <n v="114676"/>
    <n v="6.4452231470000001"/>
    <m/>
    <n v="161"/>
    <m/>
    <m/>
  </r>
  <r>
    <x v="67"/>
    <x v="67"/>
    <x v="1"/>
    <n v="70210083.860999987"/>
    <n v="1061640741"/>
    <n v="115130"/>
    <n v="3.7396039559999998"/>
    <m/>
    <n v="164"/>
    <n v="66638825.210000016"/>
    <n v="5.36"/>
  </r>
  <r>
    <x v="67"/>
    <x v="67"/>
    <x v="2"/>
    <n v="61036304.148999996"/>
    <n v="1125685185"/>
    <n v="115438"/>
    <n v="4.4386756690000002"/>
    <m/>
    <n v="167"/>
    <n v="70210083.860999987"/>
    <n v="-13.07"/>
  </r>
  <r>
    <x v="67"/>
    <x v="67"/>
    <x v="3"/>
    <n v="75492171.17400001"/>
    <n v="1166514815"/>
    <n v="115691"/>
    <n v="4.3614403939999997"/>
    <m/>
    <n v="161"/>
    <n v="61036304.148999996"/>
    <n v="23.68"/>
  </r>
  <r>
    <x v="67"/>
    <x v="67"/>
    <x v="4"/>
    <n v="68962373.664000005"/>
    <n v="1213485185"/>
    <n v="115981"/>
    <n v="0.67651173899999995"/>
    <m/>
    <n v="160"/>
    <n v="75492171.17400001"/>
    <n v="-8.65"/>
  </r>
  <r>
    <x v="67"/>
    <x v="67"/>
    <x v="5"/>
    <n v="49240965.418000005"/>
    <n v="1043411111"/>
    <n v="116341"/>
    <n v="-13.75662226"/>
    <m/>
    <n v="154"/>
    <n v="68962373.664000005"/>
    <n v="-28.6"/>
  </r>
  <r>
    <x v="67"/>
    <x v="67"/>
    <x v="6"/>
    <n v="70326788.817000002"/>
    <n v="1122222222"/>
    <n v="116688"/>
    <n v="4.6977240230000001"/>
    <m/>
    <n v="151"/>
    <n v="49240965.418000005"/>
    <n v="42.82"/>
  </r>
  <r>
    <x v="67"/>
    <x v="67"/>
    <x v="7"/>
    <n v="74944479.925999999"/>
    <n v="1224007407"/>
    <n v="116913"/>
    <n v="7.3102380699999996"/>
    <m/>
    <n v="155"/>
    <n v="70326788.817000002"/>
    <n v="6.57"/>
  </r>
  <r>
    <x v="67"/>
    <x v="67"/>
    <x v="8"/>
    <n v="92110188.111999989"/>
    <n v="1336418519"/>
    <n v="117081"/>
    <n v="4.5265749749999999"/>
    <m/>
    <n v="148"/>
    <n v="74944479.925999999"/>
    <n v="22.9"/>
  </r>
  <r>
    <x v="67"/>
    <x v="67"/>
    <x v="9"/>
    <n v="86867059.699999988"/>
    <n v="1351270370"/>
    <n v="117207"/>
    <n v="2.3996478450000001"/>
    <m/>
    <n v="128"/>
    <n v="92110188.111999989"/>
    <n v="-5.69"/>
  </r>
  <r>
    <x v="68"/>
    <x v="68"/>
    <x v="0"/>
    <n v="812603359.69999969"/>
    <n v="2499113023"/>
    <n v="56114"/>
    <n v="-2.5293180240000002"/>
    <n v="83.101381009999997"/>
    <n v="144"/>
    <m/>
    <m/>
  </r>
  <r>
    <x v="68"/>
    <x v="68"/>
    <x v="1"/>
    <n v="1150666335.9399998"/>
    <n v="2707139544"/>
    <n v="56186"/>
    <n v="4.6819541100000004"/>
    <n v="85.837672920000003"/>
    <n v="141"/>
    <n v="812603359.69999969"/>
    <n v="41.6"/>
  </r>
  <r>
    <x v="68"/>
    <x v="68"/>
    <x v="2"/>
    <n v="1191674380.3200002"/>
    <n v="2851613679"/>
    <n v="56172"/>
    <n v="5.2728182999999998E-2"/>
    <n v="84.207255869999997"/>
    <n v="142"/>
    <n v="1150666335.9399998"/>
    <n v="3.56"/>
  </r>
  <r>
    <x v="68"/>
    <x v="68"/>
    <x v="3"/>
    <n v="1281794687.2800004"/>
    <n v="3055782146"/>
    <n v="56023"/>
    <n v="0.62306542899999995"/>
    <n v="89.776690630000004"/>
    <n v="140"/>
    <n v="1191674380.3200002"/>
    <n v="7.56"/>
  </r>
  <r>
    <x v="69"/>
    <x v="69"/>
    <x v="0"/>
    <n v="21354788924"/>
    <n v="62186066548"/>
    <n v="15971743"/>
    <n v="4.0921717009999998"/>
    <n v="49.893451859999999"/>
    <n v="77"/>
    <m/>
    <m/>
  </r>
  <r>
    <x v="69"/>
    <x v="69"/>
    <x v="1"/>
    <n v="21182659196"/>
    <n v="66053408206"/>
    <n v="16268760"/>
    <n v="2.6778031929999999"/>
    <n v="46.372734389999998"/>
    <n v="76"/>
    <n v="21354788924"/>
    <n v="-0.81"/>
  </r>
  <r>
    <x v="69"/>
    <x v="69"/>
    <x v="2"/>
    <n v="22022782794"/>
    <n v="71653780740"/>
    <n v="16567357"/>
    <n v="3.0798512210000002"/>
    <n v="46.069403440000002"/>
    <n v="80"/>
    <n v="21182659196"/>
    <n v="3.97"/>
  </r>
  <r>
    <x v="69"/>
    <x v="69"/>
    <x v="3"/>
    <n v="21726967872"/>
    <n v="73328356008"/>
    <n v="16845685"/>
    <n v="3.4068732819999998"/>
    <n v="47.01168534"/>
    <n v="80"/>
    <n v="22022782794"/>
    <n v="-1.34"/>
  </r>
  <r>
    <x v="69"/>
    <x v="69"/>
    <x v="4"/>
    <n v="22578352248"/>
    <n v="77172331693"/>
    <n v="17103803"/>
    <n v="4.0178983089999996"/>
    <n v="45.51673418"/>
    <n v="78"/>
    <n v="21726967872"/>
    <n v="3.92"/>
  </r>
  <r>
    <x v="69"/>
    <x v="69"/>
    <x v="5"/>
    <n v="23316938088"/>
    <n v="77719468248"/>
    <n v="17357325"/>
    <n v="-1.785551176"/>
    <n v="41.1407594"/>
    <n v="73"/>
    <n v="22578352248"/>
    <n v="3.27"/>
  </r>
  <r>
    <x v="69"/>
    <x v="69"/>
    <x v="6"/>
    <n v="27471198390"/>
    <n v="86455522273"/>
    <n v="17598650"/>
    <n v="8.0417039890000002"/>
    <n v="49.261149439999997"/>
    <n v="76"/>
    <n v="23316938088"/>
    <n v="17.82"/>
  </r>
  <r>
    <x v="69"/>
    <x v="69"/>
    <x v="7"/>
    <n v="31612304352"/>
    <n v="95609727056"/>
    <n v="17847877"/>
    <n v="4.1549219659999999"/>
    <n v="54.44909646"/>
    <n v="72"/>
    <n v="27471198390"/>
    <n v="15.07"/>
  </r>
  <r>
    <x v="69"/>
    <x v="69"/>
    <x v="8"/>
    <n v="28522065256"/>
    <n v="104000000000"/>
    <n v="18124838"/>
    <n v="3.52430434"/>
    <n v="48.329797849999999"/>
    <n v="73"/>
    <n v="31612304352"/>
    <n v="-9.7799999999999994"/>
  </r>
  <r>
    <x v="69"/>
    <x v="69"/>
    <x v="9"/>
    <n v="29520689580"/>
    <n v="113000000000"/>
    <n v="18406359"/>
    <n v="3.7155845379999999"/>
    <n v="47.305298139999998"/>
    <n v="70"/>
    <n v="28522065256"/>
    <n v="3.5"/>
  </r>
  <r>
    <x v="70"/>
    <x v="70"/>
    <x v="0"/>
    <n v="2338734533.3459997"/>
    <n v="4279840194"/>
    <n v="758781"/>
    <n v="0.68740459099999995"/>
    <m/>
    <n v="128"/>
    <m/>
    <m/>
  </r>
  <r>
    <x v="70"/>
    <x v="70"/>
    <x v="1"/>
    <n v="2905263122"/>
    <n v="4482697337"/>
    <n v="763548"/>
    <n v="3.8074562639999998"/>
    <m/>
    <n v="126"/>
    <n v="2338734533.3459997"/>
    <n v="24.22"/>
  </r>
  <r>
    <x v="70"/>
    <x v="70"/>
    <x v="2"/>
    <n v="3579379815.5019989"/>
    <n v="4748174334"/>
    <n v="768479"/>
    <n v="3.7344915460000001"/>
    <m/>
    <n v="127"/>
    <n v="2905263122"/>
    <n v="23.2"/>
  </r>
  <r>
    <x v="70"/>
    <x v="70"/>
    <x v="3"/>
    <n v="2759004083.9770002"/>
    <n v="4787636998"/>
    <n v="791556"/>
    <n v="4.4409128850000004"/>
    <m/>
    <n v="126"/>
    <n v="3579379815.5019989"/>
    <n v="-22.92"/>
  </r>
  <r>
    <x v="70"/>
    <x v="70"/>
    <x v="4"/>
    <n v="3131446119.8559999"/>
    <n v="5173760192"/>
    <n v="807665"/>
    <n v="5.3528400349999998"/>
    <m/>
    <n v="126"/>
    <n v="2759004083.9770002"/>
    <n v="13.5"/>
  </r>
  <r>
    <x v="70"/>
    <x v="70"/>
    <x v="5"/>
    <n v="10393341195.877001"/>
    <n v="5471256595"/>
    <n v="807481"/>
    <n v="43.47965172"/>
    <m/>
    <n v="93"/>
    <n v="3131446119.8559999"/>
    <n v="231.9"/>
  </r>
  <r>
    <x v="70"/>
    <x v="70"/>
    <x v="6"/>
    <n v="17415812783.016994"/>
    <n v="8041362110"/>
    <n v="815482"/>
    <n v="20.059997559999999"/>
    <m/>
    <n v="87"/>
    <n v="10393341195.877001"/>
    <n v="67.569999999999993"/>
  </r>
  <r>
    <x v="70"/>
    <x v="70"/>
    <x v="7"/>
    <n v="45124693696.20697"/>
    <n v="14718388489"/>
    <n v="821637"/>
    <n v="63.334634370000003"/>
    <m/>
    <n v="64"/>
    <n v="17415812783.016994"/>
    <n v="159.1"/>
  </r>
  <r>
    <x v="70"/>
    <x v="70"/>
    <x v="8"/>
    <n v="21623512460.402004"/>
    <n v="16918503597"/>
    <n v="826353"/>
    <n v="33.795011119999998"/>
    <m/>
    <n v="82"/>
    <n v="45124693696.20697"/>
    <n v="-52.08"/>
  </r>
  <r>
    <x v="70"/>
    <x v="70"/>
    <x v="9"/>
    <n v="44829167100.029984"/>
    <n v="24662714628"/>
    <n v="831087"/>
    <n v="43.819272640000001"/>
    <m/>
    <n v="62"/>
    <n v="21623512460.402004"/>
    <n v="107.32"/>
  </r>
  <r>
    <x v="71"/>
    <x v="71"/>
    <x v="0"/>
    <n v="1021105557270.4033"/>
    <n v="309000000000"/>
    <n v="7291300"/>
    <n v="2.38780116"/>
    <n v="389.40594929999997"/>
    <n v="5"/>
    <m/>
    <m/>
  </r>
  <r>
    <x v="71"/>
    <x v="71"/>
    <x v="1"/>
    <n v="1033176261866.1112"/>
    <n v="321000000000"/>
    <n v="7336600"/>
    <n v="2.1754482030000002"/>
    <n v="371.72723180000003"/>
    <n v="4"/>
    <n v="1021105557270.4033"/>
    <n v="1.18"/>
  </r>
  <r>
    <x v="71"/>
    <x v="71"/>
    <x v="2"/>
    <n v="1099722910426.6221"/>
    <n v="341000000000"/>
    <n v="7393200"/>
    <n v="3.7961093720000001"/>
    <n v="376.79566670000003"/>
    <n v="5"/>
    <n v="1033176261866.1112"/>
    <n v="6.44"/>
  </r>
  <r>
    <x v="71"/>
    <x v="71"/>
    <x v="3"/>
    <n v="1138211479462.2312"/>
    <n v="362000000000"/>
    <n v="7452600"/>
    <n v="2.8469092269999998"/>
    <n v="376.89277349999998"/>
    <n v="6"/>
    <n v="1099722910426.6221"/>
    <n v="3.5"/>
  </r>
  <r>
    <x v="71"/>
    <x v="71"/>
    <x v="4"/>
    <n v="1071422037810.1497"/>
    <n v="363000000000"/>
    <n v="7507900"/>
    <n v="-1.67242866"/>
    <n v="353.74352110000001"/>
    <n v="8"/>
    <n v="1138211479462.2312"/>
    <n v="-5.87"/>
  </r>
  <r>
    <x v="71"/>
    <x v="71"/>
    <x v="5"/>
    <n v="1103031511849.2498"/>
    <n v="345000000000"/>
    <n v="7481000"/>
    <n v="-6.5447964049999996"/>
    <n v="350.67970500000001"/>
    <n v="4"/>
    <n v="1071422037810.1497"/>
    <n v="2.95"/>
  </r>
  <r>
    <x v="71"/>
    <x v="71"/>
    <x v="6"/>
    <n v="1341852158914.1067"/>
    <n v="369000000000"/>
    <n v="7413100"/>
    <n v="6.454430383"/>
    <n v="402.45968149999999"/>
    <n v="5"/>
    <n v="1103031511849.2498"/>
    <n v="21.65"/>
  </r>
  <r>
    <x v="71"/>
    <x v="71"/>
    <x v="7"/>
    <n v="1220276708522.2219"/>
    <n v="359000000000"/>
    <n v="7346100"/>
    <n v="-3.6852835929999999"/>
    <n v="384.88591000000002"/>
    <n v="8"/>
    <n v="1341852158914.1067"/>
    <n v="-9.06"/>
  </r>
  <r>
    <x v="71"/>
    <x v="71"/>
    <x v="8"/>
    <n v="1150088755291.6431"/>
    <n v="381000000000"/>
    <n v="7536100"/>
    <n v="3.1503446180000001"/>
    <n v="353.19460889999999"/>
    <n v="9"/>
    <n v="1220276708522.2219"/>
    <n v="-5.75"/>
  </r>
  <r>
    <x v="71"/>
    <x v="71"/>
    <x v="9"/>
    <n v="1278821108595.5044"/>
    <n v="408000000000"/>
    <n v="7524100"/>
    <n v="2.6293686119999999"/>
    <n v="359.39066300000002"/>
    <n v="8"/>
    <n v="1150088755291.6431"/>
    <n v="11.19"/>
  </r>
  <r>
    <x v="72"/>
    <x v="72"/>
    <x v="0"/>
    <n v="8402946762"/>
    <n v="20979791685"/>
    <n v="9237305"/>
    <n v="3.8400799710000002"/>
    <n v="107.2644054"/>
    <n v="102"/>
    <m/>
    <m/>
  </r>
  <r>
    <x v="72"/>
    <x v="72"/>
    <x v="1"/>
    <n v="8169283832"/>
    <n v="21717604952"/>
    <n v="9412380"/>
    <n v="3.8929721970000002"/>
    <n v="99.815716949999995"/>
    <n v="102"/>
    <n v="8402946762"/>
    <n v="-2.78"/>
  </r>
  <r>
    <x v="72"/>
    <x v="72"/>
    <x v="2"/>
    <n v="9940288791.960001"/>
    <n v="23136247991"/>
    <n v="9588137"/>
    <n v="4.8429139110000001"/>
    <n v="101.8131111"/>
    <n v="99"/>
    <n v="8169283832"/>
    <n v="21.68"/>
  </r>
  <r>
    <x v="72"/>
    <x v="72"/>
    <x v="3"/>
    <n v="8973260364.3400002"/>
    <n v="24067750760"/>
    <n v="9765210"/>
    <n v="3.84499477"/>
    <n v="103.55116219999999"/>
    <n v="102"/>
    <n v="9940288791.960001"/>
    <n v="-9.73"/>
  </r>
  <r>
    <x v="72"/>
    <x v="72"/>
    <x v="4"/>
    <n v="6182326198.4599991"/>
    <n v="24882225742"/>
    <n v="9943633"/>
    <n v="2.5596343460000002"/>
    <n v="99.459535250000002"/>
    <n v="113"/>
    <n v="8973260364.3400002"/>
    <n v="-31.1"/>
  </r>
  <r>
    <x v="72"/>
    <x v="72"/>
    <x v="5"/>
    <n v="9332592872.8599987"/>
    <n v="23352232484"/>
    <n v="10119640"/>
    <n v="-8.9650822330000004"/>
    <n v="88.000856380000002"/>
    <n v="98"/>
    <n v="6182326198.4599991"/>
    <n v="50.96"/>
  </r>
  <r>
    <x v="72"/>
    <x v="72"/>
    <x v="6"/>
    <n v="9951897976.2800007"/>
    <n v="28144331507"/>
    <n v="10289877"/>
    <n v="12.56528438"/>
    <n v="103.3726435"/>
    <n v="103"/>
    <n v="9332592872.8599987"/>
    <n v="6.64"/>
  </r>
  <r>
    <x v="72"/>
    <x v="72"/>
    <x v="8"/>
    <n v="14341941548.779999"/>
    <n v="34355805528"/>
    <n v="10644851"/>
    <n v="3.5758476049999999"/>
    <n v="98.791979830000002"/>
    <n v="95"/>
    <n v="9951897976.2800007"/>
    <n v="44.11"/>
  </r>
  <r>
    <x v="72"/>
    <x v="72"/>
    <x v="9"/>
    <n v="13941039744.739994"/>
    <n v="36980171442"/>
    <n v="10825703"/>
    <n v="3.6324074550000001"/>
    <n v="91.669411789999998"/>
    <n v="90"/>
    <n v="14341941548.779999"/>
    <n v="-2.8"/>
  </r>
  <r>
    <x v="73"/>
    <x v="73"/>
    <x v="0"/>
    <n v="25687058644"/>
    <n v="50999271059"/>
    <n v="4151725"/>
    <n v="2.3205667929999998"/>
    <n v="90.651786099999995"/>
    <n v="70"/>
    <m/>
    <m/>
  </r>
  <r>
    <x v="73"/>
    <x v="73"/>
    <x v="1"/>
    <n v="27295068116"/>
    <n v="52650804052"/>
    <n v="4106867"/>
    <n v="3.4661314600000002"/>
    <n v="92.139343229999994"/>
    <n v="68"/>
    <n v="25687058644"/>
    <n v="6.26"/>
  </r>
  <r>
    <x v="73"/>
    <x v="73"/>
    <x v="2"/>
    <n v="31541981116"/>
    <n v="56182225079"/>
    <n v="4041407"/>
    <n v="3.2840626940000002"/>
    <n v="97.245234460000006"/>
    <n v="66"/>
    <n v="27295068116"/>
    <n v="15.56"/>
  </r>
  <r>
    <x v="73"/>
    <x v="73"/>
    <x v="3"/>
    <n v="34420938580"/>
    <n v="61668280700"/>
    <n v="3988775"/>
    <n v="2.9110714620000002"/>
    <n v="99.084589309999998"/>
    <n v="68"/>
    <n v="31541981116"/>
    <n v="9.1300000000000008"/>
  </r>
  <r>
    <x v="73"/>
    <x v="73"/>
    <x v="4"/>
    <n v="34126099630"/>
    <n v="61467261345"/>
    <n v="3949390"/>
    <n v="3.1024728530000001"/>
    <n v="101.39511160000001"/>
    <n v="66"/>
    <n v="34420938580"/>
    <n v="-0.86"/>
  </r>
  <r>
    <x v="73"/>
    <x v="73"/>
    <x v="5"/>
    <n v="33982560596"/>
    <n v="57959824238"/>
    <n v="3914206"/>
    <n v="-8.3104699530000001"/>
    <n v="89.547532709999999"/>
    <n v="64"/>
    <n v="34126099630"/>
    <n v="-0.42"/>
  </r>
  <r>
    <x v="73"/>
    <x v="73"/>
    <x v="6"/>
    <n v="43655897928"/>
    <n v="69002262505"/>
    <n v="3878981"/>
    <n v="12.63127413"/>
    <n v="102.32761429999999"/>
    <n v="65"/>
    <n v="33982560596"/>
    <n v="28.47"/>
  </r>
  <r>
    <x v="73"/>
    <x v="73"/>
    <x v="7"/>
    <n v="50766089292"/>
    <n v="71196460237"/>
    <n v="3855641"/>
    <n v="7.2947911489999999"/>
    <n v="125.41079379999999"/>
    <n v="62"/>
    <n v="43655897928"/>
    <n v="16.29"/>
  </r>
  <r>
    <x v="73"/>
    <x v="73"/>
    <x v="8"/>
    <n v="49340861516"/>
    <n v="85621337533"/>
    <n v="3859686"/>
    <n v="3.7620409270000001"/>
    <n v="107.2778016"/>
    <n v="62"/>
    <n v="50766089292"/>
    <n v="-2.81"/>
  </r>
  <r>
    <x v="73"/>
    <x v="73"/>
    <x v="9"/>
    <n v="52125569766"/>
    <n v="92981894168"/>
    <n v="3866200"/>
    <n v="3.8257844009999999"/>
    <n v="104.9124032"/>
    <n v="61"/>
    <n v="49340861516"/>
    <n v="5.64"/>
  </r>
  <r>
    <x v="74"/>
    <x v="74"/>
    <x v="0"/>
    <n v="432010201.0819999"/>
    <n v="14849629309"/>
    <n v="10523242"/>
    <n v="1.400000009"/>
    <n v="41.945738120000001"/>
    <n v="149"/>
    <m/>
    <m/>
  </r>
  <r>
    <x v="74"/>
    <x v="74"/>
    <x v="1"/>
    <n v="710629410.88200009"/>
    <n v="14069277526"/>
    <n v="10671457"/>
    <n v="1.812468078"/>
    <n v="41.410902219999997"/>
    <n v="148"/>
    <n v="432010201.0819999"/>
    <n v="64.489999999999995"/>
  </r>
  <r>
    <x v="74"/>
    <x v="74"/>
    <x v="2"/>
    <n v="347840461.62400001"/>
    <n v="15093357161"/>
    <n v="10817754"/>
    <n v="2.510271345"/>
    <n v="42.074547789999997"/>
    <n v="153"/>
    <n v="710629410.88200009"/>
    <n v="-51.05"/>
  </r>
  <r>
    <x v="75"/>
    <x v="75"/>
    <x v="0"/>
    <n v="200593694646"/>
    <n v="125000000000"/>
    <n v="9797755"/>
    <n v="3.659816154"/>
    <n v="167.2907385"/>
    <n v="31"/>
    <m/>
    <m/>
  </r>
  <r>
    <x v="75"/>
    <x v="75"/>
    <x v="1"/>
    <n v="206019016592"/>
    <n v="129000000000"/>
    <n v="9759755"/>
    <n v="2.438641413"/>
    <n v="163.97194450000001"/>
    <n v="31"/>
    <n v="200593694646"/>
    <n v="2.7"/>
  </r>
  <r>
    <x v="75"/>
    <x v="75"/>
    <x v="2"/>
    <n v="226993483026"/>
    <n v="143000000000"/>
    <n v="9726756"/>
    <n v="4.1241838949999998"/>
    <n v="165.03285579999999"/>
    <n v="31"/>
    <n v="206019016592"/>
    <n v="10.18"/>
  </r>
  <r>
    <x v="75"/>
    <x v="75"/>
    <x v="3"/>
    <n v="247915770096"/>
    <n v="161000000000"/>
    <n v="9706964"/>
    <n v="5.6061381380000004"/>
    <n v="162.70085879999999"/>
    <n v="31"/>
    <n v="226993483026"/>
    <n v="9.2200000000000006"/>
  </r>
  <r>
    <x v="75"/>
    <x v="75"/>
    <x v="4"/>
    <n v="244361315390"/>
    <n v="165000000000"/>
    <n v="9694824"/>
    <n v="5.0771849509999996"/>
    <n v="159.9255565"/>
    <n v="31"/>
    <n v="247915770096"/>
    <n v="-1.43"/>
  </r>
  <r>
    <x v="75"/>
    <x v="75"/>
    <x v="5"/>
    <n v="239941440964"/>
    <n v="158000000000"/>
    <n v="9670419"/>
    <n v="-4.3387254000000004"/>
    <n v="154.52700290000001"/>
    <n v="31"/>
    <n v="244361315390"/>
    <n v="-1.81"/>
  </r>
  <r>
    <x v="75"/>
    <x v="75"/>
    <x v="6"/>
    <n v="282314183362"/>
    <n v="183000000000"/>
    <n v="9630932"/>
    <n v="7.2229158079999998"/>
    <n v="159.1875273"/>
    <n v="31"/>
    <n v="239941440964"/>
    <n v="17.66"/>
  </r>
  <r>
    <x v="75"/>
    <x v="75"/>
    <x v="7"/>
    <n v="299868229428"/>
    <n v="177000000000"/>
    <n v="9605074"/>
    <n v="4.1523805779999998"/>
    <n v="184.9699526"/>
    <n v="30"/>
    <n v="282314183362"/>
    <n v="6.22"/>
  </r>
  <r>
    <x v="75"/>
    <x v="75"/>
    <x v="8"/>
    <n v="317186178459.11792"/>
    <n v="213000000000"/>
    <n v="9592186"/>
    <n v="-0.81710737099999997"/>
    <n v="158.61882560000001"/>
    <n v="30"/>
    <n v="299868229428"/>
    <n v="5.78"/>
  </r>
  <r>
    <x v="75"/>
    <x v="75"/>
    <x v="9"/>
    <n v="309091427650.07983"/>
    <n v="223000000000"/>
    <n v="9562065"/>
    <n v="0.70907059900000002"/>
    <n v="147.92666650000001"/>
    <n v="28"/>
    <n v="317186178459.11792"/>
    <n v="-2.5499999999999998"/>
  </r>
  <r>
    <x v="76"/>
    <x v="76"/>
    <x v="0"/>
    <n v="300732562610"/>
    <n v="861000000000"/>
    <n v="261799249"/>
    <n v="4.8763223"/>
    <n v="41.93764024"/>
    <n v="27"/>
    <m/>
    <m/>
  </r>
  <r>
    <x v="76"/>
    <x v="76"/>
    <x v="1"/>
    <n v="288979592833"/>
    <n v="932000000000"/>
    <n v="264627418"/>
    <n v="5.0330691830000003"/>
    <n v="37.4213418"/>
    <n v="28"/>
    <n v="300732562610"/>
    <n v="-3.91"/>
  </r>
  <r>
    <x v="76"/>
    <x v="76"/>
    <x v="2"/>
    <n v="337655108085.16779"/>
    <n v="1020000000000"/>
    <n v="267346658"/>
    <n v="5.0697859010000004"/>
    <n v="39.355497069999998"/>
    <n v="26"/>
    <n v="288979592833"/>
    <n v="16.84"/>
  </r>
  <r>
    <x v="76"/>
    <x v="76"/>
    <x v="3"/>
    <n v="360430068189.06616"/>
    <n v="1040000000000"/>
    <n v="269951846"/>
    <n v="5.1742915399999996"/>
    <n v="43.074308960000003"/>
    <n v="26"/>
    <n v="337655108085.16779"/>
    <n v="6.75"/>
  </r>
  <r>
    <x v="76"/>
    <x v="76"/>
    <x v="4"/>
    <n v="335365990266.44824"/>
    <n v="1120000000000"/>
    <n v="272489381"/>
    <n v="5.0192876799999997"/>
    <n v="37.627777539999997"/>
    <n v="29"/>
    <n v="360430068189.06616"/>
    <n v="-6.95"/>
  </r>
  <r>
    <x v="76"/>
    <x v="76"/>
    <x v="5"/>
    <n v="326383674621.25189"/>
    <n v="1060000000000"/>
    <n v="274814866"/>
    <n v="-2.0655118290000001"/>
    <n v="32.972175399999998"/>
    <n v="28"/>
    <n v="335365990266.44824"/>
    <n v="-2.68"/>
  </r>
  <r>
    <x v="76"/>
    <x v="76"/>
    <x v="6"/>
    <n v="463420197050.34381"/>
    <n v="1190000000000"/>
    <n v="276758053"/>
    <n v="3.7028856280000002"/>
    <n v="40.204758269999999"/>
    <n v="25"/>
    <n v="326383674621.25189"/>
    <n v="41.99"/>
  </r>
  <r>
    <x v="76"/>
    <x v="76"/>
    <x v="7"/>
    <n v="584373354989.7439"/>
    <n v="1320000000000"/>
    <n v="278830529"/>
    <n v="5.3071972269999996"/>
    <n v="45.4646702"/>
    <n v="23"/>
    <n v="463420197050.34381"/>
    <n v="26.1"/>
  </r>
  <r>
    <x v="76"/>
    <x v="76"/>
    <x v="8"/>
    <n v="519055448232.97803"/>
    <n v="1370000000000"/>
    <n v="281190067"/>
    <n v="5.0488311789999996"/>
    <n v="41.460476540000002"/>
    <n v="24"/>
    <n v="584373354989.7439"/>
    <n v="-11.18"/>
  </r>
  <r>
    <x v="76"/>
    <x v="76"/>
    <x v="9"/>
    <n v="532643941213.37598"/>
    <n v="1400000000000"/>
    <n v="283487931"/>
    <n v="5.0325747710000002"/>
    <n v="42.809937869999999"/>
    <n v="22"/>
    <n v="519055448232.97803"/>
    <n v="2.62"/>
  </r>
  <r>
    <x v="77"/>
    <x v="77"/>
    <x v="0"/>
    <n v="528762007255"/>
    <n v="2100000000000"/>
    <n v="1328024498"/>
    <n v="7.9962537859999996"/>
    <n v="41.922913870000002"/>
    <n v="16"/>
    <m/>
    <m/>
  </r>
  <r>
    <x v="77"/>
    <x v="77"/>
    <x v="1"/>
    <n v="520653824665"/>
    <n v="2290000000000"/>
    <n v="1343944296"/>
    <n v="8.256305502"/>
    <n v="40.08248571"/>
    <n v="17"/>
    <n v="528762007255"/>
    <n v="-1.53"/>
  </r>
  <r>
    <x v="77"/>
    <x v="77"/>
    <x v="2"/>
    <n v="588728980325.17981"/>
    <n v="2650000000000"/>
    <n v="1359657400"/>
    <n v="6.7953834190000002"/>
    <n v="40.742496950000003"/>
    <n v="17"/>
    <n v="520653824665"/>
    <n v="13.07"/>
  </r>
  <r>
    <x v="77"/>
    <x v="77"/>
    <x v="3"/>
    <n v="644984199794.04224"/>
    <n v="2700000000000"/>
    <n v="1374659064"/>
    <n v="6.4538513450000004"/>
    <n v="43.616969330000003"/>
    <n v="17"/>
    <n v="588728980325.17981"/>
    <n v="9.56"/>
  </r>
  <r>
    <x v="77"/>
    <x v="77"/>
    <x v="4"/>
    <n v="646501452849.44202"/>
    <n v="2840000000000"/>
    <n v="1389030312"/>
    <n v="3.8714369409999998"/>
    <n v="39.905403530000001"/>
    <n v="16"/>
    <n v="644984199794.04224"/>
    <n v="0.24"/>
  </r>
  <r>
    <x v="77"/>
    <x v="77"/>
    <x v="5"/>
    <n v="550977489855.09692"/>
    <n v="2670000000000"/>
    <n v="1402617695"/>
    <n v="-5.777724707"/>
    <n v="37.758105329999999"/>
    <n v="18"/>
    <n v="646501452849.44202"/>
    <n v="-14.78"/>
  </r>
  <r>
    <x v="77"/>
    <x v="77"/>
    <x v="6"/>
    <n v="789627346694.59387"/>
    <n v="3170000000000"/>
    <n v="1414203896"/>
    <n v="9.6895924919999992"/>
    <n v="45.42308878"/>
    <n v="15"/>
    <n v="550977489855.09692"/>
    <n v="43.31"/>
  </r>
  <r>
    <x v="77"/>
    <x v="77"/>
    <x v="7"/>
    <n v="905368427293.49768"/>
    <n v="3250000000000"/>
    <n v="1425423212"/>
    <n v="7.6093649780000003"/>
    <n v="50.697938280000002"/>
    <n v="15"/>
    <n v="789627346694.59387"/>
    <n v="14.66"/>
  </r>
  <r>
    <x v="77"/>
    <x v="77"/>
    <x v="8"/>
    <n v="862823954422.59949"/>
    <n v="3500000000000"/>
    <n v="1438069596"/>
    <n v="7.2102246289999998"/>
    <n v="46.322952059999999"/>
    <n v="14"/>
    <n v="905368427293.49768"/>
    <n v="-4.7"/>
  </r>
  <r>
    <x v="77"/>
    <x v="77"/>
    <x v="9"/>
    <n v="868870968427.89001"/>
    <n v="3760000000000"/>
    <n v="1450935791"/>
    <n v="7.0992789319999998"/>
    <n v="45.916690770000002"/>
    <n v="13"/>
    <n v="862823954422.59949"/>
    <n v="0.7"/>
  </r>
  <r>
    <x v="78"/>
    <x v="78"/>
    <x v="0"/>
    <n v="249434727545.23495"/>
    <n v="302000000000"/>
    <n v="4701957"/>
    <n v="24.623985640000001"/>
    <n v="223.7029383"/>
    <n v="30"/>
    <m/>
    <m/>
  </r>
  <r>
    <x v="78"/>
    <x v="78"/>
    <x v="1"/>
    <n v="264089424378.22809"/>
    <n v="305000000000"/>
    <n v="4762722"/>
    <n v="1.2227166110000001"/>
    <n v="239.70852780000001"/>
    <n v="30"/>
    <n v="249434727545.23495"/>
    <n v="5.88"/>
  </r>
  <r>
    <x v="78"/>
    <x v="78"/>
    <x v="2"/>
    <n v="277414895382.94373"/>
    <n v="348000000000"/>
    <n v="4827445"/>
    <n v="10.108857609999999"/>
    <n v="233.3040833"/>
    <n v="30"/>
    <n v="264089424378.22809"/>
    <n v="5.05"/>
  </r>
  <r>
    <x v="78"/>
    <x v="78"/>
    <x v="3"/>
    <n v="332190443117.60785"/>
    <n v="396000000000"/>
    <n v="4898022"/>
    <n v="7.6886593740000002"/>
    <n v="222.45371599999999"/>
    <n v="29"/>
    <n v="277414895382.94373"/>
    <n v="19.739999999999998"/>
  </r>
  <r>
    <x v="78"/>
    <x v="78"/>
    <x v="4"/>
    <n v="341515977682.94391"/>
    <n v="407000000000"/>
    <n v="4976456"/>
    <n v="4.9728800379999996"/>
    <n v="257.6527729"/>
    <n v="28"/>
    <n v="332190443117.60785"/>
    <n v="2.81"/>
  </r>
  <r>
    <x v="78"/>
    <x v="78"/>
    <x v="5"/>
    <n v="370370729970.15399"/>
    <n v="436000000000"/>
    <n v="5039747"/>
    <n v="7.1536950570000002"/>
    <n v="258.78043700000001"/>
    <n v="25"/>
    <n v="341515977682.94391"/>
    <n v="8.4499999999999993"/>
  </r>
  <r>
    <x v="78"/>
    <x v="78"/>
    <x v="6"/>
    <n v="391995751770.94281"/>
    <n v="530000000000"/>
    <n v="5110585"/>
    <n v="16.25818812"/>
    <n v="231.03235090000001"/>
    <n v="28"/>
    <n v="370370729970.15399"/>
    <n v="5.84"/>
  </r>
  <r>
    <x v="78"/>
    <x v="78"/>
    <x v="7"/>
    <n v="439673430252.34503"/>
    <n v="548000000000"/>
    <n v="5212836"/>
    <n v="7.5111388840000002"/>
    <n v="237.75541960000001"/>
    <n v="27"/>
    <n v="391995751770.94281"/>
    <n v="12.16"/>
  </r>
  <r>
    <x v="78"/>
    <x v="78"/>
    <x v="8"/>
    <n v="425739028481.67877"/>
    <n v="567000000000"/>
    <n v="5311538"/>
    <n v="-2.5363740930000001"/>
    <n v="239.6496276"/>
    <n v="28"/>
    <n v="439673430252.34503"/>
    <n v="-3.17"/>
  </r>
  <r>
    <x v="78"/>
    <x v="78"/>
    <x v="9"/>
    <n v="484437944679.24823"/>
    <n v="609000000000"/>
    <n v="5395790"/>
    <n v="2.5994672159999999"/>
    <n v="246.1698749"/>
    <n v="25"/>
    <n v="425739028481.67877"/>
    <n v="13.79"/>
  </r>
  <r>
    <x v="79"/>
    <x v="79"/>
    <x v="0"/>
    <n v="120081284217.39999"/>
    <n v="409000000000"/>
    <n v="82619362"/>
    <n v="-1.424884939"/>
    <n v="39.422588660000002"/>
    <n v="39"/>
    <m/>
    <m/>
  </r>
  <r>
    <x v="79"/>
    <x v="79"/>
    <x v="1"/>
    <n v="166296388367.07993"/>
    <n v="479000000000"/>
    <n v="83812228"/>
    <n v="8.8150866430000008"/>
    <n v="39.877241769999998"/>
    <n v="33"/>
    <n v="120081284217.39999"/>
    <n v="38.49"/>
  </r>
  <r>
    <x v="79"/>
    <x v="79"/>
    <x v="2"/>
    <n v="211688171497.88"/>
    <n v="510000000000"/>
    <n v="85026754"/>
    <n v="3.0268546870000002"/>
    <n v="43.155693139999997"/>
    <n v="32"/>
    <n v="166296388367.07993"/>
    <n v="27.3"/>
  </r>
  <r>
    <x v="79"/>
    <x v="79"/>
    <x v="3"/>
    <n v="193235042552.32001"/>
    <n v="412000000000"/>
    <n v="86117998"/>
    <n v="-3.7479601570000001"/>
    <n v="56.615349610000003"/>
    <n v="33"/>
    <n v="211688171497.88"/>
    <n v="-8.7200000000000006"/>
  </r>
  <r>
    <x v="79"/>
    <x v="79"/>
    <x v="4"/>
    <n v="83847615168.355011"/>
    <n v="348000000000"/>
    <n v="87051648"/>
    <n v="-2.3614353879999999"/>
    <n v="48.591771209999997"/>
    <n v="48"/>
    <n v="193235042552.32001"/>
    <n v="-56.61"/>
  </r>
  <r>
    <x v="79"/>
    <x v="79"/>
    <x v="5"/>
    <n v="68818209623.199997"/>
    <n v="281000000000"/>
    <n v="87723443"/>
    <n v="4.4418086539999999"/>
    <n v="43.884467489999999"/>
    <n v="51"/>
    <n v="83847615168.355011"/>
    <n v="-17.920000000000002"/>
  </r>
  <r>
    <x v="79"/>
    <x v="79"/>
    <x v="6"/>
    <n v="134542809864.82002"/>
    <n v="407000000000"/>
    <n v="88455488"/>
    <n v="4.1308968500000001"/>
    <n v="42.672379540000001"/>
    <n v="42"/>
    <n v="68818209623.199997"/>
    <n v="95.5"/>
  </r>
  <r>
    <x v="79"/>
    <x v="79"/>
    <x v="7"/>
    <n v="161800796503.60001"/>
    <n v="423000000000"/>
    <n v="89524246"/>
    <n v="4.3528108750000003"/>
    <n v="48.918350820000001"/>
    <n v="41"/>
    <n v="134542809864.82002"/>
    <n v="20.260000000000002"/>
  </r>
  <r>
    <x v="80"/>
    <x v="80"/>
    <x v="0"/>
    <n v="98805164560"/>
    <n v="167000000000"/>
    <n v="37560535"/>
    <n v="2.6067664289999999"/>
    <n v="69.591768599999995"/>
    <n v="45"/>
    <m/>
    <m/>
  </r>
  <r>
    <x v="80"/>
    <x v="80"/>
    <x v="1"/>
    <n v="87548035618"/>
    <n v="167000000000"/>
    <n v="38469627"/>
    <n v="13.78737302"/>
    <n v="54.588320189999997"/>
    <n v="45"/>
    <n v="98805164560"/>
    <n v="-11.39"/>
  </r>
  <r>
    <x v="81"/>
    <x v="81"/>
    <x v="0"/>
    <n v="9443969893"/>
    <n v="17700486957"/>
    <n v="330815"/>
    <n v="3.7685902019999999"/>
    <n v="94.888802749999996"/>
    <n v="97"/>
    <m/>
    <m/>
  </r>
  <r>
    <x v="81"/>
    <x v="81"/>
    <x v="1"/>
    <n v="8899459507"/>
    <n v="21083713310"/>
    <n v="335439"/>
    <n v="6.2180876469999999"/>
    <n v="87.7600166"/>
    <n v="101"/>
    <n v="9443969893"/>
    <n v="-5.77"/>
  </r>
  <r>
    <x v="81"/>
    <x v="81"/>
    <x v="2"/>
    <n v="9765211770.0690002"/>
    <n v="25060086488"/>
    <n v="343400"/>
    <n v="3.4850670419999998"/>
    <n v="86.358533690000002"/>
    <n v="102"/>
    <n v="8899459507"/>
    <n v="9.73"/>
  </r>
  <r>
    <x v="81"/>
    <x v="81"/>
    <x v="3"/>
    <n v="11122951682.257996"/>
    <n v="26677652544"/>
    <n v="352721"/>
    <n v="4.6607703620000001"/>
    <n v="88.93499697"/>
    <n v="99"/>
    <n v="9765211770.0690002"/>
    <n v="13.9"/>
  </r>
  <r>
    <x v="81"/>
    <x v="81"/>
    <x v="4"/>
    <n v="10456721033.019001"/>
    <n v="24985687022"/>
    <n v="360563"/>
    <n v="1.1382122729999999"/>
    <n v="83.792365950000004"/>
    <n v="99"/>
    <n v="11122951682.257996"/>
    <n v="-5.99"/>
  </r>
  <r>
    <x v="81"/>
    <x v="81"/>
    <x v="5"/>
    <n v="9160830980.4509964"/>
    <n v="22034665041"/>
    <n v="366463"/>
    <n v="-6.6458781050000004"/>
    <n v="68.655023349999993"/>
    <n v="99"/>
    <n v="10456721033.019001"/>
    <n v="-12.39"/>
  </r>
  <r>
    <x v="81"/>
    <x v="81"/>
    <x v="6"/>
    <n v="11947485300.917004"/>
    <n v="26234872402"/>
    <n v="372520"/>
    <n v="5.180571907"/>
    <n v="76.231724990000004"/>
    <n v="99"/>
    <n v="9160830980.4509964"/>
    <n v="30.42"/>
  </r>
  <r>
    <x v="81"/>
    <x v="81"/>
    <x v="7"/>
    <n v="14807594738.176001"/>
    <n v="29176227825"/>
    <n v="382003"/>
    <n v="8.8572989789999994"/>
    <n v="93.016429509999995"/>
    <n v="94"/>
    <n v="11947485300.917004"/>
    <n v="23.94"/>
  </r>
  <r>
    <x v="81"/>
    <x v="81"/>
    <x v="8"/>
    <n v="13615079953.443998"/>
    <n v="31701996434"/>
    <n v="385663"/>
    <n v="5.0322597379999996"/>
    <n v="87.238881090000007"/>
    <n v="97"/>
    <n v="14807594738.176001"/>
    <n v="-8.0500000000000007"/>
  </r>
  <r>
    <x v="81"/>
    <x v="81"/>
    <x v="9"/>
    <n v="13894315840.779997"/>
    <n v="33186621855"/>
    <n v="386506"/>
    <n v="-1.282876444"/>
    <n v="86.181579279999994"/>
    <n v="91"/>
    <n v="13615079953.443998"/>
    <n v="2.0499999999999998"/>
  </r>
  <r>
    <x v="82"/>
    <x v="82"/>
    <x v="0"/>
    <n v="128124434000"/>
    <n v="303000000000"/>
    <n v="8380100"/>
    <n v="2.2359988959999999"/>
    <n v="59.020155709999997"/>
    <n v="36"/>
    <m/>
    <m/>
  </r>
  <r>
    <x v="82"/>
    <x v="82"/>
    <x v="1"/>
    <n v="121141192000"/>
    <n v="321000000000"/>
    <n v="8546000"/>
    <n v="4.536019392"/>
    <n v="57.953305159999999"/>
    <n v="38"/>
    <n v="128124434000"/>
    <n v="-5.45"/>
  </r>
  <r>
    <x v="82"/>
    <x v="82"/>
    <x v="2"/>
    <n v="122300282000"/>
    <n v="357000000000"/>
    <n v="8713300"/>
    <n v="4.3439451890000003"/>
    <n v="56.451937379999997"/>
    <n v="42"/>
    <n v="121141192000"/>
    <n v="0.96"/>
  </r>
  <r>
    <x v="82"/>
    <x v="82"/>
    <x v="3"/>
    <n v="123812824000"/>
    <n v="375000000000"/>
    <n v="8882800"/>
    <n v="4.0534995289999998"/>
    <n v="58.873401340000001"/>
    <n v="44"/>
    <n v="122300282000"/>
    <n v="1.24"/>
  </r>
  <r>
    <x v="82"/>
    <x v="82"/>
    <x v="4"/>
    <n v="116976932000"/>
    <n v="399000000000"/>
    <n v="9054000"/>
    <n v="3.5789876289999998"/>
    <n v="56.528161840000003"/>
    <n v="43"/>
    <n v="123812824000"/>
    <n v="-5.52"/>
  </r>
  <r>
    <x v="82"/>
    <x v="82"/>
    <x v="5"/>
    <n v="100306492000"/>
    <n v="411000000000"/>
    <n v="9215100"/>
    <n v="-1.80206928"/>
    <n v="51.14039846"/>
    <n v="42"/>
    <n v="116976932000"/>
    <n v="-14.25"/>
  </r>
  <r>
    <x v="82"/>
    <x v="82"/>
    <x v="6"/>
    <n v="120319468000"/>
    <n v="490000000000"/>
    <n v="9371400"/>
    <n v="9.3353469019999995"/>
    <n v="54.818403660000001"/>
    <n v="45"/>
    <n v="100306492000"/>
    <n v="19.95"/>
  </r>
  <r>
    <x v="82"/>
    <x v="82"/>
    <x v="7"/>
    <n v="145137762000"/>
    <n v="525000000000"/>
    <n v="9557500"/>
    <n v="6.3640723479999997"/>
    <n v="60.635842830000001"/>
    <n v="44"/>
    <n v="120319468000"/>
    <n v="20.63"/>
  </r>
  <r>
    <x v="82"/>
    <x v="82"/>
    <x v="8"/>
    <n v="117809216000"/>
    <n v="513000000000"/>
    <n v="9849000"/>
    <n v="2.0627250469999998"/>
    <n v="57.977782329999997"/>
    <n v="47"/>
    <n v="145137762000"/>
    <n v="-18.829999999999998"/>
  </r>
  <r>
    <x v="82"/>
    <x v="82"/>
    <x v="9"/>
    <n v="120513860000"/>
    <n v="542000000000"/>
    <n v="10002200"/>
    <n v="0.95361846900000002"/>
    <n v="54.382256380000001"/>
    <n v="45"/>
    <n v="117809216000"/>
    <n v="2.2999999999999998"/>
  </r>
  <r>
    <x v="83"/>
    <x v="83"/>
    <x v="0"/>
    <n v="913977251028.95496"/>
    <n v="1850000000000"/>
    <n v="60229605"/>
    <n v="0.88566763500000001"/>
    <n v="55.435685810000003"/>
    <n v="9"/>
    <m/>
    <m/>
  </r>
  <r>
    <x v="83"/>
    <x v="83"/>
    <x v="1"/>
    <n v="923335250858.48071"/>
    <n v="1890000000000"/>
    <n v="60115223"/>
    <n v="1.2362210849999999"/>
    <n v="54.432146699999997"/>
    <n v="8"/>
    <n v="913977251028.95496"/>
    <n v="1.02"/>
  </r>
  <r>
    <x v="83"/>
    <x v="83"/>
    <x v="2"/>
    <n v="1014722799680.5225"/>
    <n v="1970000000000"/>
    <n v="60002252"/>
    <n v="1.603699953"/>
    <n v="57.582994030000002"/>
    <n v="8"/>
    <n v="923335250858.48071"/>
    <n v="9.9"/>
  </r>
  <r>
    <x v="83"/>
    <x v="83"/>
    <x v="3"/>
    <n v="1099029545921.7782"/>
    <n v="2100000000000"/>
    <n v="59877221"/>
    <n v="0.82664671199999995"/>
    <n v="59.274983509999998"/>
    <n v="8"/>
    <n v="1014722799680.5225"/>
    <n v="8.31"/>
  </r>
  <r>
    <x v="83"/>
    <x v="83"/>
    <x v="4"/>
    <n v="1075496857635.8364"/>
    <n v="2020000000000"/>
    <n v="59729081"/>
    <n v="0.42916253399999998"/>
    <n v="58.694190259999999"/>
    <n v="7"/>
    <n v="1099029545921.7782"/>
    <n v="-2.14"/>
  </r>
  <r>
    <x v="83"/>
    <x v="83"/>
    <x v="5"/>
    <n v="997607663941.25305"/>
    <n v="1910000000000"/>
    <n v="59438851"/>
    <n v="-8.8682212220000007"/>
    <n v="53.939483899999999"/>
    <n v="7"/>
    <n v="1075496857635.8364"/>
    <n v="-7.24"/>
  </r>
  <r>
    <x v="83"/>
    <x v="83"/>
    <x v="6"/>
    <n v="1231820520121.5537"/>
    <n v="2180000000000"/>
    <n v="59133173"/>
    <n v="8.9310621080000008"/>
    <n v="60.301977620000002"/>
    <n v="7"/>
    <n v="997607663941.25305"/>
    <n v="23.48"/>
  </r>
  <r>
    <x v="83"/>
    <x v="83"/>
    <x v="7"/>
    <n v="1318774418267.6069"/>
    <n v="2100000000000"/>
    <n v="59013667"/>
    <n v="4.8211766989999996"/>
    <n v="72.016502299999999"/>
    <n v="6"/>
    <n v="1231820520121.5537"/>
    <n v="7.06"/>
  </r>
  <r>
    <x v="83"/>
    <x v="83"/>
    <x v="8"/>
    <n v="1353639636863.4006"/>
    <n v="2320000000000"/>
    <n v="58984216"/>
    <n v="0.922796544"/>
    <n v="65.102841940000005"/>
    <n v="5"/>
    <n v="1318774418267.6069"/>
    <n v="2.64"/>
  </r>
  <r>
    <x v="83"/>
    <x v="83"/>
    <x v="9"/>
    <n v="1347795243406.4392"/>
    <n v="2380000000000"/>
    <n v="58952704"/>
    <n v="0.783039135"/>
    <n v="62.592614490000003"/>
    <n v="6"/>
    <n v="1353639636863.4006"/>
    <n v="-0.43"/>
  </r>
  <r>
    <x v="84"/>
    <x v="84"/>
    <x v="0"/>
    <n v="2525169701"/>
    <n v="14963589916"/>
    <n v="2802534"/>
    <n v="0.92148712399999999"/>
    <m/>
    <n v="126"/>
    <m/>
    <m/>
  </r>
  <r>
    <x v="84"/>
    <x v="84"/>
    <x v="1"/>
    <n v="2403573119"/>
    <n v="14898999754"/>
    <n v="2809915"/>
    <n v="2.7604376140000002"/>
    <m/>
    <n v="130"/>
    <n v="2525169701"/>
    <n v="-4.82"/>
  </r>
  <r>
    <x v="84"/>
    <x v="84"/>
    <x v="2"/>
    <n v="2619436886.9919996"/>
    <n v="15783583237"/>
    <n v="2815764"/>
    <n v="2.2930337129999998"/>
    <m/>
    <n v="129"/>
    <n v="2403573119"/>
    <n v="8.98"/>
  </r>
  <r>
    <x v="84"/>
    <x v="84"/>
    <x v="3"/>
    <n v="3921479413.3399982"/>
    <n v="16855447986"/>
    <n v="2820097"/>
    <n v="2.515844586"/>
    <m/>
    <n v="122"/>
    <n v="2619436886.9919996"/>
    <n v="49.71"/>
  </r>
  <r>
    <x v="84"/>
    <x v="84"/>
    <x v="4"/>
    <n v="3302322168.4719992"/>
    <n v="17026269263"/>
    <n v="2823271"/>
    <n v="1.8094314730000001"/>
    <m/>
    <n v="125"/>
    <n v="3921479413.3399982"/>
    <n v="-15.79"/>
  </r>
  <r>
    <x v="84"/>
    <x v="84"/>
    <x v="5"/>
    <n v="2501198872.3799996"/>
    <n v="15000214216"/>
    <n v="2830739"/>
    <n v="-8.3044192359999993"/>
    <m/>
    <n v="125"/>
    <n v="3302322168.4719992"/>
    <n v="-24.26"/>
  </r>
  <r>
    <x v="84"/>
    <x v="84"/>
    <x v="6"/>
    <n v="2961419733.3799996"/>
    <n v="15963885376"/>
    <n v="2837682"/>
    <n v="5.7046797829999996"/>
    <m/>
    <n v="128"/>
    <n v="2501198872.3799996"/>
    <n v="18.399999999999999"/>
  </r>
  <r>
    <x v="84"/>
    <x v="84"/>
    <x v="7"/>
    <n v="3802831637.8600001"/>
    <n v="18813516805"/>
    <n v="2839144"/>
    <n v="6.4393032369999998"/>
    <m/>
    <n v="123"/>
    <n v="2961419733.3799996"/>
    <n v="28.41"/>
  </r>
  <r>
    <x v="84"/>
    <x v="84"/>
    <x v="8"/>
    <n v="4003604433.5399995"/>
    <n v="21418797833"/>
    <n v="2839786"/>
    <n v="2.7463443390000002"/>
    <m/>
    <n v="121"/>
    <n v="3802831637.8600001"/>
    <n v="5.28"/>
  </r>
  <r>
    <x v="84"/>
    <x v="84"/>
    <x v="9"/>
    <n v="3813812872"/>
    <n v="22014429051"/>
    <n v="2839175"/>
    <n v="-0.53503906400000001"/>
    <m/>
    <n v="105"/>
    <n v="4003604433.5399995"/>
    <n v="-4.74"/>
  </r>
  <r>
    <x v="85"/>
    <x v="85"/>
    <x v="0"/>
    <n v="15665953191"/>
    <n v="42394049296"/>
    <n v="9544729"/>
    <n v="2.522616711"/>
    <m/>
    <n v="87"/>
    <m/>
    <m/>
  </r>
  <r>
    <x v="85"/>
    <x v="85"/>
    <x v="1"/>
    <n v="15018165042"/>
    <n v="43688498732"/>
    <n v="10006367"/>
    <n v="2.1116680699999999"/>
    <m/>
    <n v="86"/>
    <n v="15665953191"/>
    <n v="-4.1399999999999997"/>
  </r>
  <r>
    <x v="85"/>
    <x v="85"/>
    <x v="2"/>
    <n v="14938476901.555992"/>
    <n v="45535614366"/>
    <n v="10234226"/>
    <n v="2.5077039810000001"/>
    <m/>
    <n v="89"/>
    <n v="15018165042"/>
    <n v="-0.53"/>
  </r>
  <r>
    <x v="85"/>
    <x v="85"/>
    <x v="3"/>
    <n v="15500525725.537004"/>
    <n v="47435850423"/>
    <n v="10462306"/>
    <n v="1.853834156"/>
    <m/>
    <n v="87"/>
    <n v="14938476901.555992"/>
    <n v="3.76"/>
  </r>
  <r>
    <x v="85"/>
    <x v="85"/>
    <x v="4"/>
    <n v="16625833122.412003"/>
    <n v="48640273803"/>
    <n v="10671891"/>
    <n v="1.8563300659999999"/>
    <m/>
    <n v="83"/>
    <n v="15500525725.537004"/>
    <n v="7.26"/>
  </r>
  <r>
    <x v="85"/>
    <x v="85"/>
    <x v="5"/>
    <n v="15886489547.421"/>
    <n v="47931770986"/>
    <n v="10865228"/>
    <n v="-1.152575342"/>
    <m/>
    <n v="81"/>
    <n v="16625833122.412003"/>
    <n v="-4.45"/>
  </r>
  <r>
    <x v="85"/>
    <x v="85"/>
    <x v="6"/>
    <n v="18713100040.989006"/>
    <n v="50702940986"/>
    <n v="11066356"/>
    <n v="3.7520127680000002"/>
    <m/>
    <n v="85"/>
    <n v="15886489547.421"/>
    <n v="17.79"/>
  </r>
  <r>
    <x v="85"/>
    <x v="85"/>
    <x v="7"/>
    <n v="25559613284.990009"/>
    <n v="53516930141"/>
    <n v="11256263"/>
    <n v="2.7468615449999998"/>
    <m/>
    <n v="79"/>
    <n v="18713100040.989006"/>
    <n v="36.590000000000003"/>
  </r>
  <r>
    <x v="85"/>
    <x v="85"/>
    <x v="8"/>
    <n v="25179130975.640995"/>
    <n v="56123472113"/>
    <n v="11439213"/>
    <n v="3.12900102"/>
    <m/>
    <n v="75"/>
    <n v="25559613284.990009"/>
    <n v="-1.49"/>
  </r>
  <r>
    <x v="85"/>
    <x v="85"/>
    <x v="9"/>
    <n v="26565496416.442993"/>
    <n v="58618380563"/>
    <n v="11552876"/>
    <n v="2.5560589180000002"/>
    <m/>
    <n v="71"/>
    <n v="25179130975.640995"/>
    <n v="5.51"/>
  </r>
  <r>
    <x v="86"/>
    <x v="86"/>
    <x v="0"/>
    <n v="1249747016237"/>
    <n v="4530000000000"/>
    <n v="127141000"/>
    <n v="1.799977358"/>
    <n v="34.727630589999997"/>
    <n v="3"/>
    <m/>
    <m/>
  </r>
  <r>
    <x v="86"/>
    <x v="86"/>
    <x v="1"/>
    <n v="1289864878996"/>
    <n v="5110000000000"/>
    <n v="127076000"/>
    <n v="0.70498649499999999"/>
    <n v="30.656279309999999"/>
    <n v="3"/>
    <n v="1249747016237"/>
    <n v="3.21"/>
  </r>
  <r>
    <x v="86"/>
    <x v="86"/>
    <x v="2"/>
    <n v="1396262447388.1907"/>
    <n v="5040000000000"/>
    <n v="126972000"/>
    <n v="1.623450622"/>
    <n v="33.688833680000002"/>
    <n v="3"/>
    <n v="1289864878996"/>
    <n v="8.25"/>
  </r>
  <r>
    <x v="86"/>
    <x v="86"/>
    <x v="3"/>
    <n v="1476390109727.7246"/>
    <n v="5150000000000"/>
    <n v="126811000"/>
    <n v="0.83414384600000002"/>
    <n v="35.803574959999999"/>
    <n v="3"/>
    <n v="1396262447388.1907"/>
    <n v="5.74"/>
  </r>
  <r>
    <x v="86"/>
    <x v="86"/>
    <x v="4"/>
    <n v="1411342165531.6465"/>
    <n v="5250000000000"/>
    <n v="126633000"/>
    <n v="-0.30849692099999998"/>
    <n v="34.358297280000002"/>
    <n v="3"/>
    <n v="1476390109727.7246"/>
    <n v="-4.41"/>
  </r>
  <r>
    <x v="86"/>
    <x v="86"/>
    <x v="5"/>
    <n v="1282565136714.4644"/>
    <n v="5190000000000"/>
    <n v="126261000"/>
    <n v="-4.2832794270000001"/>
    <n v="30.519222689999999"/>
    <n v="3"/>
    <n v="1411342165531.6465"/>
    <n v="-9.1199999999999992"/>
  </r>
  <r>
    <x v="86"/>
    <x v="86"/>
    <x v="6"/>
    <n v="1514132522497.9331"/>
    <n v="5230000000000"/>
    <n v="125681593"/>
    <n v="3.5641953150000001"/>
    <n v="35.425392729999999"/>
    <n v="3"/>
    <n v="1282565136714.4644"/>
    <n v="18.059999999999999"/>
  </r>
  <r>
    <x v="86"/>
    <x v="86"/>
    <x v="7"/>
    <n v="1493344193163.0459"/>
    <n v="4450000000000"/>
    <n v="125124989"/>
    <n v="1.331647507"/>
    <n v="44.86063102"/>
    <n v="4"/>
    <n v="1514132522497.9331"/>
    <n v="-1.37"/>
  </r>
  <r>
    <x v="86"/>
    <x v="86"/>
    <x v="8"/>
    <n v="1435892784278.2769"/>
    <n v="4380000000000"/>
    <n v="124516650"/>
    <n v="0.72078530500000004"/>
    <n v="43.595083379999998"/>
    <n v="3"/>
    <n v="1493344193163.0459"/>
    <n v="-3.85"/>
  </r>
  <r>
    <x v="86"/>
    <x v="86"/>
    <x v="9"/>
    <n v="1414780152487.7585"/>
    <n v="4190000000000"/>
    <n v="123975371"/>
    <n v="-0.24008423600000001"/>
    <n v="44.852938860000002"/>
    <n v="3"/>
    <n v="1435892784278.2769"/>
    <n v="-1.47"/>
  </r>
  <r>
    <x v="87"/>
    <x v="87"/>
    <x v="0"/>
    <n v="91908852103"/>
    <n v="184000000000"/>
    <n v="18084169"/>
    <n v="1.200000001"/>
    <n v="53.049728809999998"/>
    <n v="47"/>
    <m/>
    <m/>
  </r>
  <r>
    <x v="87"/>
    <x v="87"/>
    <x v="1"/>
    <n v="73550646805"/>
    <n v="137000000000"/>
    <n v="18363600"/>
    <n v="1.099999999"/>
    <n v="60.311596590000001"/>
    <n v="46"/>
    <n v="91908852103"/>
    <n v="-19.97"/>
  </r>
  <r>
    <x v="87"/>
    <x v="87"/>
    <x v="2"/>
    <n v="97005477916.220016"/>
    <n v="167000000000"/>
    <n v="18651931"/>
    <n v="4.1000000029999999"/>
    <n v="56.825387939999999"/>
    <n v="45"/>
    <n v="73550646805"/>
    <n v="31.89"/>
  </r>
  <r>
    <x v="87"/>
    <x v="87"/>
    <x v="3"/>
    <n v="122216589178.44002"/>
    <n v="179000000000"/>
    <n v="18932727"/>
    <n v="4.099999993"/>
    <n v="63.527956510000003"/>
    <n v="46"/>
    <n v="97005477916.220016"/>
    <n v="25.99"/>
  </r>
  <r>
    <x v="87"/>
    <x v="87"/>
    <x v="4"/>
    <n v="116130497497.48003"/>
    <n v="182000000000"/>
    <n v="19209555"/>
    <n v="4.5000000010000001"/>
    <n v="64.858616549999994"/>
    <n v="44"/>
    <n v="122216589178.44002"/>
    <n v="-4.9800000000000004"/>
  </r>
  <r>
    <x v="87"/>
    <x v="87"/>
    <x v="5"/>
    <n v="83748773420.184006"/>
    <n v="171000000000"/>
    <n v="19482117"/>
    <n v="-2.4999999960000001"/>
    <n v="57.026442369999998"/>
    <n v="44"/>
    <n v="116130497497.48003"/>
    <n v="-27.88"/>
  </r>
  <r>
    <x v="87"/>
    <x v="87"/>
    <x v="6"/>
    <n v="106137518582.18399"/>
    <n v="197000000000"/>
    <n v="19743603"/>
    <n v="4.2999999969999996"/>
    <n v="58.668608579999997"/>
    <n v="47"/>
    <n v="83748773420.184006"/>
    <n v="26.73"/>
  </r>
  <r>
    <x v="87"/>
    <x v="87"/>
    <x v="7"/>
    <n v="152279609946.46799"/>
    <n v="225000000000"/>
    <n v="20034609"/>
    <n v="3.2"/>
    <n v="68.334314739999996"/>
    <n v="43"/>
    <n v="106137518582.18399"/>
    <n v="43.47"/>
  </r>
  <r>
    <x v="87"/>
    <x v="87"/>
    <x v="8"/>
    <n v="157471181733.84"/>
    <n v="262000000000"/>
    <n v="20330104"/>
    <n v="5.0999999999999996"/>
    <n v="62.334283769999999"/>
    <n v="40"/>
    <n v="152279609946.46799"/>
    <n v="3.41"/>
  </r>
  <r>
    <x v="87"/>
    <x v="87"/>
    <x v="9"/>
    <n v="163225786102.46002"/>
    <n v="291000000000"/>
    <n v="20592571"/>
    <n v="5"/>
    <n v="57.161343199999997"/>
    <n v="36"/>
    <n v="157471181733.84"/>
    <n v="3.65"/>
  </r>
  <r>
    <x v="88"/>
    <x v="88"/>
    <x v="0"/>
    <n v="11813642811.84"/>
    <n v="70120446897"/>
    <n v="47088526"/>
    <n v="4.967721128"/>
    <n v="40.327384690000002"/>
    <n v="92"/>
    <m/>
    <m/>
  </r>
  <r>
    <x v="88"/>
    <x v="88"/>
    <x v="1"/>
    <n v="11395118782.479992"/>
    <n v="74815144164"/>
    <n v="48139687"/>
    <n v="4.2135170679999998"/>
    <n v="34.865019570000001"/>
    <n v="92"/>
    <n v="11813642811.84"/>
    <n v="-3.54"/>
  </r>
  <r>
    <x v="88"/>
    <x v="88"/>
    <x v="2"/>
    <n v="11494829639.575001"/>
    <n v="82036510877"/>
    <n v="49197766"/>
    <n v="3.8379581740000002"/>
    <n v="35.995057879999997"/>
    <n v="95"/>
    <n v="11395118782.479992"/>
    <n v="0.88"/>
  </r>
  <r>
    <x v="88"/>
    <x v="88"/>
    <x v="3"/>
    <n v="12100841364.431"/>
    <n v="92202979985"/>
    <n v="50207107"/>
    <n v="5.6479464070000001"/>
    <n v="34.414753179999998"/>
    <n v="95"/>
    <n v="11494829639.575001"/>
    <n v="5.27"/>
  </r>
  <r>
    <x v="88"/>
    <x v="88"/>
    <x v="4"/>
    <n v="11672511947.84"/>
    <n v="100000000000"/>
    <n v="51202827"/>
    <n v="5.1141588579999997"/>
    <n v="31.75946184"/>
    <n v="94"/>
    <n v="12100841364.431"/>
    <n v="-3.54"/>
  </r>
  <r>
    <x v="88"/>
    <x v="88"/>
    <x v="5"/>
    <n v="12043909177.396008"/>
    <n v="101000000000"/>
    <n v="52217334"/>
    <n v="-0.27276632699999998"/>
    <n v="30.399138780000001"/>
    <n v="91"/>
    <n v="11672511947.84"/>
    <n v="3.18"/>
  </r>
  <r>
    <x v="88"/>
    <x v="88"/>
    <x v="6"/>
    <n v="13502732442.067007"/>
    <n v="110000000000"/>
    <n v="53219166"/>
    <n v="7.5904894729999999"/>
    <n v="35.002047779999998"/>
    <n v="94"/>
    <n v="12043909177.396008"/>
    <n v="12.11"/>
  </r>
  <r>
    <x v="88"/>
    <x v="88"/>
    <x v="7"/>
    <n v="14742232989.308996"/>
    <n v="114000000000"/>
    <n v="54252461"/>
    <n v="4.8599810430000003"/>
    <n v="40.275323839999999"/>
    <n v="95"/>
    <n v="13502732442.067007"/>
    <n v="9.18"/>
  </r>
  <r>
    <x v="88"/>
    <x v="88"/>
    <x v="8"/>
    <n v="14316218665.541996"/>
    <n v="108000000000"/>
    <n v="55339003"/>
    <n v="5.7199924119999999"/>
    <n v="40.93376774"/>
    <n v="96"/>
    <n v="14742232989.308996"/>
    <n v="-2.89"/>
  </r>
  <r>
    <x v="88"/>
    <x v="88"/>
    <x v="9"/>
    <n v="16511594059.942009"/>
    <n v="120000000000"/>
    <n v="56432944"/>
    <n v="4.660195946"/>
    <n v="40.006252969999998"/>
    <n v="84"/>
    <n v="14316218665.541996"/>
    <n v="15.33"/>
  </r>
  <r>
    <x v="89"/>
    <x v="89"/>
    <x v="0"/>
    <n v="2882935242"/>
    <n v="6678177512"/>
    <n v="6040036"/>
    <n v="3.8758254449999998"/>
    <n v="110.9615707"/>
    <n v="124"/>
    <m/>
    <m/>
  </r>
  <r>
    <x v="89"/>
    <x v="89"/>
    <x v="1"/>
    <n v="2846056854"/>
    <n v="6813095379"/>
    <n v="6175338"/>
    <n v="4.3358559220000004"/>
    <n v="105.82357399999999"/>
    <n v="127"/>
    <n v="2882935242"/>
    <n v="-1.28"/>
  </r>
  <r>
    <x v="89"/>
    <x v="89"/>
    <x v="2"/>
    <n v="3514927340"/>
    <n v="7702938379"/>
    <n v="6306696"/>
    <n v="4.7399372240000002"/>
    <n v="100.6174458"/>
    <n v="128"/>
    <n v="2846056854"/>
    <n v="23.5"/>
  </r>
  <r>
    <x v="89"/>
    <x v="89"/>
    <x v="3"/>
    <n v="3670358742"/>
    <n v="8271106235"/>
    <n v="6444079"/>
    <n v="3.757910136"/>
    <n v="98.875559899999999"/>
    <n v="124"/>
    <n v="3514927340"/>
    <n v="4.42"/>
  </r>
  <r>
    <x v="89"/>
    <x v="89"/>
    <x v="4"/>
    <n v="3972219104"/>
    <n v="9371275264"/>
    <n v="6590211"/>
    <n v="4.6006256570000001"/>
    <n v="94.430282349999999"/>
    <n v="123"/>
    <n v="3670358742"/>
    <n v="8.2200000000000006"/>
  </r>
  <r>
    <x v="89"/>
    <x v="89"/>
    <x v="5"/>
    <n v="3727062314"/>
    <n v="8270468614"/>
    <n v="6726596"/>
    <n v="-7.1489775770000001"/>
    <n v="78.992278429999999"/>
    <n v="120"/>
    <n v="3972219104"/>
    <n v="-6.17"/>
  </r>
  <r>
    <x v="89"/>
    <x v="89"/>
    <x v="6"/>
    <n v="5504327272"/>
    <n v="9249133946"/>
    <n v="6851224"/>
    <n v="5.5070076270000001"/>
    <n v="100.2613769"/>
    <n v="120"/>
    <n v="3727062314"/>
    <n v="47.69"/>
  </r>
  <r>
    <x v="89"/>
    <x v="89"/>
    <x v="7"/>
    <n v="4509404624"/>
    <n v="12134931018"/>
    <n v="6975220"/>
    <n v="8.9675051999999997"/>
    <n v="133.78671800000001"/>
    <n v="119"/>
    <n v="5504327272"/>
    <n v="-18.079999999999998"/>
  </r>
  <r>
    <x v="89"/>
    <x v="89"/>
    <x v="8"/>
    <n v="6769711940"/>
    <n v="15180842369"/>
    <n v="7099750"/>
    <n v="9.0132928339999996"/>
    <n v="132.3734039"/>
    <n v="115"/>
    <n v="4509404624"/>
    <n v="50.12"/>
  </r>
  <r>
    <x v="89"/>
    <x v="89"/>
    <x v="9"/>
    <n v="7480381022"/>
    <n v="18161630699"/>
    <n v="7221868"/>
    <n v="11.53971194"/>
    <n v="130.10074349999999"/>
    <n v="102"/>
    <n v="6769711940"/>
    <n v="10.5"/>
  </r>
  <r>
    <x v="90"/>
    <x v="90"/>
    <x v="0"/>
    <n v="17084867280"/>
    <n v="24174170369"/>
    <n v="15623251"/>
    <n v="7.2070347249999998"/>
    <n v="122.10959680000001"/>
    <n v="85"/>
    <m/>
    <m/>
  </r>
  <r>
    <x v="90"/>
    <x v="90"/>
    <x v="1"/>
    <n v="20138663162"/>
    <n v="26556545153"/>
    <n v="15852803"/>
    <n v="7.9055011610000001"/>
    <n v="122.70455560000001"/>
    <n v="79"/>
    <n v="17084867280"/>
    <n v="17.87"/>
  </r>
  <r>
    <x v="90"/>
    <x v="90"/>
    <x v="2"/>
    <n v="22556255928.020012"/>
    <n v="29355665910"/>
    <n v="16073372"/>
    <n v="8.0750391550000007"/>
    <n v="121.1554513"/>
    <n v="78"/>
    <n v="20138663162"/>
    <n v="12"/>
  </r>
  <r>
    <x v="90"/>
    <x v="90"/>
    <x v="3"/>
    <n v="25400559351.479996"/>
    <n v="33145892169"/>
    <n v="16274522"/>
    <n v="8.7762237620000008"/>
    <n v="118.4376554"/>
    <n v="75"/>
    <n v="22556255928.020012"/>
    <n v="12.61"/>
  </r>
  <r>
    <x v="90"/>
    <x v="90"/>
    <x v="4"/>
    <n v="29649444586.539989"/>
    <n v="36685356408"/>
    <n v="16481304"/>
    <n v="7.9369501360000001"/>
    <n v="115.7366791"/>
    <n v="71"/>
    <n v="25400559351.479996"/>
    <n v="16.73"/>
  </r>
  <r>
    <x v="90"/>
    <x v="90"/>
    <x v="5"/>
    <n v="35432938995.879974"/>
    <n v="34818073901"/>
    <n v="16725474"/>
    <n v="-3.5557219340000001"/>
    <n v="122.1053963"/>
    <n v="63"/>
    <n v="29649444586.539989"/>
    <n v="19.510000000000002"/>
  </r>
  <r>
    <x v="90"/>
    <x v="90"/>
    <x v="6"/>
    <n v="33899246440.020004"/>
    <n v="36790163687"/>
    <n v="16974305"/>
    <n v="3.0898428409999998"/>
    <n v="146.1798465"/>
    <n v="69"/>
    <n v="35432938995.879974"/>
    <n v="-4.33"/>
  </r>
  <r>
    <x v="90"/>
    <x v="90"/>
    <x v="7"/>
    <n v="41151545505.120026"/>
    <n v="39994532960"/>
    <n v="17201724"/>
    <n v="5.1299011080000003"/>
    <n v="145.8736328"/>
    <n v="67"/>
    <n v="33899246440.020004"/>
    <n v="21.39"/>
  </r>
  <r>
    <x v="90"/>
    <x v="90"/>
    <x v="8"/>
    <n v="43355143412.985016"/>
    <n v="42335646896"/>
    <n v="17423880"/>
    <n v="5.0073304380000003"/>
    <n v="134.2068424"/>
    <n v="63"/>
    <n v="41151545505.120026"/>
    <n v="5.35"/>
  </r>
  <r>
    <x v="90"/>
    <x v="90"/>
    <x v="9"/>
    <n v="53327919290.304001"/>
    <n v="46352647037"/>
    <n v="17638801"/>
    <n v="6.0158145740000002"/>
    <n v="143.4470097"/>
    <n v="59"/>
    <n v="43355143412.985016"/>
    <n v="23"/>
  </r>
  <r>
    <x v="91"/>
    <x v="91"/>
    <x v="0"/>
    <n v="20017418.877999999"/>
    <n v="191559398.69999999"/>
    <n v="116815"/>
    <n v="11.265320940000001"/>
    <n v="109.88909839999999"/>
    <n v="165"/>
    <m/>
    <m/>
  </r>
  <r>
    <x v="91"/>
    <x v="91"/>
    <x v="1"/>
    <n v="22507100.199999996"/>
    <n v="206467818.5"/>
    <n v="118478"/>
    <n v="7.0880346579999998"/>
    <n v="111.2697907"/>
    <n v="168"/>
    <n v="20017418.877999999"/>
    <n v="12.44"/>
  </r>
  <r>
    <x v="91"/>
    <x v="91"/>
    <x v="2"/>
    <n v="30493110.981000006"/>
    <n v="223029864.5"/>
    <n v="120275"/>
    <n v="3.7120017160000001"/>
    <n v="100.4917526"/>
    <n v="169"/>
    <n v="22507100.199999996"/>
    <n v="35.479999999999997"/>
  </r>
  <r>
    <x v="91"/>
    <x v="91"/>
    <x v="3"/>
    <n v="16372506.178999998"/>
    <n v="233859230.19999999"/>
    <n v="122084"/>
    <n v="3.4246575340000001"/>
    <n v="83.243610219999994"/>
    <n v="171"/>
    <n v="30493110.981000006"/>
    <n v="-46.31"/>
  </r>
  <r>
    <x v="91"/>
    <x v="91"/>
    <x v="5"/>
    <n v="18542020.875999998"/>
    <n v="220909306.80000001"/>
    <n v="126099"/>
    <n v="-1.2820512820000001"/>
    <n v="78.401207679999999"/>
    <n v="162"/>
    <n v="16372506.178999998"/>
    <n v="13.25"/>
  </r>
  <r>
    <x v="91"/>
    <x v="91"/>
    <x v="6"/>
    <n v="17727176.124000002"/>
    <n v="285451584.39999998"/>
    <n v="128377"/>
    <n v="8.4415584419999998"/>
    <n v="74.450510019999996"/>
    <n v="162"/>
    <n v="18542020.875999998"/>
    <n v="-4.3899999999999997"/>
  </r>
  <r>
    <x v="92"/>
    <x v="92"/>
    <x v="0"/>
    <n v="63400993.257000007"/>
    <n v="957222222.20000005"/>
    <n v="47087"/>
    <n v="0.694135528"/>
    <m/>
    <n v="162"/>
    <m/>
    <m/>
  </r>
  <r>
    <x v="92"/>
    <x v="92"/>
    <x v="1"/>
    <n v="73729414.172999993"/>
    <n v="1006818519"/>
    <n v="47075"/>
    <n v="3.932703193"/>
    <m/>
    <n v="163"/>
    <n v="63400993.257000007"/>
    <n v="16.29"/>
  </r>
  <r>
    <x v="92"/>
    <x v="92"/>
    <x v="2"/>
    <n v="66491288.456"/>
    <n v="1056977778"/>
    <n v="47050"/>
    <n v="0.220941147"/>
    <m/>
    <n v="166"/>
    <n v="73729414.172999993"/>
    <n v="-9.82"/>
  </r>
  <r>
    <x v="93"/>
    <x v="93"/>
    <x v="0"/>
    <n v="1053506012722"/>
    <n v="1540000000000"/>
    <n v="51014947"/>
    <n v="2.9202926730000001"/>
    <n v="75.388177459999994"/>
    <n v="4"/>
    <m/>
    <m/>
  </r>
  <r>
    <x v="93"/>
    <x v="93"/>
    <x v="1"/>
    <n v="990835431118"/>
    <n v="1580000000000"/>
    <n v="51217803"/>
    <n v="3.1715274899999999"/>
    <n v="69.899722130000001"/>
    <n v="5"/>
    <n v="1053506012722"/>
    <n v="-5.95"/>
  </r>
  <r>
    <x v="93"/>
    <x v="93"/>
    <x v="2"/>
    <n v="1147254737874"/>
    <n v="1710000000000"/>
    <n v="51361911"/>
    <n v="3.433191764"/>
    <n v="73.19214083"/>
    <n v="4"/>
    <n v="990835431118"/>
    <n v="15.79"/>
  </r>
  <r>
    <x v="93"/>
    <x v="93"/>
    <x v="3"/>
    <n v="1209614634840"/>
    <n v="1820000000000"/>
    <n v="51585058"/>
    <n v="3.1761156819999998"/>
    <n v="74.707516209999994"/>
    <n v="4"/>
    <n v="1147254737874"/>
    <n v="5.44"/>
  </r>
  <r>
    <x v="93"/>
    <x v="93"/>
    <x v="4"/>
    <n v="1084343538178"/>
    <n v="1750000000000"/>
    <n v="51764822"/>
    <n v="2.3138021059999998"/>
    <n v="71.447063240000006"/>
    <n v="6"/>
    <n v="1209614634840"/>
    <n v="-10.36"/>
  </r>
  <r>
    <x v="93"/>
    <x v="93"/>
    <x v="5"/>
    <n v="1024838575052"/>
    <n v="1740000000000"/>
    <n v="51836239"/>
    <n v="-0.70024231800000003"/>
    <n v="65.544957859999997"/>
    <n v="6"/>
    <n v="1084343538178"/>
    <n v="-5.49"/>
  </r>
  <r>
    <x v="93"/>
    <x v="93"/>
    <x v="6"/>
    <n v="1288745873504"/>
    <n v="1940000000000"/>
    <n v="51769539"/>
    <n v="4.6129679550000002"/>
    <n v="75.306304760000003"/>
    <n v="6"/>
    <n v="1024838575052"/>
    <n v="25.75"/>
  </r>
  <r>
    <x v="93"/>
    <x v="93"/>
    <x v="7"/>
    <n v="1367101851354"/>
    <n v="1800000000000"/>
    <n v="51672569"/>
    <n v="2.7275645669999999"/>
    <n v="90.58514753"/>
    <n v="5"/>
    <n v="1288745873504"/>
    <n v="6.08"/>
  </r>
  <r>
    <x v="93"/>
    <x v="93"/>
    <x v="8"/>
    <n v="1263608461230"/>
    <n v="1840000000000"/>
    <n v="51712619"/>
    <n v="1.583014674"/>
    <n v="82.25800907"/>
    <n v="7"/>
    <n v="1367101851354"/>
    <n v="-7.57"/>
  </r>
  <r>
    <x v="93"/>
    <x v="93"/>
    <x v="9"/>
    <n v="1366254036584"/>
    <n v="1880000000000"/>
    <n v="51751065"/>
    <n v="2.003611018"/>
    <n v="84.642495120000007"/>
    <n v="5"/>
    <n v="1263608461230"/>
    <n v="8.1199999999999992"/>
  </r>
  <r>
    <x v="94"/>
    <x v="94"/>
    <x v="0"/>
    <n v="108241914171.25505"/>
    <n v="115000000000"/>
    <n v="3834574"/>
    <n v="0.59277081700000001"/>
    <n v="98.699988450000006"/>
    <n v="44"/>
    <m/>
    <m/>
  </r>
  <r>
    <x v="94"/>
    <x v="94"/>
    <x v="1"/>
    <n v="92470714018.343994"/>
    <n v="109000000000"/>
    <n v="4004096"/>
    <n v="2.926075843"/>
    <n v="96.157672379999994"/>
    <n v="44"/>
    <n v="108241914171.25505"/>
    <n v="-14.57"/>
  </r>
  <r>
    <x v="94"/>
    <x v="94"/>
    <x v="2"/>
    <n v="109983742564.24402"/>
    <n v="121000000000"/>
    <n v="4154812"/>
    <n v="-4.7122227050000003"/>
    <n v="97.840046459999996"/>
    <n v="44"/>
    <n v="92470714018.343994"/>
    <n v="18.940000000000001"/>
  </r>
  <r>
    <x v="94"/>
    <x v="94"/>
    <x v="3"/>
    <n v="143882889110"/>
    <n v="139000000000"/>
    <n v="4323515"/>
    <n v="2.7433304500000002"/>
    <n v="102.7856307"/>
    <n v="41"/>
    <n v="109983742564.24402"/>
    <n v="30.82"/>
  </r>
  <r>
    <x v="94"/>
    <x v="94"/>
    <x v="4"/>
    <n v="128964249978"/>
    <n v="141000000000"/>
    <n v="4442316"/>
    <n v="2.2638170660000001"/>
    <n v="91.685712390000006"/>
    <n v="42"/>
    <n v="143882889110"/>
    <n v="-10.37"/>
  </r>
  <r>
    <x v="94"/>
    <x v="94"/>
    <x v="5"/>
    <n v="80332294674"/>
    <n v="111000000000"/>
    <n v="4400267"/>
    <n v="-4.8173159339999998"/>
    <n v="82.012510129999995"/>
    <n v="45"/>
    <n v="128964249978"/>
    <n v="-37.71"/>
  </r>
  <r>
    <x v="94"/>
    <x v="94"/>
    <x v="6"/>
    <n v="126259387904"/>
    <n v="148000000000"/>
    <n v="4360865"/>
    <n v="1.672130543"/>
    <n v="82.000375180000006"/>
    <n v="44"/>
    <n v="80332294674"/>
    <n v="57.17"/>
  </r>
  <r>
    <x v="94"/>
    <x v="94"/>
    <x v="7"/>
    <n v="199550127171.03998"/>
    <n v="184000000000"/>
    <n v="4589643"/>
    <n v="6.7586671200000001"/>
    <n v="90.918810199999996"/>
    <n v="35"/>
    <n v="126259387904"/>
    <n v="58.05"/>
  </r>
  <r>
    <x v="94"/>
    <x v="94"/>
    <x v="8"/>
    <n v="167959817655.73404"/>
    <n v="165000000000"/>
    <n v="4853420"/>
    <n v="-1.6408780000000001"/>
    <n v="96.034350970000006"/>
    <n v="37"/>
    <n v="199550127171.03998"/>
    <n v="-15.83"/>
  </r>
  <r>
    <x v="94"/>
    <x v="94"/>
    <x v="9"/>
    <n v="151982773984"/>
    <n v="161000000000"/>
    <n v="4897263"/>
    <n v="-1.474018182"/>
    <n v="93.99091627"/>
    <n v="39"/>
    <n v="167959817655.73404"/>
    <n v="-9.51"/>
  </r>
  <r>
    <x v="95"/>
    <x v="95"/>
    <x v="0"/>
    <n v="5970190716"/>
    <n v="14426380126"/>
    <n v="6801645"/>
    <n v="7.2700658440000003"/>
    <n v="85.798321700000002"/>
    <n v="108"/>
    <m/>
    <m/>
  </r>
  <r>
    <x v="95"/>
    <x v="95"/>
    <x v="1"/>
    <n v="6248337955"/>
    <n v="15912501723"/>
    <n v="6908802"/>
    <n v="7.0228362549999996"/>
    <n v="75.091890919999997"/>
    <n v="107"/>
    <n v="5970190716"/>
    <n v="4.66"/>
  </r>
  <r>
    <x v="95"/>
    <x v="95"/>
    <x v="2"/>
    <n v="9819467309.9200001"/>
    <n v="17071155481"/>
    <n v="7018147"/>
    <n v="6.8925308730000001"/>
    <m/>
    <n v="101"/>
    <n v="6248337955"/>
    <n v="57.15"/>
  </r>
  <r>
    <x v="95"/>
    <x v="95"/>
    <x v="3"/>
    <n v="11629612738.360001"/>
    <n v="18141641090"/>
    <n v="7128045"/>
    <n v="6.2479600079999997"/>
    <m/>
    <n v="98"/>
    <n v="9819467309.9200001"/>
    <n v="18.43"/>
  </r>
  <r>
    <x v="95"/>
    <x v="95"/>
    <x v="4"/>
    <n v="11618692321.556"/>
    <n v="18740561513"/>
    <n v="7237636"/>
    <n v="5.4577350920000001"/>
    <m/>
    <n v="95"/>
    <n v="11629612738.360001"/>
    <n v="-0.09"/>
  </r>
  <r>
    <x v="95"/>
    <x v="95"/>
    <x v="5"/>
    <n v="10173773846.953001"/>
    <n v="18981805250"/>
    <n v="7346533"/>
    <n v="0.50303182899999999"/>
    <m/>
    <n v="95"/>
    <n v="11618692321.556"/>
    <n v="-12.44"/>
  </r>
  <r>
    <x v="95"/>
    <x v="95"/>
    <x v="6"/>
    <n v="14329210918.139992"/>
    <n v="18827148531"/>
    <n v="7453194"/>
    <n v="2.5283510050000002"/>
    <m/>
    <n v="93"/>
    <n v="10173773846.953001"/>
    <n v="40.840000000000003"/>
  </r>
  <r>
    <x v="95"/>
    <x v="95"/>
    <x v="7"/>
    <n v="19127784176.25"/>
    <n v="15468785204"/>
    <n v="7559007"/>
    <n v="2.7074265259999999"/>
    <m/>
    <n v="89"/>
    <n v="14329210918.139992"/>
    <n v="33.49"/>
  </r>
  <r>
    <x v="95"/>
    <x v="95"/>
    <x v="8"/>
    <n v="12084835183.369001"/>
    <n v="15843155731"/>
    <n v="7664993"/>
    <n v="3.7456814020000002"/>
    <m/>
    <n v="101"/>
    <n v="19127784176.25"/>
    <n v="-36.82"/>
  </r>
  <r>
    <x v="96"/>
    <x v="96"/>
    <x v="0"/>
    <n v="5906777279.2659988"/>
    <n v="49929337837"/>
    <n v="6472469"/>
    <n v="0.46232079300000001"/>
    <n v="71.839042629999994"/>
    <n v="109"/>
    <m/>
    <m/>
  </r>
  <r>
    <x v="96"/>
    <x v="96"/>
    <x v="1"/>
    <n v="5953123166"/>
    <n v="51147308774"/>
    <n v="6323060"/>
    <n v="1.554549409"/>
    <n v="67.723617790000006"/>
    <n v="109"/>
    <n v="5906777279.2659988"/>
    <n v="0.78"/>
  </r>
  <r>
    <x v="96"/>
    <x v="96"/>
    <x v="2"/>
    <n v="7171911002"/>
    <n v="53027680686"/>
    <n v="6160128"/>
    <n v="0.90302846400000003"/>
    <n v="68.455429260000003"/>
    <n v="107"/>
    <n v="5953123166"/>
    <n v="20.47"/>
  </r>
  <r>
    <x v="96"/>
    <x v="96"/>
    <x v="3"/>
    <n v="7660000000"/>
    <n v="54901519156"/>
    <n v="5984119"/>
    <n v="-1.884705756"/>
    <n v="68.257307299999994"/>
    <n v="105"/>
    <n v="7171911002"/>
    <n v="6.81"/>
  </r>
  <r>
    <x v="96"/>
    <x v="96"/>
    <x v="4"/>
    <n v="7462680181.3400021"/>
    <n v="51605959131"/>
    <n v="5794594"/>
    <n v="-6.914924729"/>
    <n v="62.980916010000001"/>
    <n v="108"/>
    <n v="7660000000"/>
    <n v="-2.58"/>
  </r>
  <r>
    <x v="96"/>
    <x v="96"/>
    <x v="5"/>
    <n v="7614922364"/>
    <n v="31712128254"/>
    <n v="5702398"/>
    <n v="-21.399899690000002"/>
    <n v="50.129804290000003"/>
    <n v="107"/>
    <n v="7462680181.3400021"/>
    <n v="2.04"/>
  </r>
  <r>
    <x v="96"/>
    <x v="96"/>
    <x v="6"/>
    <n v="8459953476"/>
    <n v="23131941557"/>
    <n v="5718122"/>
    <n v="-7.001238625"/>
    <n v="78.828620400000005"/>
    <n v="107"/>
    <n v="7614922364"/>
    <n v="11.1"/>
  </r>
  <r>
    <x v="96"/>
    <x v="96"/>
    <x v="7"/>
    <n v="7724490748"/>
    <n v="20992421949"/>
    <n v="5744489"/>
    <n v="-0.62167897100000002"/>
    <n v="114.8882783"/>
    <n v="111"/>
    <n v="8459953476"/>
    <n v="-8.69"/>
  </r>
  <r>
    <x v="96"/>
    <x v="96"/>
    <x v="8"/>
    <n v="9121387146"/>
    <n v="20078620357"/>
    <n v="5773493"/>
    <n v="-0.76058446999999996"/>
    <n v="104.2064101"/>
    <n v="108"/>
    <n v="7724490748"/>
    <n v="18.079999999999998"/>
  </r>
  <r>
    <x v="96"/>
    <x v="96"/>
    <x v="9"/>
    <n v="8579202304"/>
    <n v="25971643441"/>
    <n v="5805962"/>
    <n v="-7.0798919290000004"/>
    <n v="82.232360459999995"/>
    <n v="98"/>
    <n v="9121387146"/>
    <n v="-5.94"/>
  </r>
  <r>
    <x v="97"/>
    <x v="97"/>
    <x v="2"/>
    <n v="389337226"/>
    <n v="3390703400"/>
    <n v="4848925"/>
    <n v="2.4551559200000002"/>
    <m/>
    <n v="151"/>
    <m/>
    <m/>
  </r>
  <r>
    <x v="97"/>
    <x v="97"/>
    <x v="3"/>
    <n v="326873531.14000005"/>
    <n v="3422754800"/>
    <n v="4944726"/>
    <n v="1.1575751219999999"/>
    <m/>
    <n v="151"/>
    <n v="389337226"/>
    <n v="-16.04"/>
  </r>
  <r>
    <x v="97"/>
    <x v="97"/>
    <x v="4"/>
    <n v="542340614.91799998"/>
    <n v="3319596500"/>
    <n v="5043721"/>
    <n v="-2.467297635"/>
    <m/>
    <n v="145"/>
    <n v="326873531.14000005"/>
    <n v="65.92"/>
  </r>
  <r>
    <x v="97"/>
    <x v="97"/>
    <x v="5"/>
    <n v="836113456.91500008"/>
    <n v="3176126300"/>
    <n v="5149463"/>
    <n v="-2.9824912760000002"/>
    <m/>
    <n v="137"/>
    <n v="542340614.91799998"/>
    <n v="54.17"/>
  </r>
  <r>
    <x v="97"/>
    <x v="97"/>
    <x v="6"/>
    <n v="343338189.08000004"/>
    <n v="3513049500"/>
    <n v="5259323"/>
    <n v="4.9867128349999996"/>
    <m/>
    <n v="145"/>
    <n v="836113456.91500008"/>
    <n v="-58.94"/>
  </r>
  <r>
    <x v="97"/>
    <x v="97"/>
    <x v="7"/>
    <n v="405777434.94"/>
    <n v="4001047000"/>
    <n v="5373294"/>
    <n v="4.8081051730000004"/>
    <m/>
    <n v="145"/>
    <n v="343338189.08000004"/>
    <n v="18.190000000000001"/>
  </r>
  <r>
    <x v="97"/>
    <x v="97"/>
    <x v="8"/>
    <n v="307405142.31999993"/>
    <n v="4390000000"/>
    <n v="5493031"/>
    <n v="4.6837568879999996"/>
    <m/>
    <n v="144"/>
    <n v="405777434.94"/>
    <n v="-24.24"/>
  </r>
  <r>
    <x v="98"/>
    <x v="98"/>
    <x v="1"/>
    <n v="40271056510.927994"/>
    <n v="49912073701"/>
    <n v="6632126"/>
    <n v="-1.490941117"/>
    <n v="41.110176060000001"/>
    <n v="64"/>
    <m/>
    <m/>
  </r>
  <r>
    <x v="98"/>
    <x v="98"/>
    <x v="2"/>
    <n v="40271056510.927994"/>
    <n v="67157452182"/>
    <n v="6738770"/>
    <n v="32.491802190000001"/>
    <n v="47.548966190000002"/>
    <n v="63"/>
    <n v="40271056510.927994"/>
    <n v="0"/>
  </r>
  <r>
    <x v="98"/>
    <x v="98"/>
    <x v="3"/>
    <n v="60081784369.02198"/>
    <n v="76686029772"/>
    <n v="6849055"/>
    <n v="7.941367853"/>
    <n v="63.781133599999997"/>
    <n v="59"/>
    <n v="40271056510.927994"/>
    <n v="49.19"/>
  </r>
  <r>
    <x v="98"/>
    <x v="98"/>
    <x v="4"/>
    <n v="58571818175.828011"/>
    <n v="69254496472"/>
    <n v="6951033"/>
    <n v="-11.19608289"/>
    <n v="78.993969190000001"/>
    <n v="60"/>
    <n v="60081784369.02198"/>
    <n v="-2.5099999999999998"/>
  </r>
  <r>
    <x v="99"/>
    <x v="99"/>
    <x v="0"/>
    <n v="361193616"/>
    <n v="1807640741"/>
    <n v="174905"/>
    <n v="0.101917836"/>
    <m/>
    <n v="150"/>
    <m/>
    <m/>
  </r>
  <r>
    <x v="99"/>
    <x v="99"/>
    <x v="1"/>
    <n v="239613201"/>
    <n v="1868544444"/>
    <n v="175646"/>
    <n v="3.4278721449999998"/>
    <m/>
    <n v="155"/>
    <n v="361193616"/>
    <n v="-33.659999999999997"/>
  </r>
  <r>
    <x v="99"/>
    <x v="99"/>
    <x v="2"/>
    <n v="283310488.87500006"/>
    <n v="1998503704"/>
    <n v="176342"/>
    <n v="3.3798261730000001"/>
    <m/>
    <n v="155"/>
    <n v="239613201"/>
    <n v="18.239999999999998"/>
  </r>
  <r>
    <x v="99"/>
    <x v="99"/>
    <x v="3"/>
    <n v="233627967.26000002"/>
    <n v="2060955556"/>
    <n v="177017"/>
    <n v="2.8867790219999998"/>
    <m/>
    <n v="153"/>
    <n v="283310488.87500006"/>
    <n v="-17.54"/>
  </r>
  <r>
    <x v="99"/>
    <x v="99"/>
    <x v="4"/>
    <n v="194510520.41999999"/>
    <n v="2090074074"/>
    <n v="177661"/>
    <n v="-1.029367895"/>
    <m/>
    <n v="152"/>
    <n v="233627967.26000002"/>
    <n v="-16.739999999999998"/>
  </r>
  <r>
    <x v="99"/>
    <x v="99"/>
    <x v="5"/>
    <n v="134849663.20000005"/>
    <n v="1521740741"/>
    <n v="178250"/>
    <n v="-22.90051386"/>
    <m/>
    <n v="148"/>
    <n v="194510520.41999999"/>
    <n v="-30.67"/>
  </r>
  <r>
    <x v="100"/>
    <x v="100"/>
    <x v="0"/>
    <n v="20879459325"/>
    <n v="85090300896"/>
    <n v="20970000"/>
    <n v="4.2059554749999997"/>
    <n v="46.91797081"/>
    <n v="79"/>
    <m/>
    <m/>
  </r>
  <r>
    <x v="100"/>
    <x v="100"/>
    <x v="1"/>
    <n v="21091786585"/>
    <n v="88000210878"/>
    <n v="21209000"/>
    <n v="5.05362489"/>
    <n v="46.47153703"/>
    <n v="77"/>
    <n v="20879459325"/>
    <n v="1.02"/>
  </r>
  <r>
    <x v="100"/>
    <x v="100"/>
    <x v="2"/>
    <n v="23482073572.179974"/>
    <n v="94369350439"/>
    <n v="21453000"/>
    <n v="6.4606812710000003"/>
    <n v="47.1404098"/>
    <n v="75"/>
    <n v="21091786585"/>
    <n v="11.33"/>
  </r>
  <r>
    <x v="100"/>
    <x v="100"/>
    <x v="4"/>
    <n v="23948312731.889992"/>
    <n v="88998706178"/>
    <n v="21803000"/>
    <n v="-0.22048388699999999"/>
    <n v="49.425523890000001"/>
    <n v="76"/>
    <n v="23482073572.179974"/>
    <n v="1.99"/>
  </r>
  <r>
    <x v="100"/>
    <x v="100"/>
    <x v="5"/>
    <n v="21413716088.642002"/>
    <n v="84335574372"/>
    <n v="21919000"/>
    <n v="-4.6245150370000001"/>
    <n v="37.089118859999999"/>
    <n v="76"/>
    <n v="23948312731.889992"/>
    <n v="-10.58"/>
  </r>
  <r>
    <x v="100"/>
    <x v="100"/>
    <x v="6"/>
    <n v="26662497166.634979"/>
    <n v="88556699052"/>
    <n v="22156000"/>
    <n v="4.2074764949999999"/>
    <n v="41.228846330000003"/>
    <n v="77"/>
    <n v="21413716088.642002"/>
    <n v="24.51"/>
  </r>
  <r>
    <x v="100"/>
    <x v="100"/>
    <x v="7"/>
    <n v="27184248866.958004"/>
    <n v="74143020304"/>
    <n v="22181000"/>
    <n v="-7.3491931109999999"/>
    <n v="46.682608020000004"/>
    <n v="78"/>
    <n v="26662497166.634979"/>
    <n v="1.96"/>
  </r>
  <r>
    <x v="100"/>
    <x v="100"/>
    <x v="8"/>
    <n v="24104995097.884003"/>
    <n v="84080307356"/>
    <n v="22037000"/>
    <n v="-2.028929669"/>
    <n v="43.347668120000002"/>
    <n v="77"/>
    <n v="27184248866.958004"/>
    <n v="-11.33"/>
  </r>
  <r>
    <x v="100"/>
    <x v="100"/>
    <x v="9"/>
    <n v="24219252842.128998"/>
    <n v="99616111266"/>
    <n v="21916000"/>
    <n v="4.9924161439999999"/>
    <n v="42.119609830000002"/>
    <n v="75"/>
    <n v="24104995097.884003"/>
    <n v="0.47"/>
  </r>
  <r>
    <x v="101"/>
    <x v="101"/>
    <x v="0"/>
    <n v="1211845306.9099998"/>
    <n v="2359686725"/>
    <n v="2104611"/>
    <n v="3.1240667800000002"/>
    <n v="129.72277310000001"/>
    <n v="137"/>
    <m/>
    <m/>
  </r>
  <r>
    <x v="101"/>
    <x v="101"/>
    <x v="1"/>
    <n v="1328223553.7480004"/>
    <n v="2114426452"/>
    <n v="2130422"/>
    <n v="3.6089073169999999"/>
    <n v="136.31524769999999"/>
    <n v="138"/>
    <n v="1211845306.9099998"/>
    <n v="9.6"/>
  </r>
  <r>
    <x v="101"/>
    <x v="101"/>
    <x v="2"/>
    <n v="1437339880.072999"/>
    <n v="2306741672"/>
    <n v="2157110"/>
    <n v="-3.1381749370000001"/>
    <n v="146.36677130000001"/>
    <n v="141"/>
    <n v="1328223553.7480004"/>
    <n v="8.2200000000000006"/>
  </r>
  <r>
    <x v="101"/>
    <x v="101"/>
    <x v="3"/>
    <n v="1764770633.5760002"/>
    <n v="2556247292"/>
    <n v="2183603"/>
    <n v="-1.4806331580000001"/>
    <n v="144.4349555"/>
    <n v="136"/>
    <n v="1437339880.072999"/>
    <n v="22.78"/>
  </r>
  <r>
    <x v="101"/>
    <x v="101"/>
    <x v="4"/>
    <n v="1789814954.7999995"/>
    <n v="2390702296"/>
    <n v="2209405"/>
    <n v="-1.417993831"/>
    <n v="140.51663350000001"/>
    <n v="134"/>
    <n v="1764770633.5760002"/>
    <n v="1.42"/>
  </r>
  <r>
    <x v="101"/>
    <x v="101"/>
    <x v="5"/>
    <n v="1674571114.4380009"/>
    <n v="2053699864"/>
    <n v="2235727"/>
    <n v="-8.1559578550000005"/>
    <n v="141.0966051"/>
    <n v="132"/>
    <n v="1789814954.7999995"/>
    <n v="-6.44"/>
  </r>
  <r>
    <x v="101"/>
    <x v="101"/>
    <x v="6"/>
    <n v="1897070376.9030008"/>
    <n v="2412130057"/>
    <n v="2261542"/>
    <n v="2.2667096180000001"/>
    <n v="139.18647949999999"/>
    <n v="135"/>
    <n v="1674571114.4380009"/>
    <n v="13.29"/>
  </r>
  <r>
    <x v="101"/>
    <x v="101"/>
    <x v="7"/>
    <n v="1799311988.1269999"/>
    <n v="2354980960"/>
    <n v="2286110"/>
    <n v="2.3877802020000001"/>
    <n v="142.37398110000001"/>
    <n v="132"/>
    <n v="1897070376.9030008"/>
    <n v="-5.15"/>
  </r>
  <r>
    <x v="101"/>
    <x v="101"/>
    <x v="8"/>
    <n v="1659804677.849"/>
    <n v="2129871530"/>
    <n v="2311472"/>
    <n v="1.6943317760000001"/>
    <n v="140.7224879"/>
    <n v="130"/>
    <n v="1799311988.1269999"/>
    <n v="-7.75"/>
  </r>
  <r>
    <x v="101"/>
    <x v="101"/>
    <x v="9"/>
    <n v="2009505038.802"/>
    <n v="2391282548"/>
    <n v="2337423"/>
    <n v="5.2250338029999996"/>
    <n v="152.4743891"/>
    <n v="114"/>
    <n v="1659804677.849"/>
    <n v="21.07"/>
  </r>
  <r>
    <x v="102"/>
    <x v="102"/>
    <x v="0"/>
    <n v="50822044488"/>
    <n v="41540954817"/>
    <n v="2911109"/>
    <n v="2.832806433"/>
    <n v="138.19557499999999"/>
    <n v="60"/>
    <m/>
    <m/>
  </r>
  <r>
    <x v="102"/>
    <x v="102"/>
    <x v="1"/>
    <n v="50045304947.599998"/>
    <n v="42970749245"/>
    <n v="2877325"/>
    <n v="2.671922151"/>
    <n v="134.69044969999999"/>
    <n v="59"/>
    <n v="50822044488"/>
    <n v="-1.53"/>
  </r>
  <r>
    <x v="102"/>
    <x v="102"/>
    <x v="2"/>
    <n v="59776208515.599998"/>
    <n v="47756764508"/>
    <n v="2842639"/>
    <n v="4.612243103"/>
    <n v="144.9183931"/>
    <n v="58"/>
    <n v="50045304947.599998"/>
    <n v="19.440000000000001"/>
  </r>
  <r>
    <x v="102"/>
    <x v="102"/>
    <x v="3"/>
    <n v="66669153473.659988"/>
    <n v="54261795149"/>
    <n v="2819200"/>
    <n v="4.9183678009999996"/>
    <n v="147.2021325"/>
    <n v="58"/>
    <n v="59776208515.599998"/>
    <n v="11.53"/>
  </r>
  <r>
    <x v="102"/>
    <x v="102"/>
    <x v="4"/>
    <n v="66301543793.619987"/>
    <n v="55122066226"/>
    <n v="2811089"/>
    <n v="4.6773518349999996"/>
    <n v="148.37499600000001"/>
    <n v="56"/>
    <n v="66669153473.659988"/>
    <n v="-0.55000000000000004"/>
  </r>
  <r>
    <x v="102"/>
    <x v="102"/>
    <x v="5"/>
    <n v="65580744730"/>
    <n v="57412038533"/>
    <n v="2810369"/>
    <n v="4.2815833999999997E-2"/>
    <n v="135.79656560000001"/>
    <n v="53"/>
    <n v="66301543793.619987"/>
    <n v="-1.0900000000000001"/>
  </r>
  <r>
    <x v="102"/>
    <x v="102"/>
    <x v="6"/>
    <n v="81396766557.559998"/>
    <n v="67072165721"/>
    <n v="2808380"/>
    <n v="6.3948177289999997"/>
    <n v="154.7263039"/>
    <n v="56"/>
    <n v="65580744730"/>
    <n v="24.12"/>
  </r>
  <r>
    <x v="102"/>
    <x v="102"/>
    <x v="7"/>
    <n v="93003798072"/>
    <n v="70639687326"/>
    <n v="2831639"/>
    <n v="2.465320132"/>
    <n v="176.63181710000001"/>
    <n v="54"/>
    <n v="81396766557.559998"/>
    <n v="14.26"/>
  </r>
  <r>
    <x v="102"/>
    <x v="102"/>
    <x v="8"/>
    <n v="85251383850"/>
    <n v="80356613555"/>
    <n v="2871585"/>
    <n v="0.73953739799999996"/>
    <n v="147.9907518"/>
    <n v="51"/>
    <n v="93003798072"/>
    <n v="-8.34"/>
  </r>
  <r>
    <x v="102"/>
    <x v="102"/>
    <x v="9"/>
    <n v="79638193646"/>
    <n v="85503938574"/>
    <n v="2888278"/>
    <n v="3.0301954379999998"/>
    <n v="142.4199102"/>
    <n v="54"/>
    <n v="85251383850"/>
    <n v="-6.58"/>
  </r>
  <r>
    <x v="103"/>
    <x v="103"/>
    <x v="0"/>
    <n v="25251405342"/>
    <n v="60071584216"/>
    <n v="569604"/>
    <n v="2.2683657269999999"/>
    <n v="351.13195400000001"/>
    <n v="72"/>
    <m/>
    <m/>
  </r>
  <r>
    <x v="103"/>
    <x v="103"/>
    <x v="1"/>
    <n v="25676762138"/>
    <n v="62216885436"/>
    <n v="582014"/>
    <n v="4.9781904709999996"/>
    <n v="348.43740939999998"/>
    <n v="71"/>
    <n v="25251405342"/>
    <n v="1.68"/>
  </r>
  <r>
    <x v="103"/>
    <x v="103"/>
    <x v="2"/>
    <n v="23065762296.432999"/>
    <n v="65712180343"/>
    <n v="596336"/>
    <n v="1.3171194230000001"/>
    <n v="353.793992"/>
    <n v="76"/>
    <n v="25676762138"/>
    <n v="-10.17"/>
  </r>
  <r>
    <x v="103"/>
    <x v="103"/>
    <x v="3"/>
    <n v="30296734742.762039"/>
    <n v="71085623495"/>
    <n v="607950"/>
    <n v="1.6112989120000001"/>
    <n v="361.86544520000001"/>
    <n v="72"/>
    <n v="23065762296.432999"/>
    <n v="31.35"/>
  </r>
  <r>
    <x v="103"/>
    <x v="103"/>
    <x v="4"/>
    <n v="29334893820.907005"/>
    <n v="69872035114"/>
    <n v="620001"/>
    <n v="2.7493209190000001"/>
    <n v="382.66078060000001"/>
    <n v="72"/>
    <n v="30296734742.762039"/>
    <n v="-3.17"/>
  </r>
  <r>
    <x v="103"/>
    <x v="103"/>
    <x v="5"/>
    <n v="27012106891.128002"/>
    <n v="73670782100"/>
    <n v="630419"/>
    <n v="-0.51005163399999998"/>
    <n v="375.5813948"/>
    <n v="71"/>
    <n v="29334893820.907005"/>
    <n v="-7.92"/>
  </r>
  <r>
    <x v="103"/>
    <x v="103"/>
    <x v="6"/>
    <n v="32494253084.275021"/>
    <n v="86386759695"/>
    <n v="640064"/>
    <n v="6.9297327080000004"/>
    <n v="397.5061809"/>
    <n v="71"/>
    <n v="27012106891.128002"/>
    <n v="20.3"/>
  </r>
  <r>
    <x v="103"/>
    <x v="103"/>
    <x v="7"/>
    <n v="33532226646.890991"/>
    <n v="80801680397"/>
    <n v="653103"/>
    <n v="-1.097412563"/>
    <n v="412.17716990000002"/>
    <n v="71"/>
    <n v="32494253084.275021"/>
    <n v="3.19"/>
  </r>
  <r>
    <x v="103"/>
    <x v="103"/>
    <x v="8"/>
    <n v="32735226824.945999"/>
    <n v="88788881539"/>
    <n v="666430"/>
    <n v="9.9437058999999994E-2"/>
    <n v="402.56696820000002"/>
    <n v="70"/>
    <n v="33532226646.890991"/>
    <n v="-2.38"/>
  </r>
  <r>
    <x v="103"/>
    <x v="103"/>
    <x v="9"/>
    <n v="31271074936.86301"/>
    <n v="93279851863"/>
    <n v="677012"/>
    <n v="0.35861400399999999"/>
    <n v="351.26792119999999"/>
    <n v="68"/>
    <n v="32735226824.945999"/>
    <n v="-4.47"/>
  </r>
  <r>
    <x v="104"/>
    <x v="104"/>
    <x v="0"/>
    <n v="22851579572.558987"/>
    <n v="26344565877"/>
    <n v="1977527"/>
    <n v="3.7833671209999999"/>
    <n v="126.38001439999999"/>
    <n v="75"/>
    <m/>
    <m/>
  </r>
  <r>
    <x v="104"/>
    <x v="104"/>
    <x v="1"/>
    <n v="23222841780.425991"/>
    <n v="27117105060"/>
    <n v="1959537"/>
    <n v="2.55168602"/>
    <n v="123.3305184"/>
    <n v="73"/>
    <n v="22851579572.558987"/>
    <n v="1.62"/>
  </r>
  <r>
    <x v="104"/>
    <x v="104"/>
    <x v="2"/>
    <n v="25952637597.312988"/>
    <n v="29391059767"/>
    <n v="1942248"/>
    <n v="3.398948726"/>
    <n v="128.7140033"/>
    <n v="72"/>
    <n v="23222841780.425991"/>
    <n v="11.75"/>
  </r>
  <r>
    <x v="104"/>
    <x v="104"/>
    <x v="3"/>
    <n v="29300707756.784012"/>
    <n v="33247935477"/>
    <n v="1927174"/>
    <n v="4.3097128629999997"/>
    <n v="128.23409559999999"/>
    <n v="73"/>
    <n v="25952637597.312988"/>
    <n v="12.9"/>
  </r>
  <r>
    <x v="104"/>
    <x v="104"/>
    <x v="4"/>
    <n v="29003684658.076004"/>
    <n v="33099503951"/>
    <n v="1913822"/>
    <n v="0.67537277200000001"/>
    <n v="125.2916317"/>
    <n v="73"/>
    <n v="29300707756.784012"/>
    <n v="-1.01"/>
  </r>
  <r>
    <x v="104"/>
    <x v="104"/>
    <x v="5"/>
    <n v="30392527774.843994"/>
    <n v="33379927435"/>
    <n v="1900449"/>
    <n v="-3.4692275079999999"/>
    <n v="123.88319799999999"/>
    <n v="67"/>
    <n v="29003684658.076004"/>
    <n v="4.79"/>
  </r>
  <r>
    <x v="104"/>
    <x v="104"/>
    <x v="6"/>
    <n v="38917643832.540977"/>
    <n v="38183326785"/>
    <n v="1884490"/>
    <n v="6.9425417310000004"/>
    <n v="136.79661540000001"/>
    <n v="67"/>
    <n v="30392527774.843994"/>
    <n v="28.05"/>
  </r>
  <r>
    <x v="104"/>
    <x v="104"/>
    <x v="7"/>
    <n v="44932469328.657005"/>
    <n v="38003198509"/>
    <n v="1879383"/>
    <n v="1.9085341899999999"/>
    <n v="159.89277820000001"/>
    <n v="65"/>
    <n v="38917643832.540977"/>
    <n v="15.46"/>
  </r>
  <r>
    <x v="104"/>
    <x v="104"/>
    <x v="8"/>
    <n v="41079956864.104019"/>
    <n v="42779550937"/>
    <n v="1883710"/>
    <n v="-0.94160606899999999"/>
    <n v="135.64298919999999"/>
    <n v="65"/>
    <n v="44932469328.657005"/>
    <n v="-8.57"/>
  </r>
  <r>
    <x v="104"/>
    <x v="104"/>
    <x v="9"/>
    <n v="39483073284.635971"/>
    <n v="44001275013"/>
    <n v="1866124"/>
    <n v="-3.7055665000000002E-2"/>
    <n v="131.30958240000001"/>
    <n v="66"/>
    <n v="41079956864.104019"/>
    <n v="-3.89"/>
  </r>
  <r>
    <x v="105"/>
    <x v="105"/>
    <x v="0"/>
    <n v="2678025238"/>
    <n v="44940613353"/>
    <n v="642900"/>
    <n v="-21.75400788"/>
    <n v="119.2504368"/>
    <n v="125"/>
    <m/>
    <m/>
  </r>
  <r>
    <x v="105"/>
    <x v="105"/>
    <x v="1"/>
    <n v="2513206198"/>
    <n v="44964868324"/>
    <n v="652500"/>
    <n v="-0.70151021300000005"/>
    <n v="112.8902327"/>
    <n v="128"/>
    <n v="2678025238"/>
    <n v="-6.15"/>
  </r>
  <r>
    <x v="105"/>
    <x v="105"/>
    <x v="2"/>
    <n v="1993330464.6949995"/>
    <n v="50297028371"/>
    <n v="648400"/>
    <n v="9.9185584450000004"/>
    <n v="115.45466260000001"/>
    <n v="132"/>
    <n v="2513206198"/>
    <n v="-20.69"/>
  </r>
  <r>
    <x v="105"/>
    <x v="105"/>
    <x v="3"/>
    <n v="2313183743.1789989"/>
    <n v="55076322634"/>
    <n v="658900"/>
    <n v="6.3591703060000002"/>
    <n v="116.56867680000001"/>
    <n v="127"/>
    <n v="1993330464.6949995"/>
    <n v="16.05"/>
  </r>
  <r>
    <x v="105"/>
    <x v="105"/>
    <x v="4"/>
    <n v="2047966062.1010001"/>
    <n v="55025172016"/>
    <n v="672000"/>
    <n v="-2.4609094009999999"/>
    <n v="115.2312989"/>
    <n v="129"/>
    <n v="2313183743.1789989"/>
    <n v="-11.47"/>
  </r>
  <r>
    <x v="105"/>
    <x v="105"/>
    <x v="5"/>
    <n v="2049163060.5519998"/>
    <n v="25280064168"/>
    <n v="685400"/>
    <n v="-54.402092580000001"/>
    <n v="123.4343744"/>
    <n v="127"/>
    <n v="2047966062.1010001"/>
    <n v="0.06"/>
  </r>
  <r>
    <x v="105"/>
    <x v="105"/>
    <x v="6"/>
    <n v="2784849801.1069999"/>
    <n v="30633941629"/>
    <n v="682500"/>
    <n v="22.462202000000001"/>
    <n v="171.3159708"/>
    <n v="130"/>
    <n v="2049163060.5519998"/>
    <n v="35.9"/>
  </r>
  <r>
    <x v="105"/>
    <x v="105"/>
    <x v="7"/>
    <n v="2733475553.6699991"/>
    <n v="24929307447"/>
    <n v="677300"/>
    <n v="-18.956941489999998"/>
    <n v="170.3680493"/>
    <n v="127"/>
    <n v="2784849801.1069999"/>
    <n v="-1.84"/>
  </r>
  <r>
    <x v="105"/>
    <x v="105"/>
    <x v="8"/>
    <n v="2443104894.1480007"/>
    <n v="45626467280"/>
    <n v="678800"/>
    <n v="75.308418430000003"/>
    <n v="145.87446729999999"/>
    <n v="126"/>
    <n v="2733475553.6699991"/>
    <n v="-10.62"/>
  </r>
  <r>
    <x v="105"/>
    <x v="105"/>
    <x v="9"/>
    <n v="2139265293.0529995"/>
    <n v="49467258923"/>
    <n v="687000"/>
    <n v="7.8496020700000004"/>
    <n v="142.07943460000001"/>
    <n v="112"/>
    <n v="2443104894.1480007"/>
    <n v="-12.44"/>
  </r>
  <r>
    <x v="106"/>
    <x v="106"/>
    <x v="0"/>
    <n v="44673870798.936028"/>
    <n v="110000000000"/>
    <n v="34607588"/>
    <n v="4.3445829759999999"/>
    <n v="67.288675929999997"/>
    <n v="61"/>
    <m/>
    <m/>
  </r>
  <r>
    <x v="106"/>
    <x v="106"/>
    <x v="1"/>
    <n v="45716577045"/>
    <n v="112000000000"/>
    <n v="35023457"/>
    <n v="0.52118550600000002"/>
    <n v="71.122660379999999"/>
    <n v="62"/>
    <n v="44673870798.936028"/>
    <n v="2.33"/>
  </r>
  <r>
    <x v="106"/>
    <x v="106"/>
    <x v="2"/>
    <n v="51248595698.96904"/>
    <n v="119000000000"/>
    <n v="35446392"/>
    <n v="5.0578981619999999"/>
    <n v="74.173357879999998"/>
    <n v="61"/>
    <n v="45716577045"/>
    <n v="12.1"/>
  </r>
  <r>
    <x v="106"/>
    <x v="106"/>
    <x v="3"/>
    <n v="58691144233.613991"/>
    <n v="127000000000"/>
    <n v="35839760"/>
    <n v="3.0656413300000001"/>
    <n v="77.254887519999997"/>
    <n v="60"/>
    <n v="51248595698.96904"/>
    <n v="14.52"/>
  </r>
  <r>
    <x v="106"/>
    <x v="106"/>
    <x v="4"/>
    <n v="59164798152.099052"/>
    <n v="129000000000"/>
    <n v="36210898"/>
    <n v="2.8909747609999998"/>
    <n v="75.99811588"/>
    <n v="59"/>
    <n v="58691144233.613991"/>
    <n v="0.81"/>
  </r>
  <r>
    <x v="106"/>
    <x v="106"/>
    <x v="5"/>
    <n v="55405449168.841995"/>
    <n v="121000000000"/>
    <n v="36584208"/>
    <n v="-7.1782074419999997"/>
    <n v="68.843803390000005"/>
    <n v="58"/>
    <n v="59164798152.099052"/>
    <n v="-6.35"/>
  </r>
  <r>
    <x v="106"/>
    <x v="106"/>
    <x v="6"/>
    <n v="73170449902.406967"/>
    <n v="142000000000"/>
    <n v="36954442"/>
    <n v="8.1547388979999997"/>
    <n v="75.523417179999996"/>
    <n v="58"/>
    <n v="55405449168.841995"/>
    <n v="32.06"/>
  </r>
  <r>
    <x v="106"/>
    <x v="106"/>
    <x v="7"/>
    <n v="84366941452.703033"/>
    <n v="131000000000"/>
    <n v="37329064"/>
    <n v="1.812692422"/>
    <n v="100.90631019999999"/>
    <n v="57"/>
    <n v="73170449902.406967"/>
    <n v="15.3"/>
  </r>
  <r>
    <x v="106"/>
    <x v="106"/>
    <x v="8"/>
    <n v="84925613739.845978"/>
    <n v="146000000000"/>
    <n v="37712505"/>
    <n v="3.6556441099999999"/>
    <n v="93.117884419999996"/>
    <n v="53"/>
    <n v="84366941452.703033"/>
    <n v="0.66"/>
  </r>
  <r>
    <x v="106"/>
    <x v="106"/>
    <x v="9"/>
    <n v="161137766817.05908"/>
    <n v="161000000000"/>
    <n v="38081173"/>
    <n v="3.79336516"/>
    <n v="92.187244609999993"/>
    <n v="37"/>
    <n v="84925613739.845978"/>
    <n v="89.74"/>
  </r>
  <r>
    <x v="107"/>
    <x v="107"/>
    <x v="0"/>
    <n v="3933674628"/>
    <n v="7797667197"/>
    <n v="2835978"/>
    <n v="-0.33823562200000001"/>
    <n v="88.966415459999993"/>
    <n v="117"/>
    <m/>
    <m/>
  </r>
  <r>
    <x v="107"/>
    <x v="107"/>
    <x v="1"/>
    <n v="4089077692"/>
    <n v="7980917076"/>
    <n v="2803186"/>
    <n v="4.6460143629999999"/>
    <n v="89.004683720000003"/>
    <n v="120"/>
    <n v="3933674628"/>
    <n v="3.95"/>
  </r>
  <r>
    <x v="107"/>
    <x v="107"/>
    <x v="2"/>
    <n v="4850237504"/>
    <n v="9514404016"/>
    <n v="2755189"/>
    <n v="4.1756120509999999"/>
    <n v="88.623390279999995"/>
    <n v="117"/>
    <n v="4089077692"/>
    <n v="18.61"/>
  </r>
  <r>
    <x v="107"/>
    <x v="107"/>
    <x v="3"/>
    <n v="5413636432"/>
    <n v="11252353421"/>
    <n v="2707203"/>
    <n v="4.0755954660000002"/>
    <n v="87.446787430000001"/>
    <n v="116"/>
    <n v="4850237504"/>
    <n v="11.62"/>
  </r>
  <r>
    <x v="107"/>
    <x v="107"/>
    <x v="4"/>
    <n v="5558329566"/>
    <n v="11736797055"/>
    <n v="2664224"/>
    <n v="3.5523140849999999"/>
    <n v="87.632237110000005"/>
    <n v="114"/>
    <n v="5413636432"/>
    <n v="2.67"/>
  </r>
  <r>
    <x v="107"/>
    <x v="107"/>
    <x v="5"/>
    <n v="4934213026"/>
    <n v="11530746234"/>
    <n v="2635130"/>
    <n v="-8.2759783200000001"/>
    <n v="79.265722120000007"/>
    <n v="115"/>
    <n v="5558329566"/>
    <n v="-11.23"/>
  </r>
  <r>
    <x v="107"/>
    <x v="107"/>
    <x v="6"/>
    <n v="6289009634"/>
    <n v="13691869264"/>
    <n v="2595809"/>
    <n v="13.92999979"/>
    <n v="88.470886539999995"/>
    <n v="115"/>
    <n v="4934213026"/>
    <n v="27.46"/>
  </r>
  <r>
    <x v="107"/>
    <x v="107"/>
    <x v="7"/>
    <n v="8664290906"/>
    <n v="14525337524"/>
    <n v="2528654"/>
    <n v="-4.6478510100000001"/>
    <n v="112.11767159999999"/>
    <n v="108"/>
    <n v="6289009634"/>
    <n v="37.770000000000003"/>
  </r>
  <r>
    <x v="107"/>
    <x v="107"/>
    <x v="8"/>
    <n v="8097233606"/>
    <n v="16711906746"/>
    <n v="2457783"/>
    <n v="1.1880206790000001"/>
    <n v="93.99462115"/>
    <n v="112"/>
    <n v="8664290906"/>
    <n v="-6.54"/>
  </r>
  <r>
    <x v="107"/>
    <x v="107"/>
    <x v="9"/>
    <n v="7110124128"/>
    <n v="18206842141"/>
    <n v="2402306"/>
    <n v="0.270670456"/>
    <n v="88.892437880000003"/>
    <n v="103"/>
    <n v="8097233606"/>
    <n v="-12.19"/>
  </r>
  <r>
    <x v="108"/>
    <x v="108"/>
    <x v="0"/>
    <n v="4266806616.5599966"/>
    <n v="11323020701"/>
    <n v="25426702"/>
    <n v="3.132298075"/>
    <n v="61.220378840000002"/>
    <n v="115"/>
    <m/>
    <m/>
  </r>
  <r>
    <x v="108"/>
    <x v="108"/>
    <x v="1"/>
    <n v="4528409273.6680002"/>
    <n v="11848613858"/>
    <n v="26099952"/>
    <n v="3.9931460620000001"/>
    <n v="60.83469848"/>
    <n v="115"/>
    <n v="4266806616.5599966"/>
    <n v="6.13"/>
  </r>
  <r>
    <x v="108"/>
    <x v="108"/>
    <x v="2"/>
    <n v="5859084929.249999"/>
    <n v="13176313594"/>
    <n v="26788375"/>
    <n v="3.933307595"/>
    <n v="65.343401510000007"/>
    <n v="113"/>
    <n v="4528409273.6680002"/>
    <n v="29.39"/>
  </r>
  <r>
    <x v="108"/>
    <x v="108"/>
    <x v="3"/>
    <n v="6256178407.8130016"/>
    <n v="13760033282"/>
    <n v="27494926"/>
    <n v="3.1943565170000001"/>
    <n v="67.841504670000006"/>
    <n v="113"/>
    <n v="5859084929.249999"/>
    <n v="6.78"/>
  </r>
  <r>
    <x v="108"/>
    <x v="108"/>
    <x v="4"/>
    <n v="5365023737.2840042"/>
    <n v="14104664679"/>
    <n v="28219554"/>
    <n v="4.4112321290000001"/>
    <n v="62.601323049999998"/>
    <n v="117"/>
    <n v="6256178407.8130016"/>
    <n v="-14.24"/>
  </r>
  <r>
    <x v="108"/>
    <x v="108"/>
    <x v="5"/>
    <n v="4037883562.703002"/>
    <n v="13051441204"/>
    <n v="28953556"/>
    <n v="-7.137671621"/>
    <n v="49.010707369999999"/>
    <n v="119"/>
    <n v="5365023737.2840042"/>
    <n v="-24.74"/>
  </r>
  <r>
    <x v="108"/>
    <x v="108"/>
    <x v="6"/>
    <n v="5576990951.5260029"/>
    <n v="14354731964"/>
    <n v="29691083"/>
    <n v="4.6506834320000001"/>
    <n v="55.215858590000003"/>
    <n v="119"/>
    <n v="4037883562.703002"/>
    <n v="38.119999999999997"/>
  </r>
  <r>
    <x v="108"/>
    <x v="108"/>
    <x v="7"/>
    <n v="7442912481.8119936"/>
    <n v="15342178598"/>
    <n v="30437261"/>
    <n v="4.1375353500000003"/>
    <n v="70.470854680000002"/>
    <n v="113"/>
    <n v="5576990951.5260029"/>
    <n v="33.46"/>
  </r>
  <r>
    <x v="108"/>
    <x v="108"/>
    <x v="8"/>
    <n v="6565699087.0879965"/>
    <n v="16036707976"/>
    <n v="31195932"/>
    <n v="4.2308658069999998"/>
    <n v="62.762214759999999"/>
    <n v="117"/>
    <n v="7442912481.8119936"/>
    <n v="-11.79"/>
  </r>
  <r>
    <x v="108"/>
    <x v="108"/>
    <x v="9"/>
    <n v="5114126740.7000008"/>
    <n v="17592832696"/>
    <n v="31964956"/>
    <n v="4.322837281"/>
    <n v="57.537021330000002"/>
    <n v="104"/>
    <n v="6565699087.0879965"/>
    <n v="-22.11"/>
  </r>
  <r>
    <x v="109"/>
    <x v="109"/>
    <x v="0"/>
    <n v="288344708"/>
    <n v="4129505319"/>
    <n v="428154"/>
    <n v="3.8681353650000001"/>
    <n v="143.72050669999999"/>
    <n v="151"/>
    <m/>
    <m/>
  </r>
  <r>
    <x v="109"/>
    <x v="109"/>
    <x v="1"/>
    <n v="279185582"/>
    <n v="4409942624"/>
    <n v="443308"/>
    <n v="6.3752830669999998"/>
    <n v="144.38021230000001"/>
    <n v="153"/>
    <n v="288344708"/>
    <n v="-3.18"/>
  </r>
  <r>
    <x v="109"/>
    <x v="109"/>
    <x v="2"/>
    <n v="398690558.71099997"/>
    <n v="4816426257"/>
    <n v="458287"/>
    <n v="7.0744286320000001"/>
    <n v="141.91211060000001"/>
    <n v="149"/>
    <n v="279185582"/>
    <n v="42.8"/>
  </r>
  <r>
    <x v="109"/>
    <x v="109"/>
    <x v="3"/>
    <n v="363422802.16200012"/>
    <n v="5404344163"/>
    <n v="473099"/>
    <n v="8.5689555829999993"/>
    <n v="142.4911285"/>
    <n v="149"/>
    <n v="398690558.71099997"/>
    <n v="-8.85"/>
  </r>
  <r>
    <x v="109"/>
    <x v="109"/>
    <x v="4"/>
    <n v="316030956.43999994"/>
    <n v="5726094799"/>
    <n v="487731"/>
    <n v="6.9230598910000003"/>
    <n v="137.12523089999999"/>
    <n v="148"/>
    <n v="363422802.16200012"/>
    <n v="-13.04"/>
  </r>
  <r>
    <x v="109"/>
    <x v="109"/>
    <x v="5"/>
    <n v="325629577.79400003"/>
    <n v="3712604583"/>
    <n v="502118"/>
    <n v="-32.90882878"/>
    <n v="114.3619029"/>
    <n v="145"/>
    <n v="316030956.43999994"/>
    <n v="3.04"/>
  </r>
  <r>
    <x v="109"/>
    <x v="109"/>
    <x v="6"/>
    <n v="302586532.98200005"/>
    <n v="5252457370"/>
    <n v="516154"/>
    <n v="37.50787012"/>
    <n v="142.60729670000001"/>
    <n v="148"/>
    <n v="325629577.79400003"/>
    <n v="-7.08"/>
  </r>
  <r>
    <x v="109"/>
    <x v="109"/>
    <x v="7"/>
    <n v="316799783.28300005"/>
    <n v="6177123352"/>
    <n v="524106"/>
    <n v="13.82608952"/>
    <n v="162.24343289999999"/>
    <n v="146"/>
    <n v="302586532.98200005"/>
    <n v="4.7"/>
  </r>
  <r>
    <x v="109"/>
    <x v="109"/>
    <x v="8"/>
    <n v="324110203.26200002"/>
    <n v="6621008704"/>
    <n v="525994"/>
    <n v="4.9428630120000001"/>
    <n v="149.34997619999999"/>
    <n v="143"/>
    <n v="316799783.28300005"/>
    <n v="2.31"/>
  </r>
  <r>
    <x v="109"/>
    <x v="109"/>
    <x v="9"/>
    <n v="184836994.70699996"/>
    <n v="7061608267"/>
    <n v="527799"/>
    <n v="3.494404227"/>
    <n v="156.4739557"/>
    <n v="123"/>
    <n v="324110203.26200002"/>
    <n v="-42.97"/>
  </r>
  <r>
    <x v="110"/>
    <x v="110"/>
    <x v="0"/>
    <n v="761112177364"/>
    <n v="1210000000000"/>
    <n v="121072306"/>
    <n v="2.7023234299999999"/>
    <n v="70.412974680000005"/>
    <n v="11"/>
    <m/>
    <m/>
  </r>
  <r>
    <x v="110"/>
    <x v="110"/>
    <x v="1"/>
    <n v="747907227680"/>
    <n v="1110000000000"/>
    <n v="122251351"/>
    <n v="1.7724932250000001"/>
    <n v="75.690303409999999"/>
    <n v="11"/>
    <n v="761112177364"/>
    <n v="-1.73"/>
  </r>
  <r>
    <x v="110"/>
    <x v="110"/>
    <x v="2"/>
    <n v="818792545980"/>
    <n v="1190000000000"/>
    <n v="123400057"/>
    <n v="1.8717285459999999"/>
    <n v="76.952126039999996"/>
    <n v="11"/>
    <n v="747907227680"/>
    <n v="9.48"/>
  </r>
  <r>
    <x v="110"/>
    <x v="110"/>
    <x v="3"/>
    <n v="901367293250"/>
    <n v="1260000000000"/>
    <n v="124573711"/>
    <n v="1.972082111"/>
    <n v="80.212661650000001"/>
    <n v="11"/>
    <n v="818792545980"/>
    <n v="10.08"/>
  </r>
  <r>
    <x v="110"/>
    <x v="110"/>
    <x v="4"/>
    <n v="921207391616"/>
    <n v="1300000000000"/>
    <n v="125762982"/>
    <n v="-0.39269051300000002"/>
    <n v="77.461972250000002"/>
    <n v="10"/>
    <n v="901367293250"/>
    <n v="2.2000000000000002"/>
  </r>
  <r>
    <x v="110"/>
    <x v="110"/>
    <x v="5"/>
    <n v="833964340972"/>
    <n v="1120000000000"/>
    <n v="126799054"/>
    <n v="-8.3540345939999998"/>
    <n v="76.854555719999993"/>
    <n v="9"/>
    <n v="921207391616"/>
    <n v="-9.4700000000000006"/>
  </r>
  <r>
    <x v="110"/>
    <x v="110"/>
    <x v="6"/>
    <n v="988921530010"/>
    <n v="1320000000000"/>
    <n v="127648148"/>
    <n v="6.048483472"/>
    <n v="83.069297629999994"/>
    <n v="10"/>
    <n v="833964340972"/>
    <n v="18.579999999999998"/>
  </r>
  <r>
    <x v="110"/>
    <x v="110"/>
    <x v="7"/>
    <n v="1159629655886"/>
    <n v="1470000000000"/>
    <n v="128613117"/>
    <n v="3.709757083"/>
    <n v="88.798485589999999"/>
    <n v="10"/>
    <n v="988921530010"/>
    <n v="17.260000000000002"/>
  </r>
  <r>
    <x v="110"/>
    <x v="110"/>
    <x v="8"/>
    <n v="1191945545328"/>
    <n v="1790000000000"/>
    <n v="129739759"/>
    <n v="3.1067964130000001"/>
    <n v="73.739075830000004"/>
    <n v="8"/>
    <n v="1159629655886"/>
    <n v="2.79"/>
  </r>
  <r>
    <x v="110"/>
    <x v="110"/>
    <x v="9"/>
    <n v="1239310870236"/>
    <n v="1830000000000"/>
    <n v="130861007"/>
    <n v="1.350576314"/>
    <n v="75.425901539999998"/>
    <n v="9"/>
    <n v="1191945545328"/>
    <n v="3.97"/>
  </r>
  <r>
    <x v="111"/>
    <x v="111"/>
    <x v="0"/>
    <n v="9060152425.4799995"/>
    <n v="10064519963"/>
    <n v="1912430"/>
    <n v="3.8558651400000001"/>
    <n v="113.6984439"/>
    <n v="101"/>
    <m/>
    <m/>
  </r>
  <r>
    <x v="111"/>
    <x v="111"/>
    <x v="1"/>
    <n v="9704302874.3399982"/>
    <n v="10672467073"/>
    <n v="1906313"/>
    <n v="2.8482051940000002"/>
    <n v="116.1854084"/>
    <n v="97"/>
    <n v="9060152425.4799995"/>
    <n v="7.11"/>
  </r>
  <r>
    <x v="111"/>
    <x v="111"/>
    <x v="2"/>
    <n v="11365606162.380007"/>
    <n v="11307067070"/>
    <n v="1898657"/>
    <n v="1.081772738"/>
    <n v="124.1372839"/>
    <n v="96"/>
    <n v="9704302874.3399982"/>
    <n v="17.12"/>
  </r>
  <r>
    <x v="111"/>
    <x v="111"/>
    <x v="3"/>
    <n v="13812673710.260008"/>
    <n v="12683068114"/>
    <n v="1889051"/>
    <n v="2.8805967099999998"/>
    <n v="133.21520760000001"/>
    <n v="92"/>
    <n v="11365606162.380007"/>
    <n v="21.53"/>
  </r>
  <r>
    <x v="111"/>
    <x v="111"/>
    <x v="4"/>
    <n v="14390281801.374002"/>
    <n v="12606338449"/>
    <n v="1876262"/>
    <n v="3.9104195380000002"/>
    <n v="138.57623179999999"/>
    <n v="88"/>
    <n v="13812673710.260008"/>
    <n v="4.18"/>
  </r>
  <r>
    <x v="111"/>
    <x v="111"/>
    <x v="5"/>
    <n v="13266431408.154005"/>
    <n v="12361036914"/>
    <n v="1856124"/>
    <n v="-4.6884500100000004"/>
    <n v="128.24124430000001"/>
    <n v="87"/>
    <n v="14390281801.374002"/>
    <n v="-7.81"/>
  </r>
  <r>
    <x v="111"/>
    <x v="111"/>
    <x v="6"/>
    <n v="16372629275.255999"/>
    <n v="14000283827"/>
    <n v="1837114"/>
    <n v="4.5106794900000002"/>
    <n v="146.72141149999999"/>
    <n v="90"/>
    <n v="13266431408.154005"/>
    <n v="23.41"/>
  </r>
  <r>
    <x v="111"/>
    <x v="111"/>
    <x v="7"/>
    <n v="17458711438.360001"/>
    <n v="13932436550"/>
    <n v="1831712"/>
    <n v="2.7588841529999999"/>
    <n v="166.1473574"/>
    <n v="91"/>
    <n v="16372629275.255999"/>
    <n v="6.63"/>
  </r>
  <r>
    <x v="111"/>
    <x v="111"/>
    <x v="8"/>
    <n v="17989715113.670998"/>
    <n v="15855131189"/>
    <n v="1827816"/>
    <n v="2.5549652530000002"/>
    <n v="147.7942535"/>
    <n v="88"/>
    <n v="17458711438.360001"/>
    <n v="3.04"/>
  </r>
  <r>
    <x v="111"/>
    <x v="111"/>
    <x v="9"/>
    <n v="16846009821.700003"/>
    <n v="16951682221"/>
    <n v="1824359"/>
    <n v="2.9937353660000001"/>
    <n v="136.32487620000001"/>
    <n v="83"/>
    <n v="17989715113.670998"/>
    <n v="-6.36"/>
  </r>
  <r>
    <x v="112"/>
    <x v="112"/>
    <x v="1"/>
    <n v="5695187128"/>
    <n v="16743796800"/>
    <n v="19191289"/>
    <n v="6.0050630859999998"/>
    <n v="53.612619359999997"/>
    <n v="110"/>
    <m/>
    <m/>
  </r>
  <r>
    <x v="112"/>
    <x v="112"/>
    <x v="2"/>
    <n v="3805460146.8260007"/>
    <n v="18308362040"/>
    <n v="19813011"/>
    <n v="5.3755476959999999"/>
    <n v="49.49199849"/>
    <n v="125"/>
    <n v="5695187128"/>
    <n v="-33.18"/>
  </r>
  <r>
    <x v="112"/>
    <x v="112"/>
    <x v="3"/>
    <n v="7267613800.9749994"/>
    <n v="20368015381"/>
    <n v="20442030"/>
    <n v="4.8678499989999997"/>
    <n v="50.69984625"/>
    <n v="108"/>
    <n v="3805460146.8260007"/>
    <n v="90.98"/>
  </r>
  <r>
    <x v="112"/>
    <x v="112"/>
    <x v="4"/>
    <n v="7286473024.2510042"/>
    <n v="20477421885"/>
    <n v="21068405"/>
    <n v="4.9999991169999998"/>
    <n v="53.998713279999997"/>
    <n v="109"/>
    <n v="7267613800.9749994"/>
    <n v="0.26"/>
  </r>
  <r>
    <x v="112"/>
    <x v="112"/>
    <x v="5"/>
    <n v="7978712557.079999"/>
    <n v="20698560939"/>
    <n v="21713836"/>
    <n v="-1.169108349"/>
    <n v="56.041547440000002"/>
    <n v="104"/>
    <n v="7286473024.2510042"/>
    <n v="9.5"/>
  </r>
  <r>
    <x v="112"/>
    <x v="112"/>
    <x v="6"/>
    <n v="8347592049.3509979"/>
    <n v="22999245263"/>
    <n v="22388630"/>
    <n v="3.100941245"/>
    <n v="56.715052559999997"/>
    <n v="108"/>
    <n v="7978712557.079999"/>
    <n v="4.62"/>
  </r>
  <r>
    <x v="112"/>
    <x v="112"/>
    <x v="7"/>
    <n v="7808677088.057003"/>
    <n v="22539987719"/>
    <n v="23072640"/>
    <n v="3.7031902759999999"/>
    <n v="61.561327489999996"/>
    <n v="110"/>
    <n v="8347592049.3509979"/>
    <n v="-6.46"/>
  </r>
  <r>
    <x v="112"/>
    <x v="112"/>
    <x v="8"/>
    <n v="8012547633.6939993"/>
    <n v="24777941861"/>
    <n v="23769127"/>
    <n v="4.763941"/>
    <n v="57.629157229999997"/>
    <n v="113"/>
    <n v="7808677088.057003"/>
    <n v="2.61"/>
  </r>
  <r>
    <x v="113"/>
    <x v="113"/>
    <x v="0"/>
    <n v="7830895961"/>
    <n v="11340789706"/>
    <n v="444220"/>
    <n v="9.6207030279999994"/>
    <n v="207.1960206"/>
    <n v="104"/>
    <m/>
    <m/>
  </r>
  <r>
    <x v="113"/>
    <x v="113"/>
    <x v="1"/>
    <n v="8077285953"/>
    <n v="12025777078"/>
    <n v="454505"/>
    <n v="4.0780042219999997"/>
    <n v="213.35947200000001"/>
    <n v="103"/>
    <n v="7830895961"/>
    <n v="3.15"/>
  </r>
  <r>
    <x v="113"/>
    <x v="113"/>
    <x v="2"/>
    <n v="8155463703.7189999"/>
    <n v="14161374599"/>
    <n v="467106"/>
    <n v="12.971342529999999"/>
    <n v="213.04759129999999"/>
    <n v="106"/>
    <n v="8077285953"/>
    <n v="0.97"/>
  </r>
  <r>
    <x v="113"/>
    <x v="113"/>
    <x v="3"/>
    <n v="7737028158.605998"/>
    <n v="16153785817"/>
    <n v="483903"/>
    <n v="7.1892142550000004"/>
    <n v="228.09855110000001"/>
    <n v="104"/>
    <n v="8155463703.7189999"/>
    <n v="-5.13"/>
  </r>
  <r>
    <x v="113"/>
    <x v="113"/>
    <x v="4"/>
    <n v="8285844269.3789978"/>
    <n v="16337788881"/>
    <n v="503912"/>
    <n v="4.0850557309999997"/>
    <n v="233.07044089999999"/>
    <n v="105"/>
    <n v="7737028158.605998"/>
    <n v="7.09"/>
  </r>
  <r>
    <x v="113"/>
    <x v="113"/>
    <x v="5"/>
    <n v="5663816326.2669973"/>
    <n v="16404655808"/>
    <n v="515490"/>
    <n v="-3.457282325"/>
    <n v="242.3611904"/>
    <n v="112"/>
    <n v="8285844269.3789978"/>
    <n v="-31.64"/>
  </r>
  <r>
    <x v="113"/>
    <x v="113"/>
    <x v="6"/>
    <n v="6133663261.6540031"/>
    <n v="19730119031"/>
    <n v="518150"/>
    <n v="13.35098189"/>
    <n v="220.07229480000001"/>
    <n v="116"/>
    <n v="5663816326.2669973"/>
    <n v="8.3000000000000007"/>
  </r>
  <r>
    <x v="113"/>
    <x v="113"/>
    <x v="7"/>
    <n v="6514740091.1709976"/>
    <n v="18938869147"/>
    <n v="531113"/>
    <n v="2.5927677689999999"/>
    <n v="244.5815355"/>
    <n v="116"/>
    <n v="6133663261.6540031"/>
    <n v="6.21"/>
  </r>
  <r>
    <x v="113"/>
    <x v="113"/>
    <x v="8"/>
    <n v="6933152206.8789978"/>
    <n v="22625329776"/>
    <n v="552747"/>
    <n v="10.634055800000001"/>
    <n v="221.13329640000001"/>
    <n v="114"/>
    <n v="6514740091.1709976"/>
    <n v="6.42"/>
  </r>
  <r>
    <x v="113"/>
    <x v="113"/>
    <x v="9"/>
    <n v="7564188404.201993"/>
    <n v="25042712191"/>
    <n v="568847"/>
    <n v="6.2127599699999996"/>
    <n v="217.7302727"/>
    <n v="101"/>
    <n v="6933152206.8789978"/>
    <n v="9.1"/>
  </r>
  <r>
    <x v="114"/>
    <x v="114"/>
    <x v="0"/>
    <n v="22863584327.292"/>
    <n v="59607290408"/>
    <n v="51089056"/>
    <n v="6.9928402900000002"/>
    <m/>
    <n v="74"/>
    <m/>
    <m/>
  </r>
  <r>
    <x v="114"/>
    <x v="114"/>
    <x v="1"/>
    <n v="23345434920.179996"/>
    <n v="63298361996"/>
    <n v="51495696"/>
    <n v="5.8624729149999997"/>
    <m/>
    <n v="72"/>
    <n v="22863584327.292"/>
    <n v="2.11"/>
  </r>
  <r>
    <x v="114"/>
    <x v="114"/>
    <x v="2"/>
    <n v="27755906577.515003"/>
    <n v="66053040483"/>
    <n v="51894938"/>
    <n v="6.1361082439999999"/>
    <m/>
    <n v="71"/>
    <n v="23345434920.179996"/>
    <n v="18.89"/>
  </r>
  <r>
    <x v="114"/>
    <x v="114"/>
    <x v="3"/>
    <n v="33404317524.012005"/>
    <n v="67860515990"/>
    <n v="52272247"/>
    <n v="6.2688622150000004"/>
    <m/>
    <n v="70"/>
    <n v="27755906577.515003"/>
    <n v="20.350000000000001"/>
  </r>
  <r>
    <x v="114"/>
    <x v="114"/>
    <x v="4"/>
    <n v="36235210610.992996"/>
    <n v="75065106228"/>
    <n v="52640713"/>
    <n v="6.5791100680000003"/>
    <m/>
    <n v="65"/>
    <n v="33404317524.012005"/>
    <n v="8.4700000000000006"/>
  </r>
  <r>
    <x v="114"/>
    <x v="114"/>
    <x v="5"/>
    <n v="33899510582.310001"/>
    <n v="79006113643"/>
    <n v="53016522"/>
    <n v="-9.0483471800000004"/>
    <m/>
    <n v="65"/>
    <n v="36235210610.992996"/>
    <n v="-6.45"/>
  </r>
  <r>
    <x v="114"/>
    <x v="114"/>
    <x v="6"/>
    <n v="30306815426.424011"/>
    <n v="66345291160"/>
    <n v="53387102"/>
    <n v="-12.016372479999999"/>
    <m/>
    <n v="72"/>
    <n v="33899510582.310001"/>
    <n v="-10.6"/>
  </r>
  <r>
    <x v="114"/>
    <x v="114"/>
    <x v="7"/>
    <n v="34169025780.855999"/>
    <n v="62253049892"/>
    <n v="53756787"/>
    <n v="4.0374934360000001"/>
    <m/>
    <n v="70"/>
    <n v="30306815426.424011"/>
    <n v="12.74"/>
  </r>
  <r>
    <x v="114"/>
    <x v="114"/>
    <x v="8"/>
    <n v="29505986113.870007"/>
    <n v="66757619000"/>
    <n v="54133798"/>
    <n v="0.958446625"/>
    <m/>
    <n v="72"/>
    <n v="34169025780.855999"/>
    <n v="-13.65"/>
  </r>
  <r>
    <x v="114"/>
    <x v="114"/>
    <x v="9"/>
    <n v="29847612215.348003"/>
    <n v="74068349524"/>
    <n v="54500091"/>
    <n v="-0.97204641400000003"/>
    <m/>
    <n v="69"/>
    <n v="29505986113.870007"/>
    <n v="1.1599999999999999"/>
  </r>
  <r>
    <x v="115"/>
    <x v="115"/>
    <x v="0"/>
    <n v="706159023"/>
    <n v="4010884107"/>
    <n v="624651"/>
    <n v="2.5230633400000002"/>
    <n v="104.1251089"/>
    <n v="146"/>
    <m/>
    <m/>
  </r>
  <r>
    <x v="115"/>
    <x v="115"/>
    <x v="1"/>
    <n v="710120747.86800039"/>
    <n v="4357467226"/>
    <n v="625353"/>
    <n v="3.4393056209999999"/>
    <n v="104.13595460000001"/>
    <n v="149"/>
    <n v="706159023"/>
    <n v="0.56000000000000005"/>
  </r>
  <r>
    <x v="115"/>
    <x v="115"/>
    <x v="2"/>
    <n v="841741775.89800024"/>
    <n v="4803964684"/>
    <n v="625982"/>
    <n v="3.2166850469999999"/>
    <n v="106.7113667"/>
    <n v="146"/>
    <n v="710120747.86800039"/>
    <n v="18.54"/>
  </r>
  <r>
    <x v="115"/>
    <x v="115"/>
    <x v="3"/>
    <n v="931994715.08600044"/>
    <n v="5433469311"/>
    <n v="626438"/>
    <n v="4.7329211339999997"/>
    <n v="111.0989355"/>
    <n v="143"/>
    <n v="841741775.89800024"/>
    <n v="10.72"/>
  </r>
  <r>
    <x v="115"/>
    <x v="115"/>
    <x v="4"/>
    <n v="926404558.01799989"/>
    <n v="5483622632"/>
    <n v="626753"/>
    <n v="4.3939156580000001"/>
    <n v="110.0161239"/>
    <n v="141"/>
    <n v="931994715.08600044"/>
    <n v="-0.6"/>
  </r>
  <r>
    <x v="115"/>
    <x v="115"/>
    <x v="5"/>
    <n v="819691171.03299987"/>
    <n v="4734192593"/>
    <n v="626590"/>
    <n v="-14.9926187"/>
    <n v="87.861202710000001"/>
    <n v="138"/>
    <n v="926404558.01799989"/>
    <n v="-11.52"/>
  </r>
  <r>
    <x v="115"/>
    <x v="115"/>
    <x v="6"/>
    <n v="1031832607.624001"/>
    <n v="5822908964"/>
    <n v="625053"/>
    <n v="13.046260739999999"/>
    <n v="105.71924919999999"/>
    <n v="140"/>
    <n v="819691171.03299987"/>
    <n v="25.88"/>
  </r>
  <r>
    <x v="115"/>
    <x v="115"/>
    <x v="7"/>
    <n v="1472728254.3319995"/>
    <n v="6259721790"/>
    <n v="623591"/>
    <n v="7.7395468950000001"/>
    <n v="125.4559378"/>
    <n v="134"/>
    <n v="1031832607.624001"/>
    <n v="42.73"/>
  </r>
  <r>
    <x v="115"/>
    <x v="115"/>
    <x v="8"/>
    <n v="1445040465.6290002"/>
    <n v="7643318276"/>
    <n v="623529"/>
    <n v="6.4783628350000004"/>
    <n v="116.8066695"/>
    <n v="131"/>
    <n v="1472728254.3319995"/>
    <n v="-1.88"/>
  </r>
  <r>
    <x v="115"/>
    <x v="115"/>
    <x v="9"/>
    <n v="1321384970.1730001"/>
    <n v="8274290506"/>
    <n v="623525"/>
    <n v="3.164098863"/>
    <n v="109.94410449999999"/>
    <n v="117"/>
    <n v="1445040465.6290002"/>
    <n v="-8.56"/>
  </r>
  <r>
    <x v="116"/>
    <x v="116"/>
    <x v="0"/>
    <n v="9338560911"/>
    <n v="11619892591"/>
    <n v="3026864"/>
    <n v="2.3798358070000001"/>
    <n v="89.653663480000006"/>
    <n v="98"/>
    <m/>
    <m/>
  </r>
  <r>
    <x v="116"/>
    <x v="116"/>
    <x v="1"/>
    <n v="9832652922"/>
    <n v="11181350649"/>
    <n v="3088856"/>
    <n v="1.4897844870000001"/>
    <n v="101.05523719999999"/>
    <n v="95"/>
    <n v="9338560911"/>
    <n v="5.29"/>
  </r>
  <r>
    <x v="116"/>
    <x v="116"/>
    <x v="2"/>
    <n v="12401185903.680006"/>
    <n v="11480847741"/>
    <n v="3148917"/>
    <n v="5.636876387"/>
    <n v="115.9329019"/>
    <n v="91"/>
    <n v="9832652922"/>
    <n v="26.12"/>
  </r>
  <r>
    <x v="116"/>
    <x v="116"/>
    <x v="3"/>
    <n v="14023515369.629997"/>
    <n v="13178094720"/>
    <n v="3208189"/>
    <n v="7.74488062"/>
    <n v="126.3558732"/>
    <n v="91"/>
    <n v="12401185903.680006"/>
    <n v="13.08"/>
  </r>
  <r>
    <x v="116"/>
    <x v="116"/>
    <x v="4"/>
    <n v="15239507799.921995"/>
    <n v="14206359018"/>
    <n v="3267673"/>
    <n v="5.6022442210000003"/>
    <n v="124.3965146"/>
    <n v="87"/>
    <n v="14023515369.629997"/>
    <n v="8.67"/>
  </r>
  <r>
    <x v="116"/>
    <x v="116"/>
    <x v="5"/>
    <n v="15152621669.58"/>
    <n v="13312981429"/>
    <n v="3327204"/>
    <n v="-4.5577519759999996"/>
    <n v="112.8386476"/>
    <n v="83"/>
    <n v="15239507799.921995"/>
    <n v="-0.56999999999999995"/>
  </r>
  <r>
    <x v="116"/>
    <x v="116"/>
    <x v="6"/>
    <n v="18482246299.880005"/>
    <n v="15286441738"/>
    <n v="3383741"/>
    <n v="1.6367695769999999"/>
    <n v="119.09807840000001"/>
    <n v="86"/>
    <n v="15152621669.58"/>
    <n v="21.97"/>
  </r>
  <r>
    <x v="116"/>
    <x v="116"/>
    <x v="7"/>
    <n v="25115413412.546009"/>
    <n v="17146471714"/>
    <n v="3433748"/>
    <n v="5.032709637"/>
    <n v="136.32792989999999"/>
    <n v="80"/>
    <n v="18482246299.880005"/>
    <n v="35.89"/>
  </r>
  <r>
    <x v="116"/>
    <x v="116"/>
    <x v="8"/>
    <n v="30368925422.167995"/>
    <n v="20325121394"/>
    <n v="3481145"/>
    <n v="7.4221127620000003"/>
    <n v="142.8642466"/>
    <n v="71"/>
    <n v="25115413412.546009"/>
    <n v="20.92"/>
  </r>
  <r>
    <x v="117"/>
    <x v="117"/>
    <x v="0"/>
    <n v="6461487343.0199995"/>
    <n v="16208985770"/>
    <n v="26547572"/>
    <n v="7.3930936989999996"/>
    <n v="98.761203649999999"/>
    <n v="107"/>
    <m/>
    <m/>
  </r>
  <r>
    <x v="117"/>
    <x v="117"/>
    <x v="1"/>
    <n v="6704218489.7000008"/>
    <n v="12069051237"/>
    <n v="27337105"/>
    <n v="4.696990242"/>
    <n v="110.3943582"/>
    <n v="105"/>
    <n v="6461487343.0199995"/>
    <n v="3.76"/>
  </r>
  <r>
    <x v="117"/>
    <x v="117"/>
    <x v="2"/>
    <n v="9509671841.2250023"/>
    <n v="13264640646"/>
    <n v="28166393"/>
    <n v="2.6382073730000002"/>
    <n v="105.7456407"/>
    <n v="103"/>
    <n v="6704218489.7000008"/>
    <n v="41.85"/>
  </r>
  <r>
    <x v="117"/>
    <x v="117"/>
    <x v="3"/>
    <n v="12073139382.215006"/>
    <n v="15017358953"/>
    <n v="29018644"/>
    <n v="3.4849320239999999"/>
    <n v="124.6074575"/>
    <n v="96"/>
    <n v="9509671841.2250023"/>
    <n v="26.96"/>
  </r>
  <r>
    <x v="117"/>
    <x v="117"/>
    <x v="4"/>
    <n v="9573492499.1349964"/>
    <n v="15512759047"/>
    <n v="29884380"/>
    <n v="2.317813948"/>
    <n v="105.59117139999999"/>
    <n v="101"/>
    <n v="12073139382.215006"/>
    <n v="-20.7"/>
  </r>
  <r>
    <x v="117"/>
    <x v="117"/>
    <x v="5"/>
    <n v="7439861800.9039984"/>
    <n v="14235420174"/>
    <n v="30783688"/>
    <n v="-1.2195225000000001"/>
    <n v="99.906146050000004"/>
    <n v="108"/>
    <n v="9573492499.1349964"/>
    <n v="-22.29"/>
  </r>
  <r>
    <x v="117"/>
    <x v="117"/>
    <x v="6"/>
    <n v="11408966623.387003"/>
    <n v="16168055475"/>
    <n v="31707800"/>
    <n v="2.377435728"/>
    <n v="112.0789645"/>
    <n v="100"/>
    <n v="7439861800.9039984"/>
    <n v="53.35"/>
  </r>
  <r>
    <x v="117"/>
    <x v="117"/>
    <x v="7"/>
    <n v="16597747353.857998"/>
    <n v="18884232599"/>
    <n v="32656246"/>
    <n v="4.369308019"/>
    <n v="135.27453510000001"/>
    <n v="93"/>
    <n v="11408966623.387003"/>
    <n v="45.48"/>
  </r>
  <r>
    <x v="117"/>
    <x v="117"/>
    <x v="8"/>
    <n v="16551946000"/>
    <n v="20927498317"/>
    <n v="33635160"/>
    <n v="5.5038445669999998"/>
    <n v="106.02608360000001"/>
    <n v="90"/>
    <n v="16597747353.857998"/>
    <n v="-0.28000000000000003"/>
  </r>
  <r>
    <x v="117"/>
    <x v="117"/>
    <x v="9"/>
    <n v="16422577005.199993"/>
    <n v="22752244245"/>
    <n v="34631766"/>
    <n v="2.1489249909999999"/>
    <n v="95.63039766"/>
    <n v="85"/>
    <n v="16551946000"/>
    <n v="-0.78"/>
  </r>
  <r>
    <x v="118"/>
    <x v="118"/>
    <x v="0"/>
    <n v="3663454278.3999982"/>
    <n v="6182303677"/>
    <n v="3965959"/>
    <n v="5.3763392369999998"/>
    <n v="77.34678649"/>
    <n v="119"/>
    <m/>
    <m/>
  </r>
  <r>
    <x v="118"/>
    <x v="118"/>
    <x v="1"/>
    <n v="3245523196"/>
    <n v="6407900701"/>
    <n v="4086657"/>
    <n v="1.2609092239999999"/>
    <n v="73.153261670000006"/>
    <n v="125"/>
    <n v="3663454278.3999982"/>
    <n v="-11.41"/>
  </r>
  <r>
    <x v="118"/>
    <x v="118"/>
    <x v="2"/>
    <n v="3978861542.2999988"/>
    <n v="6812472965"/>
    <n v="4210600"/>
    <n v="6.2705456939999999"/>
    <n v="78.814980180000006"/>
    <n v="124"/>
    <n v="3245523196"/>
    <n v="22.6"/>
  </r>
  <r>
    <x v="118"/>
    <x v="118"/>
    <x v="3"/>
    <n v="4103709085.9399996"/>
    <n v="7475471310"/>
    <n v="4337685"/>
    <n v="4.772173639"/>
    <n v="89.146729489999998"/>
    <n v="120"/>
    <n v="3978861542.2999988"/>
    <n v="3.14"/>
  </r>
  <r>
    <x v="118"/>
    <x v="118"/>
    <x v="4"/>
    <n v="4532939434.3600006"/>
    <n v="7894764886"/>
    <n v="4467708"/>
    <n v="3.1410048929999999"/>
    <n v="93.486694139999997"/>
    <n v="119"/>
    <n v="4103709085.9399996"/>
    <n v="10.46"/>
  </r>
  <r>
    <x v="118"/>
    <x v="118"/>
    <x v="5"/>
    <n v="5657609614.2270012"/>
    <n v="8260567357"/>
    <n v="4600131"/>
    <n v="-0.360657387"/>
    <n v="86.776168130000002"/>
    <n v="113"/>
    <n v="4532939434.3600006"/>
    <n v="24.81"/>
  </r>
  <r>
    <x v="118"/>
    <x v="118"/>
    <x v="6"/>
    <n v="6533977615.5399981"/>
    <n v="9221044667"/>
    <n v="4734874"/>
    <n v="0.74271549800000003"/>
    <n v="88.306873760000002"/>
    <n v="114"/>
    <n v="5657609614.2270012"/>
    <n v="15.49"/>
  </r>
  <r>
    <x v="118"/>
    <x v="118"/>
    <x v="7"/>
    <n v="7556037117.7680025"/>
    <n v="9562497461"/>
    <n v="4875637"/>
    <n v="6.796004999"/>
    <n v="102.0258991"/>
    <n v="112"/>
    <n v="6533977615.5399981"/>
    <n v="15.64"/>
  </r>
  <r>
    <x v="118"/>
    <x v="118"/>
    <x v="8"/>
    <n v="8130379108.8180017"/>
    <n v="10687541640"/>
    <n v="5022441"/>
    <n v="6.8094900249999997"/>
    <n v="92.16544451"/>
    <n v="111"/>
    <n v="7556037117.7680025"/>
    <n v="7.6"/>
  </r>
  <r>
    <x v="118"/>
    <x v="118"/>
    <x v="9"/>
    <n v="8299106474.0309973"/>
    <n v="10879212033"/>
    <n v="5169395"/>
    <n v="6.3076021190000002"/>
    <n v="93.598835589999993"/>
    <n v="99"/>
    <n v="8130379108.8180017"/>
    <n v="2.08"/>
  </r>
  <r>
    <x v="119"/>
    <x v="119"/>
    <x v="0"/>
    <n v="6671681.7119999984"/>
    <m/>
    <m/>
    <m/>
    <m/>
    <n v="169"/>
    <m/>
    <m/>
  </r>
  <r>
    <x v="119"/>
    <x v="119"/>
    <x v="1"/>
    <n v="8027528.3660000013"/>
    <m/>
    <m/>
    <m/>
    <m/>
    <n v="172"/>
    <n v="6671681.7119999984"/>
    <n v="20.32"/>
  </r>
  <r>
    <x v="119"/>
    <x v="119"/>
    <x v="2"/>
    <n v="11970199.257999998"/>
    <m/>
    <m/>
    <m/>
    <m/>
    <n v="175"/>
    <n v="8027528.3660000013"/>
    <n v="49.11"/>
  </r>
  <r>
    <x v="119"/>
    <x v="119"/>
    <x v="3"/>
    <n v="11513020.550000001"/>
    <m/>
    <m/>
    <m/>
    <m/>
    <n v="172"/>
    <n v="11970199.257999998"/>
    <n v="-3.82"/>
  </r>
  <r>
    <x v="119"/>
    <x v="119"/>
    <x v="4"/>
    <n v="11176745.340000004"/>
    <m/>
    <m/>
    <m/>
    <m/>
    <n v="166"/>
    <n v="11513020.550000001"/>
    <n v="-2.92"/>
  </r>
  <r>
    <x v="119"/>
    <x v="119"/>
    <x v="5"/>
    <n v="11427563.262"/>
    <m/>
    <m/>
    <m/>
    <m/>
    <n v="163"/>
    <n v="11176745.340000004"/>
    <n v="2.2400000000000002"/>
  </r>
  <r>
    <x v="119"/>
    <x v="119"/>
    <x v="6"/>
    <n v="16865059.241999999"/>
    <m/>
    <m/>
    <m/>
    <m/>
    <n v="163"/>
    <n v="11427563.262"/>
    <n v="47.58"/>
  </r>
  <r>
    <x v="119"/>
    <x v="119"/>
    <x v="7"/>
    <n v="13290718.733999999"/>
    <m/>
    <m/>
    <m/>
    <m/>
    <n v="160"/>
    <n v="16865059.241999999"/>
    <n v="-21.19"/>
  </r>
  <r>
    <x v="119"/>
    <x v="119"/>
    <x v="8"/>
    <n v="11531368.736"/>
    <m/>
    <m/>
    <m/>
    <m/>
    <n v="158"/>
    <n v="13290718.733999999"/>
    <n v="-13.24"/>
  </r>
  <r>
    <x v="119"/>
    <x v="119"/>
    <x v="9"/>
    <n v="12320726.772"/>
    <m/>
    <m/>
    <m/>
    <m/>
    <n v="131"/>
    <n v="11531368.736"/>
    <n v="6.85"/>
  </r>
  <r>
    <x v="120"/>
    <x v="120"/>
    <x v="0"/>
    <n v="4962185438"/>
    <n v="12162211503"/>
    <n v="1262879"/>
    <n v="3.7176636209999998"/>
    <n v="133.13506910000001"/>
    <n v="111"/>
    <m/>
    <m/>
  </r>
  <r>
    <x v="120"/>
    <x v="120"/>
    <x v="1"/>
    <n v="4394552804.0389996"/>
    <n v="12757680847"/>
    <n v="1263747"/>
    <n v="3.8857612110000002"/>
    <n v="126.31000899999999"/>
    <n v="116"/>
    <n v="4962185438"/>
    <n v="-11.44"/>
  </r>
  <r>
    <x v="120"/>
    <x v="120"/>
    <x v="2"/>
    <n v="4205243628.8300004"/>
    <n v="13896938315"/>
    <n v="1264887"/>
    <n v="3.9544173100000002"/>
    <n v="126.9640599"/>
    <n v="122"/>
    <n v="4394552804.0389996"/>
    <n v="-4.3099999999999996"/>
  </r>
  <r>
    <x v="120"/>
    <x v="120"/>
    <x v="3"/>
    <n v="3975345725.7060008"/>
    <n v="14957535716"/>
    <n v="1265577"/>
    <n v="4.1166936950000004"/>
    <n v="123.5389844"/>
    <n v="121"/>
    <n v="4205243628.8300004"/>
    <n v="-5.47"/>
  </r>
  <r>
    <x v="120"/>
    <x v="120"/>
    <x v="4"/>
    <n v="3752736854.1109986"/>
    <n v="14645235205"/>
    <n v="1265985"/>
    <n v="2.8639493869999999"/>
    <n v="127.9408991"/>
    <n v="124"/>
    <n v="3975345725.7060008"/>
    <n v="-5.6"/>
  </r>
  <r>
    <x v="120"/>
    <x v="120"/>
    <x v="5"/>
    <n v="3087220074.9119997"/>
    <n v="11566111138"/>
    <n v="1266014"/>
    <n v="-14.19743581"/>
    <n v="121.1252255"/>
    <n v="123"/>
    <n v="3752736854.1109986"/>
    <n v="-17.73"/>
  </r>
  <r>
    <x v="120"/>
    <x v="120"/>
    <x v="6"/>
    <n v="3343520576.5309982"/>
    <n v="11622048697"/>
    <n v="1266334"/>
    <n v="3.3380908410000001"/>
    <n v="135.19300459999999"/>
    <n v="125"/>
    <n v="3087220074.9119997"/>
    <n v="8.3000000000000007"/>
  </r>
  <r>
    <x v="120"/>
    <x v="120"/>
    <x v="7"/>
    <n v="3761192907.9399996"/>
    <n v="12936444123"/>
    <n v="1262523"/>
    <n v="8.3424438030000001"/>
    <n v="147.66379499999999"/>
    <n v="124"/>
    <n v="3343520576.5309982"/>
    <n v="12.49"/>
  </r>
  <r>
    <x v="120"/>
    <x v="120"/>
    <x v="8"/>
    <n v="3708478363.6800003"/>
    <n v="14072212290"/>
    <n v="1248647"/>
    <n v="4.6991818969999999"/>
    <n v="147.3213921"/>
    <n v="122"/>
    <n v="3761192907.9399996"/>
    <n v="-1.4"/>
  </r>
  <r>
    <x v="120"/>
    <x v="120"/>
    <x v="9"/>
    <n v="3439658328.8889976"/>
    <n v="14938055690"/>
    <n v="1245779"/>
    <n v="4.9484423529999999"/>
    <n v="145.4198126"/>
    <n v="106"/>
    <n v="3708478363.6800003"/>
    <n v="-7.25"/>
  </r>
  <r>
    <x v="121"/>
    <x v="121"/>
    <x v="0"/>
    <n v="2143455810.5660002"/>
    <n v="9219474379"/>
    <n v="17085587"/>
    <n v="2.8"/>
    <m/>
    <n v="129"/>
    <m/>
    <m/>
  </r>
  <r>
    <x v="121"/>
    <x v="121"/>
    <x v="1"/>
    <n v="2044731762.7560012"/>
    <n v="7909868618"/>
    <n v="17557739"/>
    <n v="2.4999999989999999"/>
    <m/>
    <n v="131"/>
    <n v="2143455810.5660002"/>
    <n v="-4.6100000000000003"/>
  </r>
  <r>
    <x v="121"/>
    <x v="121"/>
    <x v="2"/>
    <n v="1677636821.4220004"/>
    <n v="8943543794"/>
    <n v="18039715"/>
    <n v="4.0000000010000001"/>
    <n v="45.300313719999998"/>
    <n v="137"/>
    <n v="2044731762.7560012"/>
    <n v="-17.95"/>
  </r>
  <r>
    <x v="121"/>
    <x v="121"/>
    <x v="3"/>
    <n v="1675075385.7170012"/>
    <n v="9879220354"/>
    <n v="18528081"/>
    <n v="4.3535647160000002"/>
    <n v="43.578773490000003"/>
    <n v="138"/>
    <n v="1677636821.4220004"/>
    <n v="-0.15"/>
  </r>
  <r>
    <x v="121"/>
    <x v="121"/>
    <x v="4"/>
    <n v="1798241967.618"/>
    <n v="11051852713"/>
    <n v="19025752"/>
    <n v="5.7168251919999999"/>
    <n v="44.195452459999998"/>
    <n v="133"/>
    <n v="1675075385.7170012"/>
    <n v="7.35"/>
  </r>
  <r>
    <x v="121"/>
    <x v="121"/>
    <x v="5"/>
    <n v="1542957644.8920004"/>
    <n v="11769313598"/>
    <n v="19533888"/>
    <n v="0.79359643000000002"/>
    <n v="41.032342939999999"/>
    <n v="134"/>
    <n v="1798241967.618"/>
    <n v="-14.2"/>
  </r>
  <r>
    <x v="121"/>
    <x v="121"/>
    <x v="6"/>
    <n v="2018921557.0649996"/>
    <n v="12378119199"/>
    <n v="20047258"/>
    <n v="4.5582921199999999"/>
    <n v="44.59576182"/>
    <n v="134"/>
    <n v="1542957644.8920004"/>
    <n v="30.85"/>
  </r>
  <r>
    <x v="121"/>
    <x v="121"/>
    <x v="7"/>
    <n v="1799469779.9750006"/>
    <n v="12429059928"/>
    <n v="20568728"/>
    <n v="0.92111506899999995"/>
    <n v="43.616624860000002"/>
    <n v="131"/>
    <n v="2018921557.0649996"/>
    <n v="-10.87"/>
  </r>
  <r>
    <x v="121"/>
    <x v="121"/>
    <x v="8"/>
    <n v="1931018704.382"/>
    <n v="13363669673"/>
    <n v="21104482"/>
    <n v="1.945752817"/>
    <n v="42.4376684"/>
    <n v="129"/>
    <n v="1799469779.9750006"/>
    <n v="7.31"/>
  </r>
  <r>
    <x v="121"/>
    <x v="121"/>
    <x v="9"/>
    <n v="1916993854.8449988"/>
    <n v="11311971400"/>
    <n v="21655286"/>
    <n v="1.673434085"/>
    <n v="41.903819650000003"/>
    <n v="115"/>
    <n v="1931018704.382"/>
    <n v="-0.73"/>
  </r>
  <r>
    <x v="122"/>
    <x v="122"/>
    <x v="0"/>
    <n v="400421743896"/>
    <n v="301000000000"/>
    <n v="31232798"/>
    <n v="5.0915324220000002"/>
    <n v="131.3700724"/>
    <n v="20"/>
    <m/>
    <m/>
  </r>
  <r>
    <x v="122"/>
    <x v="122"/>
    <x v="1"/>
    <n v="378828146311"/>
    <n v="301000000000"/>
    <n v="31789685"/>
    <n v="4.4497813979999998"/>
    <n v="126.89901"/>
    <n v="21"/>
    <n v="400421743896"/>
    <n v="-5.39"/>
  </r>
  <r>
    <x v="122"/>
    <x v="122"/>
    <x v="2"/>
    <n v="435445014964.2254"/>
    <n v="319000000000"/>
    <n v="32355644"/>
    <n v="5.8127224100000001"/>
    <n v="133.1551734"/>
    <n v="22"/>
    <n v="378828146311"/>
    <n v="14.95"/>
  </r>
  <r>
    <x v="122"/>
    <x v="122"/>
    <x v="3"/>
    <n v="497423380022.33795"/>
    <n v="359000000000"/>
    <n v="32910967"/>
    <n v="4.8430869760000004"/>
    <n v="130.4026255"/>
    <n v="22"/>
    <n v="435445014964.2254"/>
    <n v="14.23"/>
  </r>
  <r>
    <x v="122"/>
    <x v="122"/>
    <x v="4"/>
    <n v="480423811304.65796"/>
    <n v="365000000000"/>
    <n v="33440596"/>
    <n v="4.4131874209999999"/>
    <n v="123.02856199999999"/>
    <n v="23"/>
    <n v="497423380022.33795"/>
    <n v="-3.42"/>
  </r>
  <r>
    <x v="122"/>
    <x v="122"/>
    <x v="5"/>
    <n v="468100534906.73114"/>
    <n v="337000000000"/>
    <n v="33889558"/>
    <n v="-5.456846584"/>
    <n v="116.7881824"/>
    <n v="21"/>
    <n v="480423811304.65796"/>
    <n v="-2.57"/>
  </r>
  <r>
    <x v="122"/>
    <x v="122"/>
    <x v="6"/>
    <n v="598460868788.46631"/>
    <n v="374000000000"/>
    <n v="34282399"/>
    <n v="3.315349544"/>
    <n v="134.0359947"/>
    <n v="21"/>
    <n v="468100534906.73114"/>
    <n v="27.85"/>
  </r>
  <r>
    <x v="122"/>
    <x v="122"/>
    <x v="7"/>
    <n v="704376332681.10425"/>
    <n v="408000000000"/>
    <n v="34695493"/>
    <n v="9.0317372299999992"/>
    <n v="146.4246048"/>
    <n v="21"/>
    <n v="598460868788.46631"/>
    <n v="17.7"/>
  </r>
  <r>
    <x v="122"/>
    <x v="122"/>
    <x v="8"/>
    <n v="625210771163.29419"/>
    <n v="400000000000"/>
    <n v="35126298"/>
    <n v="3.5370638040000002"/>
    <n v="132.59346160000001"/>
    <n v="22"/>
    <n v="704376332681.10425"/>
    <n v="-11.24"/>
  </r>
  <r>
    <x v="122"/>
    <x v="122"/>
    <x v="9"/>
    <n v="658908054184.78552"/>
    <n v="422000000000"/>
    <n v="35557673"/>
    <n v="5.1054592100000002"/>
    <n v="137.36257119999999"/>
    <n v="19"/>
    <n v="625210771163.29419"/>
    <n v="5.39"/>
  </r>
  <r>
    <x v="123"/>
    <x v="123"/>
    <x v="0"/>
    <n v="9256583499"/>
    <n v="11335161084"/>
    <n v="2374300"/>
    <n v="4.2641745379999998"/>
    <n v="97.239031789999999"/>
    <n v="100"/>
    <m/>
    <m/>
  </r>
  <r>
    <x v="123"/>
    <x v="123"/>
    <x v="1"/>
    <n v="9631692820"/>
    <n v="10722018732"/>
    <n v="2439213"/>
    <n v="3.3794449999999997E-2"/>
    <n v="93.966187959999999"/>
    <n v="98"/>
    <n v="9256583499"/>
    <n v="4.05"/>
  </r>
  <r>
    <x v="123"/>
    <x v="123"/>
    <x v="2"/>
    <n v="10458721850.886"/>
    <n v="12895153371"/>
    <n v="2506853"/>
    <n v="-1.027248089"/>
    <n v="81.219666099999998"/>
    <n v="98"/>
    <n v="9631692820"/>
    <n v="8.59"/>
  </r>
  <r>
    <x v="123"/>
    <x v="123"/>
    <x v="3"/>
    <n v="14976592000.514994"/>
    <n v="13682019076"/>
    <n v="2577327"/>
    <n v="1.059939499"/>
    <n v="81.713865299999995"/>
    <n v="89"/>
    <n v="10458721850.886"/>
    <n v="43.2"/>
  </r>
  <r>
    <x v="123"/>
    <x v="123"/>
    <x v="4"/>
    <n v="9485013603.9179993"/>
    <n v="12541928303"/>
    <n v="2650494"/>
    <n v="-0.83915216299999995"/>
    <n v="82.901150740000006"/>
    <n v="102"/>
    <n v="14976592000.514994"/>
    <n v="-36.67"/>
  </r>
  <r>
    <x v="123"/>
    <x v="123"/>
    <x v="5"/>
    <n v="7735637037.3180027"/>
    <n v="10583748542"/>
    <n v="2728762"/>
    <n v="-8.1014020139999996"/>
    <n v="76.925242400000002"/>
    <n v="106"/>
    <n v="9485013603.9179993"/>
    <n v="-18.440000000000001"/>
  </r>
  <r>
    <x v="123"/>
    <x v="123"/>
    <x v="6"/>
    <n v="8834125459.6830006"/>
    <n v="12402486184"/>
    <n v="2810548"/>
    <n v="3.6038291920000001"/>
    <n v="83.54430309"/>
    <n v="104"/>
    <n v="7735637037.3180027"/>
    <n v="14.2"/>
  </r>
  <r>
    <x v="123"/>
    <x v="123"/>
    <x v="7"/>
    <n v="11656436484.000999"/>
    <n v="12569449123"/>
    <n v="2889662"/>
    <n v="5.3987247800000002"/>
    <n v="99.262554780000002"/>
    <n v="100"/>
    <n v="8834125459.6830006"/>
    <n v="31.95"/>
  </r>
  <r>
    <x v="123"/>
    <x v="123"/>
    <x v="8"/>
    <n v="11052051015.15"/>
    <n v="12522012874"/>
    <n v="2963095"/>
    <n v="4.3249804889999997"/>
    <n v="109.8175997"/>
    <n v="102"/>
    <n v="11656436484.000999"/>
    <n v="-5.18"/>
  </r>
  <r>
    <x v="123"/>
    <x v="123"/>
    <x v="9"/>
    <n v="13087570286.567997"/>
    <n v="13641190683"/>
    <n v="3030131"/>
    <n v="3.7785172330000001"/>
    <n v="108.0011915"/>
    <n v="93"/>
    <n v="11052051015.15"/>
    <n v="18.420000000000002"/>
  </r>
  <r>
    <x v="124"/>
    <x v="124"/>
    <x v="0"/>
    <n v="2477891233"/>
    <n v="8738203074"/>
    <n v="283168"/>
    <m/>
    <n v="60.046796100000002"/>
    <n v="127"/>
    <m/>
    <m/>
  </r>
  <r>
    <x v="125"/>
    <x v="125"/>
    <x v="0"/>
    <n v="1579540622"/>
    <n v="9683867926"/>
    <n v="19939498"/>
    <n v="4.3926488319999999"/>
    <n v="44.72743037"/>
    <n v="134"/>
    <m/>
    <m/>
  </r>
  <r>
    <x v="125"/>
    <x v="125"/>
    <x v="1"/>
    <n v="1328857523.1979995"/>
    <n v="10341025540"/>
    <n v="20685753"/>
    <n v="4.2813755850000002"/>
    <n v="36.67483781"/>
    <n v="137"/>
    <n v="1579540622"/>
    <n v="-15.87"/>
  </r>
  <r>
    <x v="125"/>
    <x v="125"/>
    <x v="2"/>
    <n v="1741746394.6209998"/>
    <n v="11359273443"/>
    <n v="21435446"/>
    <n v="5.5319853129999998"/>
    <n v="39.029895639999999"/>
    <n v="135"/>
    <n v="1328857523.1979995"/>
    <n v="31.07"/>
  </r>
  <r>
    <x v="125"/>
    <x v="125"/>
    <x v="3"/>
    <n v="1777598875.27"/>
    <n v="12800907986"/>
    <n v="22188069"/>
    <n v="6.8945842089999996"/>
    <n v="38.292969599999999"/>
    <n v="134"/>
    <n v="1741746394.6209998"/>
    <n v="2.06"/>
  </r>
  <r>
    <x v="125"/>
    <x v="125"/>
    <x v="4"/>
    <n v="1391846284.3870003"/>
    <n v="12420836507"/>
    <n v="22947757"/>
    <n v="6.0788152899999996"/>
    <n v="39.289303670000002"/>
    <n v="139"/>
    <n v="1777598875.27"/>
    <n v="-21.7"/>
  </r>
  <r>
    <x v="125"/>
    <x v="125"/>
    <x v="5"/>
    <n v="1412780952.6540008"/>
    <n v="13648332190"/>
    <n v="23717613"/>
    <n v="4.454818038"/>
    <n v="36.338819690000001"/>
    <n v="136"/>
    <n v="1391846284.3870003"/>
    <n v="1.5"/>
  </r>
  <r>
    <x v="125"/>
    <x v="125"/>
    <x v="6"/>
    <n v="1474232844.5299997"/>
    <n v="14936154253"/>
    <n v="24502140"/>
    <n v="1.115200639"/>
    <n v="38.046094879999998"/>
    <n v="137"/>
    <n v="1412780952.6540008"/>
    <n v="4.3499999999999996"/>
  </r>
  <r>
    <x v="125"/>
    <x v="125"/>
    <x v="7"/>
    <n v="846698123.36200011"/>
    <n v="15531799641"/>
    <n v="25311973"/>
    <n v="12.221549749999999"/>
    <n v="37.146045409999999"/>
    <n v="140"/>
    <n v="1474232844.5299997"/>
    <n v="-42.57"/>
  </r>
  <r>
    <x v="125"/>
    <x v="125"/>
    <x v="8"/>
    <n v="934852444.84399998"/>
    <n v="16949765464"/>
    <n v="26159867"/>
    <n v="2.6351698039999998"/>
    <n v="30.717653510000002"/>
    <n v="136"/>
    <n v="846698123.36200011"/>
    <n v="10.41"/>
  </r>
  <r>
    <x v="125"/>
    <x v="125"/>
    <x v="9"/>
    <n v="2015573314.8740001"/>
    <n v="19729786047"/>
    <n v="27032412"/>
    <n v="8.3232705829999993"/>
    <n v="24.38894621"/>
    <n v="113"/>
    <n v="934852444.84399998"/>
    <n v="115.6"/>
  </r>
  <r>
    <x v="126"/>
    <x v="126"/>
    <x v="0"/>
    <n v="96866702739.303024"/>
    <n v="493000000000"/>
    <n v="190671878"/>
    <n v="2.6526932950000002"/>
    <m/>
    <n v="46"/>
    <m/>
    <m/>
  </r>
  <r>
    <x v="126"/>
    <x v="126"/>
    <x v="1"/>
    <n v="65766090936"/>
    <n v="405000000000"/>
    <n v="195443700"/>
    <n v="-1.6168689490000001"/>
    <m/>
    <n v="51"/>
    <n v="96866702739.303024"/>
    <n v="-32.11"/>
  </r>
  <r>
    <x v="126"/>
    <x v="126"/>
    <x v="2"/>
    <n v="88932733514.230988"/>
    <n v="376000000000"/>
    <n v="200254579"/>
    <n v="0.80588661900000003"/>
    <m/>
    <n v="46"/>
    <n v="65766090936"/>
    <n v="35.229999999999997"/>
  </r>
  <r>
    <x v="126"/>
    <x v="126"/>
    <x v="3"/>
    <n v="124799392680.83505"/>
    <n v="422000000000"/>
    <n v="204938755"/>
    <n v="1.9227573419999999"/>
    <m/>
    <n v="43"/>
    <n v="88932733514.230988"/>
    <n v="40.33"/>
  </r>
  <r>
    <x v="126"/>
    <x v="126"/>
    <x v="4"/>
    <n v="107235624380.59999"/>
    <n v="668000000000"/>
    <n v="209485641"/>
    <n v="2.2084292780000001"/>
    <m/>
    <n v="45"/>
    <n v="124799392680.83505"/>
    <n v="-14.07"/>
  </r>
  <r>
    <x v="126"/>
    <x v="126"/>
    <x v="5"/>
    <n v="69800942182.63295"/>
    <n v="599000000000"/>
    <n v="213996181"/>
    <n v="-6.3688984050000004"/>
    <m/>
    <n v="50"/>
    <n v="107235624380.59999"/>
    <n v="-34.909999999999997"/>
  </r>
  <r>
    <x v="126"/>
    <x v="126"/>
    <x v="6"/>
    <n v="94463425860.727982"/>
    <n v="609000000000"/>
    <n v="218529286"/>
    <n v="1.10925254"/>
    <m/>
    <n v="49"/>
    <n v="69800942182.63295"/>
    <n v="35.33"/>
  </r>
  <r>
    <x v="126"/>
    <x v="126"/>
    <x v="7"/>
    <n v="126833422763.20609"/>
    <n v="647000000000"/>
    <n v="223150896"/>
    <n v="4.3188294919999999"/>
    <m/>
    <n v="46"/>
    <n v="94463425860.727982"/>
    <n v="34.270000000000003"/>
  </r>
  <r>
    <x v="126"/>
    <x v="126"/>
    <x v="8"/>
    <n v="130258015095.73695"/>
    <n v="487000000000"/>
    <n v="227882945"/>
    <n v="3.315903681"/>
    <m/>
    <n v="43"/>
    <n v="126833422763.20609"/>
    <n v="2.7"/>
  </r>
  <r>
    <x v="126"/>
    <x v="126"/>
    <x v="9"/>
    <n v="104723401574.56094"/>
    <n v="252000000000"/>
    <n v="232679478"/>
    <n v="4.0710665009999998"/>
    <m/>
    <n v="47"/>
    <n v="130258015095.73695"/>
    <n v="-19.600000000000001"/>
  </r>
  <r>
    <x v="127"/>
    <x v="127"/>
    <x v="0"/>
    <n v="9334731220"/>
    <n v="12756696261"/>
    <n v="6149417"/>
    <n v="4.7922676830000004"/>
    <n v="98.19416459"/>
    <n v="99"/>
    <m/>
    <m/>
  </r>
  <r>
    <x v="127"/>
    <x v="127"/>
    <x v="1"/>
    <n v="9183923957.8599949"/>
    <n v="13286093388"/>
    <n v="6232666"/>
    <n v="4.5631473949999997"/>
    <n v="93.813727810000003"/>
    <n v="100"/>
    <n v="9334731220"/>
    <n v="-1.62"/>
  </r>
  <r>
    <x v="127"/>
    <x v="127"/>
    <x v="2"/>
    <n v="9851162355.3199997"/>
    <n v="13785893007"/>
    <n v="6316231"/>
    <n v="4.6312075760000004"/>
    <n v="96.380586440000002"/>
    <n v="100"/>
    <n v="9183923957.8599949"/>
    <n v="7.27"/>
  </r>
  <r>
    <x v="127"/>
    <x v="127"/>
    <x v="3"/>
    <n v="10027815139.259998"/>
    <n v="13025221974"/>
    <n v="6400080"/>
    <n v="-3.36335666"/>
    <n v="93.984740489999993"/>
    <n v="101"/>
    <n v="9851162355.3199997"/>
    <n v="1.79"/>
  </r>
  <r>
    <x v="127"/>
    <x v="127"/>
    <x v="4"/>
    <n v="10545106242.66"/>
    <n v="12699023614"/>
    <n v="6483657"/>
    <n v="-2.8968698669999999"/>
    <n v="94.042215920000004"/>
    <n v="98"/>
    <n v="10027815139.259998"/>
    <n v="5.16"/>
  </r>
  <r>
    <x v="127"/>
    <x v="127"/>
    <x v="5"/>
    <n v="10174675439.74"/>
    <n v="12726422432"/>
    <n v="6565267"/>
    <n v="-2.236541763"/>
    <n v="88.638123120000003"/>
    <n v="94"/>
    <n v="10545106242.66"/>
    <n v="-3.51"/>
  </r>
  <r>
    <x v="127"/>
    <x v="127"/>
    <x v="6"/>
    <n v="12989969733.84"/>
    <n v="14209019392"/>
    <n v="6644741"/>
    <n v="10.45438878"/>
    <n v="106.20739810000001"/>
    <n v="95"/>
    <n v="10174675439.74"/>
    <n v="27.67"/>
  </r>
  <r>
    <x v="127"/>
    <x v="127"/>
    <x v="7"/>
    <n v="14719657601.9"/>
    <n v="15634573556"/>
    <n v="6730654"/>
    <n v="3.5502747710000002"/>
    <n v="115.4546709"/>
    <n v="96"/>
    <n v="12989969733.84"/>
    <n v="13.32"/>
  </r>
  <r>
    <x v="127"/>
    <x v="127"/>
    <x v="8"/>
    <n v="14756972854.079992"/>
    <n v="17805842221"/>
    <n v="6823613"/>
    <n v="4.4277939320000002"/>
    <n v="105.0195356"/>
    <n v="92"/>
    <n v="14719657601.9"/>
    <n v="0.25"/>
  </r>
  <r>
    <x v="127"/>
    <x v="127"/>
    <x v="9"/>
    <n v="15043703233.000002"/>
    <n v="19696311850"/>
    <n v="6916140"/>
    <n v="3.5809449529999999"/>
    <n v="99.146065089999993"/>
    <n v="88"/>
    <n v="14756972854.079992"/>
    <n v="1.94"/>
  </r>
  <r>
    <x v="128"/>
    <x v="128"/>
    <x v="0"/>
    <n v="929394432946.56665"/>
    <n v="776000000000"/>
    <n v="16939923"/>
    <n v="2.120640072"/>
    <n v="160.32581260000001"/>
    <n v="8"/>
    <m/>
    <m/>
  </r>
  <r>
    <x v="128"/>
    <x v="128"/>
    <x v="1"/>
    <n v="936352656282.18054"/>
    <n v="797000000000"/>
    <n v="17030314"/>
    <n v="2.4242806539999999"/>
    <n v="150.96552919999999"/>
    <n v="7"/>
    <n v="929394432946.56665"/>
    <n v="0.75"/>
  </r>
  <r>
    <x v="128"/>
    <x v="128"/>
    <x v="2"/>
    <n v="1055815644698.5747"/>
    <n v="848000000000"/>
    <n v="17131296"/>
    <n v="2.7815083469999999"/>
    <n v="159.6460597"/>
    <n v="6"/>
    <n v="936352656282.18054"/>
    <n v="12.76"/>
  </r>
  <r>
    <x v="128"/>
    <x v="128"/>
    <x v="3"/>
    <n v="1175786168857.366"/>
    <n v="930000000000"/>
    <n v="17231624"/>
    <n v="2.2587315819999998"/>
    <n v="163.55914659999999"/>
    <n v="5"/>
    <n v="1055815644698.5747"/>
    <n v="11.36"/>
  </r>
  <r>
    <x v="128"/>
    <x v="128"/>
    <x v="4"/>
    <n v="1153568910822.5483"/>
    <n v="929000000000"/>
    <n v="17344874"/>
    <n v="2.300161605"/>
    <n v="160.6766719"/>
    <n v="4"/>
    <n v="1175786168857.366"/>
    <n v="-1.89"/>
  </r>
  <r>
    <x v="128"/>
    <x v="128"/>
    <x v="5"/>
    <n v="1102705584563.7949"/>
    <n v="933000000000"/>
    <n v="17441500"/>
    <n v="-3.8679971420000001"/>
    <n v="152.2332304"/>
    <n v="5"/>
    <n v="1153568910822.5483"/>
    <n v="-4.41"/>
  </r>
  <r>
    <x v="128"/>
    <x v="128"/>
    <x v="6"/>
    <n v="1393746514369.9468"/>
    <n v="1050000000000"/>
    <n v="17533044"/>
    <n v="6.2768359370000004"/>
    <n v="163.15484269999999"/>
    <n v="4"/>
    <n v="1102705584563.7949"/>
    <n v="26.39"/>
  </r>
  <r>
    <x v="128"/>
    <x v="128"/>
    <x v="7"/>
    <n v="1536518539361.6272"/>
    <n v="1050000000000"/>
    <n v="17700982"/>
    <n v="5.0072345340000002"/>
    <n v="184.10748430000001"/>
    <n v="3"/>
    <n v="1393746514369.9468"/>
    <n v="10.24"/>
  </r>
  <r>
    <x v="128"/>
    <x v="128"/>
    <x v="8"/>
    <n v="1434880199116.707"/>
    <n v="1140000000000"/>
    <n v="17877117"/>
    <n v="-0.598061018"/>
    <n v="165.0304295"/>
    <n v="4"/>
    <n v="1536518539361.6272"/>
    <n v="-6.61"/>
  </r>
  <r>
    <x v="128"/>
    <x v="128"/>
    <x v="9"/>
    <n v="1398511380067.49"/>
    <n v="1210000000000"/>
    <n v="17993485"/>
    <n v="1.073831373"/>
    <n v="153.95629059999999"/>
    <n v="4"/>
    <n v="1434880199116.707"/>
    <n v="-2.5299999999999998"/>
  </r>
  <r>
    <x v="129"/>
    <x v="129"/>
    <x v="0"/>
    <n v="1320363977"/>
    <n v="24360801287"/>
    <n v="27823629"/>
    <n v="3.9760532720000001"/>
    <n v="46.66573039"/>
    <n v="135"/>
    <m/>
    <m/>
  </r>
  <r>
    <x v="129"/>
    <x v="129"/>
    <x v="1"/>
    <n v="1457692880.2100003"/>
    <n v="24524109484"/>
    <n v="27955462"/>
    <n v="0.43311371900000001"/>
    <n v="42.11548612"/>
    <n v="136"/>
    <n v="1320363977"/>
    <n v="10.4"/>
  </r>
  <r>
    <x v="129"/>
    <x v="129"/>
    <x v="2"/>
    <n v="1481485828.8320003"/>
    <n v="28971588940"/>
    <n v="28011258"/>
    <n v="8.9772793560000004"/>
    <n v="44.64241062"/>
    <n v="140"/>
    <n v="1457692880.2100003"/>
    <n v="1.63"/>
  </r>
  <r>
    <x v="129"/>
    <x v="129"/>
    <x v="3"/>
    <n v="1562285513.1200001"/>
    <n v="33111525237"/>
    <n v="28079689"/>
    <n v="7.6223761039999998"/>
    <n v="48.447386950000002"/>
    <n v="139"/>
    <n v="1481485828.8320003"/>
    <n v="5.45"/>
  </r>
  <r>
    <x v="129"/>
    <x v="129"/>
    <x v="4"/>
    <n v="1919257041.6199992"/>
    <n v="34186180699"/>
    <n v="28414064"/>
    <n v="6.6570554309999999"/>
    <n v="49.249526590000002"/>
    <n v="132"/>
    <n v="1562285513.1200001"/>
    <n v="22.85"/>
  </r>
  <r>
    <x v="129"/>
    <x v="129"/>
    <x v="5"/>
    <n v="1710841209.8960001"/>
    <n v="33433659301"/>
    <n v="28966574"/>
    <n v="-2.3696206289999999"/>
    <n v="40.918874119999998"/>
    <n v="130"/>
    <n v="1919257041.6199992"/>
    <n v="-10.86"/>
  </r>
  <r>
    <x v="129"/>
    <x v="129"/>
    <x v="6"/>
    <n v="3331455589.1000009"/>
    <n v="36924841394"/>
    <n v="29475010"/>
    <n v="4.8381496139999998"/>
    <n v="43.053804790000001"/>
    <n v="126"/>
    <n v="1710841209.8960001"/>
    <n v="94.73"/>
  </r>
  <r>
    <x v="129"/>
    <x v="129"/>
    <x v="7"/>
    <n v="2600939512.9919996"/>
    <n v="41182939520"/>
    <n v="29715436"/>
    <n v="5.6313145569999996"/>
    <n v="48.97340148"/>
    <n v="129"/>
    <n v="3331455589.1000009"/>
    <n v="-21.93"/>
  </r>
  <r>
    <x v="130"/>
    <x v="130"/>
    <x v="0"/>
    <n v="68714670246.476021"/>
    <n v="178000000000"/>
    <n v="4609400"/>
    <n v="3.7296831209999999"/>
    <n v="54.874950579999997"/>
    <n v="53"/>
    <m/>
    <m/>
  </r>
  <r>
    <x v="130"/>
    <x v="130"/>
    <x v="1"/>
    <n v="67462656941.560982"/>
    <n v="189000000000"/>
    <n v="4714100"/>
    <n v="3.7435247469999999"/>
    <n v="52.47960217"/>
    <n v="50"/>
    <n v="68714670246.476021"/>
    <n v="-1.82"/>
  </r>
  <r>
    <x v="130"/>
    <x v="130"/>
    <x v="2"/>
    <n v="76100572399.570023"/>
    <n v="207000000000"/>
    <n v="4813600"/>
    <n v="3.315686216"/>
    <n v="54.277527630000002"/>
    <n v="51"/>
    <n v="67462656941.560982"/>
    <n v="12.8"/>
  </r>
  <r>
    <x v="130"/>
    <x v="130"/>
    <x v="3"/>
    <n v="79677797760.991013"/>
    <n v="212000000000"/>
    <n v="4900600"/>
    <n v="3.3221966649999999"/>
    <n v="55.906391849999999"/>
    <n v="53"/>
    <n v="76100572399.570023"/>
    <n v="4.7"/>
  </r>
  <r>
    <x v="130"/>
    <x v="130"/>
    <x v="4"/>
    <n v="79079651592.024017"/>
    <n v="213000000000"/>
    <n v="4970300"/>
    <n v="2.3237170840000001"/>
    <n v="54.461246410000001"/>
    <n v="49"/>
    <n v="79677797760.991013"/>
    <n v="-0.75"/>
  </r>
  <r>
    <x v="130"/>
    <x v="130"/>
    <x v="5"/>
    <n v="76580219416.310028"/>
    <n v="213000000000"/>
    <n v="5072400"/>
    <n v="-0.24091611499999999"/>
    <n v="43.826246619999999"/>
    <n v="47"/>
    <n v="79079651592.024017"/>
    <n v="-3.16"/>
  </r>
  <r>
    <x v="130"/>
    <x v="130"/>
    <x v="6"/>
    <n v="88650575640.923996"/>
    <n v="254000000000"/>
    <n v="5084600"/>
    <n v="4.2991600520000004"/>
    <n v="48.431537069999997"/>
    <n v="52"/>
    <n v="76580219416.310028"/>
    <n v="15.76"/>
  </r>
  <r>
    <x v="130"/>
    <x v="130"/>
    <x v="7"/>
    <n v="91230165590.715927"/>
    <n v="250000000000"/>
    <n v="5081700"/>
    <n v="3.3452184780000001"/>
    <n v="53.20914337"/>
    <n v="55"/>
    <n v="88650575640.923996"/>
    <n v="2.91"/>
  </r>
  <r>
    <x v="130"/>
    <x v="130"/>
    <x v="8"/>
    <n v="84248481112.05603"/>
    <n v="256000000000"/>
    <n v="5200000"/>
    <n v="1.8138945339999999"/>
    <n v="49.86550415"/>
    <n v="54"/>
    <n v="91230165590.715927"/>
    <n v="-7.65"/>
  </r>
  <r>
    <x v="130"/>
    <x v="130"/>
    <x v="9"/>
    <n v="85660255855.706009"/>
    <n v="261000000000"/>
    <n v="5290000"/>
    <n v="-0.86872237200000002"/>
    <n v="50.660766440000003"/>
    <n v="52"/>
    <n v="84248481112.05603"/>
    <n v="1.68"/>
  </r>
  <r>
    <x v="131"/>
    <x v="131"/>
    <x v="0"/>
    <n v="71372597264.368958"/>
    <n v="78710793238"/>
    <n v="4184895"/>
    <n v="5.0170579970000002"/>
    <n v="96.377580190000003"/>
    <n v="51"/>
    <m/>
    <m/>
  </r>
  <r>
    <x v="131"/>
    <x v="131"/>
    <x v="1"/>
    <n v="60027199102.106049"/>
    <n v="75128738622"/>
    <n v="4390877"/>
    <n v="5.046423946"/>
    <n v="82.864264199999994"/>
    <n v="53"/>
    <n v="71372597264.368958"/>
    <n v="-15.9"/>
  </r>
  <r>
    <x v="131"/>
    <x v="131"/>
    <x v="2"/>
    <n v="65808094410.166992"/>
    <n v="80856697009"/>
    <n v="4537396"/>
    <n v="0.304057566"/>
    <n v="88.95314802"/>
    <n v="54"/>
    <n v="60027199102.106049"/>
    <n v="9.6300000000000008"/>
  </r>
  <r>
    <x v="131"/>
    <x v="131"/>
    <x v="3"/>
    <n v="83524569699.95195"/>
    <n v="91505851756"/>
    <n v="4597877"/>
    <n v="1.2871039150000001"/>
    <n v="89.279217829999993"/>
    <n v="50"/>
    <n v="65808094410.166992"/>
    <n v="26.92"/>
  </r>
  <r>
    <x v="131"/>
    <x v="131"/>
    <x v="4"/>
    <n v="77447160696.850998"/>
    <n v="88060858257"/>
    <n v="4591241"/>
    <n v="-1.1286380170000001"/>
    <n v="86.478201029999994"/>
    <n v="51"/>
    <n v="83524569699.95195"/>
    <n v="-7.28"/>
  </r>
  <r>
    <x v="131"/>
    <x v="131"/>
    <x v="5"/>
    <n v="66958717646.014969"/>
    <n v="75909492848"/>
    <n v="4522497"/>
    <n v="-3.3797205269999999"/>
    <n v="91.875890799999993"/>
    <n v="52"/>
    <n v="77447160696.850998"/>
    <n v="-13.54"/>
  </r>
  <r>
    <x v="131"/>
    <x v="131"/>
    <x v="6"/>
    <n v="89181853041.18396"/>
    <n v="87323797139"/>
    <n v="4500424"/>
    <n v="2.5821749889999999"/>
    <n v="95.949487730000001"/>
    <n v="51"/>
    <n v="66958717646.014969"/>
    <n v="33.19"/>
  </r>
  <r>
    <x v="131"/>
    <x v="131"/>
    <x v="7"/>
    <n v="132126705670.98898"/>
    <n v="110000000000"/>
    <n v="4730226"/>
    <n v="7.9857072840000001"/>
    <n v="105.74500930000001"/>
    <n v="45"/>
    <n v="89181853041.18396"/>
    <n v="48.15"/>
  </r>
  <r>
    <x v="131"/>
    <x v="131"/>
    <x v="8"/>
    <n v="118021062915.43198"/>
    <n v="106000000000"/>
    <n v="5049269"/>
    <n v="1.414013832"/>
    <n v="106.44673109999999"/>
    <n v="46"/>
    <n v="132126705670.98898"/>
    <n v="-10.68"/>
  </r>
  <r>
    <x v="131"/>
    <x v="131"/>
    <x v="9"/>
    <n v="130319720789.54999"/>
    <n v="107000000000"/>
    <n v="5281538"/>
    <n v="1.631632314"/>
    <n v="114.85267159999999"/>
    <n v="44"/>
    <n v="118021062915.43198"/>
    <n v="10.42"/>
  </r>
  <r>
    <x v="132"/>
    <x v="132"/>
    <x v="0"/>
    <n v="44178036120"/>
    <n v="300000000000"/>
    <n v="217290883"/>
    <n v="4.2179420959999998"/>
    <n v="26.68818602"/>
    <n v="62"/>
    <m/>
    <m/>
  </r>
  <r>
    <x v="132"/>
    <x v="132"/>
    <x v="1"/>
    <n v="41067585668"/>
    <n v="314000000000"/>
    <n v="220138869"/>
    <n v="6.5738382849999999"/>
    <n v="24.701578049999998"/>
    <n v="63"/>
    <n v="44178036120"/>
    <n v="-7.04"/>
  </r>
  <r>
    <x v="132"/>
    <x v="132"/>
    <x v="2"/>
    <n v="43755574328.882004"/>
    <n v="339000000000"/>
    <n v="223273967"/>
    <n v="4.4326259070000003"/>
    <n v="25.472035000000002"/>
    <n v="62"/>
    <n v="41067585668"/>
    <n v="6.55"/>
  </r>
  <r>
    <x v="132"/>
    <x v="132"/>
    <x v="3"/>
    <n v="47261785959.422012"/>
    <n v="356000000000"/>
    <n v="226928892"/>
    <n v="6.1517026110000002"/>
    <n v="27.626057079999999"/>
    <n v="62"/>
    <n v="43755574328.882004"/>
    <n v="8.01"/>
  </r>
  <r>
    <x v="132"/>
    <x v="132"/>
    <x v="4"/>
    <n v="47497360505.096001"/>
    <n v="321000000000"/>
    <n v="230800899"/>
    <n v="2.497636929"/>
    <n v="28.90557699"/>
    <n v="61"/>
    <n v="47261785959.422012"/>
    <n v="0.5"/>
  </r>
  <r>
    <x v="132"/>
    <x v="132"/>
    <x v="5"/>
    <n v="44474326749.106003"/>
    <n v="300000000000"/>
    <n v="235001746"/>
    <n v="-1.274087443"/>
    <n v="26.716280730000001"/>
    <n v="59"/>
    <n v="47497360505.096001"/>
    <n v="-6.36"/>
  </r>
  <r>
    <x v="132"/>
    <x v="132"/>
    <x v="6"/>
    <n v="57590358171.930031"/>
    <n v="349000000000"/>
    <n v="239477801"/>
    <n v="6.5138857589999999"/>
    <n v="27.030420410000001"/>
    <n v="60"/>
    <n v="44474326749.106003"/>
    <n v="29.49"/>
  </r>
  <r>
    <x v="132"/>
    <x v="132"/>
    <x v="7"/>
    <n v="61538183672.921989"/>
    <n v="375000000000"/>
    <n v="243700667"/>
    <n v="4.7781068690000001"/>
    <n v="33.03135348"/>
    <n v="60"/>
    <n v="57590358171.930031"/>
    <n v="6.86"/>
  </r>
  <r>
    <x v="132"/>
    <x v="132"/>
    <x v="8"/>
    <n v="57492784887.866997"/>
    <n v="337000000000"/>
    <n v="247504495"/>
    <n v="-0.414935997"/>
    <n v="28.467692549999999"/>
    <n v="60"/>
    <n v="61538183672.921989"/>
    <n v="-6.57"/>
  </r>
  <r>
    <x v="132"/>
    <x v="132"/>
    <x v="9"/>
    <n v="64876991210.689987"/>
    <n v="372000000000"/>
    <n v="251269164"/>
    <n v="3.0817629559999999"/>
    <n v="27.56533091"/>
    <n v="57"/>
    <n v="57492784887.866997"/>
    <n v="12.84"/>
  </r>
  <r>
    <x v="133"/>
    <x v="133"/>
    <x v="0"/>
    <n v="24086754208"/>
    <n v="55767806100"/>
    <n v="3960035"/>
    <n v="5.2669171959999996"/>
    <n v="96.579157339999995"/>
    <n v="73"/>
    <m/>
    <m/>
  </r>
  <r>
    <x v="133"/>
    <x v="133"/>
    <x v="1"/>
    <n v="21686421026"/>
    <n v="59760858700"/>
    <n v="4029086"/>
    <n v="4.5719670790000002"/>
    <n v="84.395971869999997"/>
    <n v="74"/>
    <n v="24086754208"/>
    <n v="-9.9700000000000006"/>
  </r>
  <r>
    <x v="133"/>
    <x v="133"/>
    <x v="2"/>
    <n v="22183113984"/>
    <n v="64327688800"/>
    <n v="4098707"/>
    <n v="5.7440594640000002"/>
    <n v="84.047537239999997"/>
    <n v="79"/>
    <n v="21686421026"/>
    <n v="2.29"/>
  </r>
  <r>
    <x v="133"/>
    <x v="133"/>
    <x v="3"/>
    <n v="22960215232"/>
    <n v="67316471200"/>
    <n v="4167860"/>
    <n v="3.9182425329999999"/>
    <n v="86.130961510000006"/>
    <n v="76"/>
    <n v="22183113984"/>
    <n v="3.5"/>
  </r>
  <r>
    <x v="133"/>
    <x v="133"/>
    <x v="4"/>
    <n v="20956119052"/>
    <n v="69778991200"/>
    <n v="4234700"/>
    <n v="3.1029539559999999"/>
    <n v="80.428650559999994"/>
    <n v="80"/>
    <n v="22960215232"/>
    <n v="-8.73"/>
  </r>
  <r>
    <x v="133"/>
    <x v="133"/>
    <x v="5"/>
    <n v="17317597830"/>
    <n v="57059846500"/>
    <n v="4293261"/>
    <n v="-17.821117409999999"/>
    <n v="68.700423509999993"/>
    <n v="79"/>
    <n v="20956119052"/>
    <n v="-17.36"/>
  </r>
  <r>
    <x v="133"/>
    <x v="133"/>
    <x v="6"/>
    <n v="7563845302"/>
    <n v="67396392500"/>
    <n v="4345405"/>
    <n v="16.4669992"/>
    <n v="80.133463520000006"/>
    <n v="112"/>
    <n v="17317597830"/>
    <n v="-56.32"/>
  </r>
  <r>
    <x v="133"/>
    <x v="133"/>
    <x v="7"/>
    <n v="7304307136"/>
    <n v="76479304500"/>
    <n v="4400773"/>
    <n v="11.03860229"/>
    <n v="93.47526886"/>
    <n v="114"/>
    <n v="7563845302"/>
    <n v="-3.43"/>
  </r>
  <r>
    <x v="133"/>
    <x v="133"/>
    <x v="8"/>
    <n v="6733640960"/>
    <n v="83812155200"/>
    <n v="4458759"/>
    <n v="7.1663401640000002"/>
    <n v="88.348910520000004"/>
    <n v="116"/>
    <n v="7304307136"/>
    <n v="-7.81"/>
  </r>
  <r>
    <x v="133"/>
    <x v="133"/>
    <x v="9"/>
    <n v="2316715428"/>
    <n v="86523959100"/>
    <n v="4515577"/>
    <n v="2.7478414880000002"/>
    <n v="83.673778859999999"/>
    <n v="109"/>
    <n v="6733640960"/>
    <n v="-65.59"/>
  </r>
  <r>
    <x v="134"/>
    <x v="134"/>
    <x v="0"/>
    <n v="74556008238.660019"/>
    <n v="190000000000"/>
    <n v="30457600"/>
    <n v="3.2522447720000001"/>
    <n v="45.16276869"/>
    <n v="49"/>
    <m/>
    <m/>
  </r>
  <r>
    <x v="134"/>
    <x v="134"/>
    <x v="1"/>
    <n v="72619917607.000076"/>
    <n v="192000000000"/>
    <n v="30866494"/>
    <n v="3.953318715"/>
    <n v="45.388841200000002"/>
    <n v="48"/>
    <n v="74556008238.660019"/>
    <n v="-2.6"/>
  </r>
  <r>
    <x v="134"/>
    <x v="134"/>
    <x v="2"/>
    <n v="88475898845.419937"/>
    <n v="211000000000"/>
    <n v="31324637"/>
    <n v="2.5188354419999999"/>
    <n v="47.513550360000004"/>
    <n v="47"/>
    <n v="72619917607.000076"/>
    <n v="21.83"/>
  </r>
  <r>
    <x v="134"/>
    <x v="134"/>
    <x v="3"/>
    <n v="96030296750.680038"/>
    <n v="223000000000"/>
    <n v="31897584"/>
    <n v="3.9693513409999999"/>
    <n v="48.63147017"/>
    <n v="47"/>
    <n v="88475898845.419937"/>
    <n v="8.5399999999999991"/>
  </r>
  <r>
    <x v="134"/>
    <x v="134"/>
    <x v="4"/>
    <n v="92263129518.800095"/>
    <n v="228000000000"/>
    <n v="32449303"/>
    <n v="2.2406317690000002"/>
    <n v="46.943505379999998"/>
    <n v="47"/>
    <n v="96030296750.680038"/>
    <n v="-3.92"/>
  </r>
  <r>
    <x v="134"/>
    <x v="134"/>
    <x v="5"/>
    <n v="77514468088.220016"/>
    <n v="201000000000"/>
    <n v="32838579"/>
    <n v="-10.9333065"/>
    <n v="44.245967200000003"/>
    <n v="46"/>
    <n v="92263129518.800095"/>
    <n v="-15.99"/>
  </r>
  <r>
    <x v="134"/>
    <x v="134"/>
    <x v="6"/>
    <n v="112520230405.51207"/>
    <n v="226000000000"/>
    <n v="33155882"/>
    <n v="13.41664561"/>
    <n v="55.408323189999997"/>
    <n v="46"/>
    <n v="77514468088.220016"/>
    <n v="45.16"/>
  </r>
  <r>
    <x v="134"/>
    <x v="134"/>
    <x v="7"/>
    <n v="116344843732.36003"/>
    <n v="246000000000"/>
    <n v="33475438"/>
    <n v="2.8181997640000001"/>
    <n v="57.272700309999998"/>
    <n v="47"/>
    <n v="112520230405.51207"/>
    <n v="3.4"/>
  </r>
  <r>
    <x v="134"/>
    <x v="134"/>
    <x v="8"/>
    <n v="128710080870"/>
    <n v="268000000000"/>
    <n v="33845617"/>
    <n v="-0.350699814"/>
    <n v="50.907030720000002"/>
    <n v="44"/>
    <n v="116344843732.36003"/>
    <n v="10.63"/>
  </r>
  <r>
    <x v="134"/>
    <x v="134"/>
    <x v="9"/>
    <n v="148107849031.5061"/>
    <n v="292000000000"/>
    <n v="34217848"/>
    <n v="3.5152749270000001"/>
    <n v="51.681147989999999"/>
    <n v="41"/>
    <n v="128710080870"/>
    <n v="15.07"/>
  </r>
  <r>
    <x v="135"/>
    <x v="135"/>
    <x v="0"/>
    <n v="117296166160"/>
    <n v="306000000000"/>
    <n v="105312992"/>
    <n v="6.3483097170000002"/>
    <n v="59.141592109999998"/>
    <n v="41"/>
    <m/>
    <m/>
  </r>
  <r>
    <x v="135"/>
    <x v="135"/>
    <x v="1"/>
    <n v="112625495896"/>
    <n v="319000000000"/>
    <n v="106735719"/>
    <n v="7.1494567499999997"/>
    <n v="61.776065770000002"/>
    <n v="42"/>
    <n v="117296166160"/>
    <n v="-3.98"/>
  </r>
  <r>
    <x v="135"/>
    <x v="135"/>
    <x v="2"/>
    <n v="137425222372"/>
    <n v="328000000000"/>
    <n v="108119693"/>
    <n v="6.9309883259999996"/>
    <n v="68.168369740000003"/>
    <n v="38"/>
    <n v="112625495896"/>
    <n v="22.02"/>
  </r>
  <r>
    <x v="135"/>
    <x v="135"/>
    <x v="3"/>
    <n v="134975336596"/>
    <n v="347000000000"/>
    <n v="109465287"/>
    <n v="6.3414855719999998"/>
    <n v="72.163398299999997"/>
    <n v="42"/>
    <n v="137425222372"/>
    <n v="-1.78"/>
  </r>
  <r>
    <x v="135"/>
    <x v="135"/>
    <x v="4"/>
    <n v="141853348980"/>
    <n v="377000000000"/>
    <n v="110804683"/>
    <n v="6.1185256619999997"/>
    <n v="68.841842260000007"/>
    <n v="38"/>
    <n v="134975336596"/>
    <n v="5.0999999999999996"/>
  </r>
  <r>
    <x v="135"/>
    <x v="135"/>
    <x v="5"/>
    <n v="130428870144"/>
    <n v="362000000000"/>
    <n v="112081264"/>
    <n v="-9.51829474"/>
    <n v="58.169560300000001"/>
    <n v="38"/>
    <n v="141853348980"/>
    <n v="-8.0500000000000007"/>
  </r>
  <r>
    <x v="135"/>
    <x v="135"/>
    <x v="6"/>
    <n v="149239057510"/>
    <n v="394000000000"/>
    <n v="113100950"/>
    <n v="5.7147331320000001"/>
    <n v="63.484609810000002"/>
    <n v="41"/>
    <n v="130428870144"/>
    <n v="14.42"/>
  </r>
  <r>
    <x v="135"/>
    <x v="135"/>
    <x v="7"/>
    <n v="157857036170"/>
    <n v="404000000000"/>
    <n v="113964338"/>
    <n v="7.5809821279999996"/>
    <n v="72.429683609999998"/>
    <n v="42"/>
    <n v="149239057510"/>
    <n v="5.77"/>
  </r>
  <r>
    <x v="135"/>
    <x v="135"/>
    <x v="8"/>
    <n v="147234228448"/>
    <n v="437000000000"/>
    <n v="114891199"/>
    <n v="5.5189496790000003"/>
    <n v="67.419969320000007"/>
    <n v="41"/>
    <n v="157857036170"/>
    <n v="-6.73"/>
  </r>
  <r>
    <x v="135"/>
    <x v="135"/>
    <x v="9"/>
    <n v="146537436994"/>
    <n v="462000000000"/>
    <n v="115843670"/>
    <n v="5.714745261"/>
    <n v="65.863788389999996"/>
    <n v="42"/>
    <n v="147234228448"/>
    <n v="-0.47"/>
  </r>
  <r>
    <x v="136"/>
    <x v="136"/>
    <x v="0"/>
    <n v="12769341"/>
    <n v="283224750"/>
    <n v="17770"/>
    <n v="8.5700056819999997"/>
    <n v="128.20729829999999"/>
    <n v="168"/>
    <m/>
    <m/>
  </r>
  <r>
    <x v="136"/>
    <x v="136"/>
    <x v="1"/>
    <n v="13079363"/>
    <n v="303326125"/>
    <n v="17797"/>
    <n v="1.666506882"/>
    <n v="118.7598661"/>
    <n v="171"/>
    <n v="12769341"/>
    <n v="2.4300000000000002"/>
  </r>
  <r>
    <x v="136"/>
    <x v="136"/>
    <x v="2"/>
    <n v="12839519.719999999"/>
    <n v="289983656.30000001"/>
    <n v="17812"/>
    <n v="-3.421431702"/>
    <n v="122.6506365"/>
    <n v="174"/>
    <n v="13079363"/>
    <n v="-1.83"/>
  </r>
  <r>
    <x v="136"/>
    <x v="136"/>
    <x v="3"/>
    <n v="17241816.100000001"/>
    <n v="288228343.80000001"/>
    <n v="17814"/>
    <n v="-0.41762585899999999"/>
    <n v="117.77197049999999"/>
    <n v="170"/>
    <n v="12839519.719999999"/>
    <n v="34.29"/>
  </r>
  <r>
    <x v="137"/>
    <x v="137"/>
    <x v="4"/>
    <n v="20392664337.852009"/>
    <n v="24750626030"/>
    <n v="9609010"/>
    <n v="4.4805145690000003"/>
    <m/>
    <n v="81"/>
    <m/>
    <m/>
  </r>
  <r>
    <x v="137"/>
    <x v="137"/>
    <x v="5"/>
    <n v="20734008408.80901"/>
    <n v="23848447850"/>
    <n v="9815746"/>
    <n v="-3.1674320439999999"/>
    <m/>
    <n v="77"/>
    <n v="20392664337.852009"/>
    <n v="1.67"/>
  </r>
  <r>
    <x v="137"/>
    <x v="137"/>
    <x v="6"/>
    <n v="19301082034.974003"/>
    <n v="26113409478"/>
    <n v="10012896"/>
    <n v="-0.510612607"/>
    <m/>
    <n v="83"/>
    <n v="20734008408.80901"/>
    <n v="-6.91"/>
  </r>
  <r>
    <x v="137"/>
    <x v="137"/>
    <x v="7"/>
    <n v="21857810109.360001"/>
    <n v="31653230962"/>
    <n v="10203169"/>
    <n v="5.7070196500000003"/>
    <m/>
    <n v="84"/>
    <n v="19301082034.974003"/>
    <n v="13.25"/>
  </r>
  <r>
    <x v="137"/>
    <x v="137"/>
    <x v="8"/>
    <n v="19867993464.770996"/>
    <n v="30816328066"/>
    <n v="10389635"/>
    <n v="3.8104630830000001"/>
    <m/>
    <n v="84"/>
    <n v="21857810109.360001"/>
    <n v="-9.1"/>
  </r>
  <r>
    <x v="138"/>
    <x v="138"/>
    <x v="0"/>
    <n v="388922314540"/>
    <n v="480000000000"/>
    <n v="37986412"/>
    <n v="4.431767003"/>
    <n v="92.255427269999998"/>
    <n v="21"/>
    <m/>
    <m/>
  </r>
  <r>
    <x v="138"/>
    <x v="138"/>
    <x v="1"/>
    <n v="392910539196"/>
    <n v="473000000000"/>
    <n v="37970087"/>
    <n v="3.031177676"/>
    <n v="96.865902809999994"/>
    <n v="19"/>
    <n v="388922314540"/>
    <n v="1.03"/>
  </r>
  <r>
    <x v="138"/>
    <x v="138"/>
    <x v="2"/>
    <n v="442615242604"/>
    <n v="528000000000"/>
    <n v="37974826"/>
    <n v="5.1524577330000003"/>
    <n v="100.5658952"/>
    <n v="21"/>
    <n v="392910539196"/>
    <n v="12.65"/>
  </r>
  <r>
    <x v="138"/>
    <x v="138"/>
    <x v="3"/>
    <n v="523630537050"/>
    <n v="595000000000"/>
    <n v="37974750"/>
    <n v="6.2458584720000001"/>
    <n v="102.44246219999999"/>
    <n v="19"/>
    <n v="442615242604"/>
    <n v="18.3"/>
  </r>
  <r>
    <x v="138"/>
    <x v="138"/>
    <x v="4"/>
    <n v="503729546540"/>
    <n v="603000000000"/>
    <n v="37965475"/>
    <n v="4.5804581730000002"/>
    <n v="101.5810338"/>
    <n v="21"/>
    <n v="523630537050"/>
    <n v="-3.8"/>
  </r>
  <r>
    <x v="138"/>
    <x v="138"/>
    <x v="5"/>
    <n v="508338063804"/>
    <n v="606000000000"/>
    <n v="37515748"/>
    <n v="-2.0355688239999998"/>
    <n v="99.259091229999996"/>
    <n v="19"/>
    <n v="503729546540"/>
    <n v="0.91"/>
  </r>
  <r>
    <x v="138"/>
    <x v="138"/>
    <x v="6"/>
    <n v="635664249884"/>
    <n v="689000000000"/>
    <n v="36981559"/>
    <n v="6.9271826609999998"/>
    <n v="110.87428300000001"/>
    <n v="20"/>
    <n v="508338063804"/>
    <n v="25.05"/>
  </r>
  <r>
    <x v="138"/>
    <x v="138"/>
    <x v="7"/>
    <n v="731501387036"/>
    <n v="696000000000"/>
    <n v="36821749"/>
    <n v="5.2554569740000003"/>
    <n v="123.0213329"/>
    <n v="20"/>
    <n v="635664249884"/>
    <n v="15.08"/>
  </r>
  <r>
    <x v="138"/>
    <x v="138"/>
    <x v="8"/>
    <n v="763865680454"/>
    <n v="812000000000"/>
    <n v="36687353"/>
    <n v="0.249610834"/>
    <n v="110.024935"/>
    <n v="17"/>
    <n v="731501387036"/>
    <n v="4.42"/>
  </r>
  <r>
    <x v="138"/>
    <x v="138"/>
    <x v="9"/>
    <n v="760666374322"/>
    <n v="918000000000"/>
    <n v="36559233"/>
    <n v="3.0284163070000001"/>
    <n v="100.3594428"/>
    <n v="15"/>
    <n v="763865680454"/>
    <n v="-0.42"/>
  </r>
  <r>
    <x v="139"/>
    <x v="139"/>
    <x v="0"/>
    <n v="110090051435.60794"/>
    <n v="199000000000"/>
    <n v="10358076"/>
    <n v="1.589798037"/>
    <n v="80.634675630000004"/>
    <n v="43"/>
    <m/>
    <m/>
  </r>
  <r>
    <x v="139"/>
    <x v="139"/>
    <x v="1"/>
    <n v="110743098499.15297"/>
    <n v="206000000000"/>
    <n v="10325452"/>
    <n v="2.0041412969999999"/>
    <n v="79.522346479999996"/>
    <n v="43"/>
    <n v="110090051435.60794"/>
    <n v="0.59"/>
  </r>
  <r>
    <x v="139"/>
    <x v="139"/>
    <x v="2"/>
    <n v="124233681032.54901"/>
    <n v="221000000000"/>
    <n v="10300300"/>
    <n v="3.314720082"/>
    <n v="84.807792309999996"/>
    <n v="41"/>
    <n v="110743098499.15297"/>
    <n v="12.18"/>
  </r>
  <r>
    <x v="139"/>
    <x v="139"/>
    <x v="3"/>
    <n v="148271811615.73209"/>
    <n v="242000000000"/>
    <n v="10283822"/>
    <n v="2.9462834340000001"/>
    <n v="86.735695489999998"/>
    <n v="40"/>
    <n v="124233681032.54901"/>
    <n v="19.350000000000001"/>
  </r>
  <r>
    <x v="139"/>
    <x v="139"/>
    <x v="4"/>
    <n v="134128148349.88603"/>
    <n v="240000000000"/>
    <n v="10286263"/>
    <n v="2.7456843260000001"/>
    <n v="86.77098891"/>
    <n v="40"/>
    <n v="148271811615.73209"/>
    <n v="-9.5399999999999991"/>
  </r>
  <r>
    <x v="139"/>
    <x v="139"/>
    <x v="5"/>
    <n v="122800524321.33701"/>
    <n v="230000000000"/>
    <n v="10297081"/>
    <n v="-8.2046315930000002"/>
    <n v="76.508640720000002"/>
    <n v="39"/>
    <n v="134128148349.88603"/>
    <n v="-8.4499999999999993"/>
  </r>
  <r>
    <x v="139"/>
    <x v="139"/>
    <x v="6"/>
    <n v="150485533788.13086"/>
    <n v="256000000000"/>
    <n v="10361831"/>
    <n v="5.558756721"/>
    <n v="85.873545210000003"/>
    <n v="40"/>
    <n v="122800524321.33701"/>
    <n v="22.54"/>
  </r>
  <r>
    <x v="139"/>
    <x v="139"/>
    <x v="7"/>
    <n v="166033562348.99399"/>
    <n v="257000000000"/>
    <n v="10434332"/>
    <n v="6.9858413759999998"/>
    <n v="101.3641465"/>
    <n v="40"/>
    <n v="150485533788.13086"/>
    <n v="10.33"/>
  </r>
  <r>
    <x v="139"/>
    <x v="139"/>
    <x v="8"/>
    <n v="167249764715.82495"/>
    <n v="292000000000"/>
    <n v="10578174"/>
    <n v="3.0999874589999998"/>
    <n v="93.135853710000006"/>
    <n v="38"/>
    <n v="166033562348.99399"/>
    <n v="0.73"/>
  </r>
  <r>
    <x v="139"/>
    <x v="139"/>
    <x v="9"/>
    <n v="165341104494.81"/>
    <n v="314000000000"/>
    <n v="10694681"/>
    <n v="2.2145923230000002"/>
    <n v="89.661563709999996"/>
    <n v="35"/>
    <n v="167249764715.82495"/>
    <n v="-1.1399999999999999"/>
  </r>
  <r>
    <x v="140"/>
    <x v="140"/>
    <x v="0"/>
    <n v="16655092582"/>
    <n v="36211447840"/>
    <n v="6159103"/>
    <n v="2.9571516839999998"/>
    <n v="66.915065530000007"/>
    <n v="86"/>
    <m/>
    <m/>
  </r>
  <r>
    <x v="140"/>
    <x v="140"/>
    <x v="1"/>
    <n v="17002315172.100002"/>
    <n v="36089700223"/>
    <n v="6249126"/>
    <n v="4.2680258330000003"/>
    <n v="67.759315229999999"/>
    <n v="83"/>
    <n v="16655092582"/>
    <n v="2.08"/>
  </r>
  <r>
    <x v="140"/>
    <x v="140"/>
    <x v="2"/>
    <n v="17359666090"/>
    <n v="38997129474"/>
    <n v="6338660"/>
    <n v="4.8100788559999996"/>
    <n v="71.080134400000006"/>
    <n v="84"/>
    <n v="17002315172.100002"/>
    <n v="2.1"/>
  </r>
  <r>
    <x v="140"/>
    <x v="140"/>
    <x v="3"/>
    <n v="18084281360"/>
    <n v="40225448341"/>
    <n v="6427382"/>
    <n v="3.2042503409999998"/>
    <n v="72.069223629999996"/>
    <n v="84"/>
    <n v="17359666090"/>
    <n v="4.17"/>
  </r>
  <r>
    <x v="140"/>
    <x v="140"/>
    <x v="4"/>
    <n v="15935610060"/>
    <n v="37925338329"/>
    <n v="6515058"/>
    <n v="-0.40185510099999999"/>
    <n v="71.222161729999996"/>
    <n v="84"/>
    <n v="18084281360"/>
    <n v="-11.88"/>
  </r>
  <r>
    <x v="140"/>
    <x v="140"/>
    <x v="5"/>
    <n v="17035782768"/>
    <n v="35432178068"/>
    <n v="6603739"/>
    <n v="-0.81978539100000003"/>
    <n v="62.760217470000001"/>
    <n v="80"/>
    <n v="15935610060"/>
    <n v="6.9"/>
  </r>
  <r>
    <x v="140"/>
    <x v="140"/>
    <x v="6"/>
    <n v="21141939736"/>
    <n v="39937357256"/>
    <n v="6684182"/>
    <n v="3.994615107"/>
    <n v="69.732012679999997"/>
    <n v="82"/>
    <n v="17035782768"/>
    <n v="24.1"/>
  </r>
  <r>
    <x v="140"/>
    <x v="140"/>
    <x v="7"/>
    <n v="19896572728.007999"/>
    <n v="41841201627"/>
    <n v="6760464"/>
    <n v="-2.8077172000000001E-2"/>
    <n v="73.873631140000001"/>
    <n v="86"/>
    <n v="21141939736"/>
    <n v="-5.89"/>
  </r>
  <r>
    <x v="140"/>
    <x v="140"/>
    <x v="8"/>
    <n v="23738132327.720005"/>
    <n v="43140465596"/>
    <n v="6844146"/>
    <n v="5.2858458500000003"/>
    <n v="82.577725229999999"/>
    <n v="79"/>
    <n v="19896572728.007999"/>
    <n v="19.309999999999999"/>
  </r>
  <r>
    <x v="140"/>
    <x v="140"/>
    <x v="9"/>
    <n v="21828803450.97002"/>
    <n v="44738819362"/>
    <n v="6929153"/>
    <n v="4.66914578"/>
    <n v="77.094438449999998"/>
    <n v="78"/>
    <n v="23738132327.720005"/>
    <n v="-8.0399999999999991"/>
  </r>
  <r>
    <x v="141"/>
    <x v="141"/>
    <x v="0"/>
    <n v="1915621739"/>
    <n v="13972400000"/>
    <n v="4270092"/>
    <n v="3.7212996710000001"/>
    <n v="70.780968189999996"/>
    <n v="131"/>
    <m/>
    <m/>
  </r>
  <r>
    <x v="141"/>
    <x v="141"/>
    <x v="1"/>
    <n v="1852997955"/>
    <n v="15405400000"/>
    <n v="4367088"/>
    <n v="8.8646188200000005"/>
    <n v="65.422514179999993"/>
    <n v="132"/>
    <n v="1915621739"/>
    <n v="-3.27"/>
  </r>
  <r>
    <x v="141"/>
    <x v="141"/>
    <x v="2"/>
    <n v="2129768277.5250001"/>
    <n v="16128000000"/>
    <n v="4454805"/>
    <n v="1.419367563"/>
    <n v="68.448660709999999"/>
    <n v="130"/>
    <n v="1852997955"/>
    <n v="14.94"/>
  </r>
  <r>
    <x v="141"/>
    <x v="141"/>
    <x v="3"/>
    <n v="2311268099.3929996"/>
    <n v="16276600000"/>
    <n v="4569087"/>
    <n v="1.2270773779999999"/>
    <n v="71.40127545"/>
    <n v="128"/>
    <n v="2129768277.5250001"/>
    <n v="8.52"/>
  </r>
  <r>
    <x v="141"/>
    <x v="141"/>
    <x v="4"/>
    <n v="2207616663.8799996"/>
    <n v="17133500000"/>
    <n v="4685306"/>
    <n v="1.3626874659999999"/>
    <n v="68.993492279999998"/>
    <n v="128"/>
    <n v="2311268099.3929996"/>
    <n v="-4.4800000000000004"/>
  </r>
  <r>
    <x v="141"/>
    <x v="141"/>
    <x v="5"/>
    <n v="2109241688.3200009"/>
    <n v="15531700000"/>
    <n v="4803269"/>
    <n v="-11.318466109999999"/>
    <n v="67.288191249999997"/>
    <n v="126"/>
    <n v="2207616663.8799996"/>
    <n v="-4.46"/>
  </r>
  <r>
    <x v="141"/>
    <x v="141"/>
    <x v="6"/>
    <n v="2715280058.3400002"/>
    <n v="18109000000"/>
    <n v="4922749"/>
    <n v="7.0119822760000003"/>
    <n v="73.083549619999999"/>
    <n v="131"/>
    <n v="2109241688.3200009"/>
    <n v="28.73"/>
  </r>
  <r>
    <x v="141"/>
    <x v="141"/>
    <x v="7"/>
    <n v="3050317692.9110003"/>
    <n v="19165500000"/>
    <n v="5043612"/>
    <n v="4.0827602729999999"/>
    <n v="82.394928390000004"/>
    <n v="126"/>
    <n v="2715280058.3400002"/>
    <n v="12.34"/>
  </r>
  <r>
    <x v="141"/>
    <x v="141"/>
    <x v="8"/>
    <n v="3042775839.2410002"/>
    <n v="18635100000"/>
    <n v="5165775"/>
    <n v="-0.97217780600000003"/>
    <n v="76.17345761"/>
    <n v="123"/>
    <n v="3050317692.9110003"/>
    <n v="-0.25"/>
  </r>
  <r>
    <x v="142"/>
    <x v="142"/>
    <x v="0"/>
    <n v="154180525440.12512"/>
    <n v="162000000000"/>
    <n v="2344557"/>
    <n v="4.7533457239999999"/>
    <n v="93.707604169999996"/>
    <n v="34"/>
    <m/>
    <m/>
  </r>
  <r>
    <x v="142"/>
    <x v="142"/>
    <x v="1"/>
    <n v="114617269187.46399"/>
    <n v="152000000000"/>
    <n v="2477113"/>
    <n v="3.064191884"/>
    <n v="89.547600119999998"/>
    <n v="41"/>
    <n v="154180525440.12512"/>
    <n v="-25.66"/>
  </r>
  <r>
    <x v="142"/>
    <x v="142"/>
    <x v="2"/>
    <n v="134996211703.83394"/>
    <n v="161000000000"/>
    <n v="2545820"/>
    <n v="-1.4976047020000001"/>
    <n v="91.494587920000001"/>
    <n v="39"/>
    <n v="114617269187.46399"/>
    <n v="17.78"/>
  </r>
  <r>
    <x v="142"/>
    <x v="142"/>
    <x v="3"/>
    <n v="168576918250.64713"/>
    <n v="183000000000"/>
    <n v="2580734"/>
    <n v="1.234872202"/>
    <n v="91.838448979999995"/>
    <n v="36"/>
    <n v="134996211703.83394"/>
    <n v="24.88"/>
  </r>
  <r>
    <x v="142"/>
    <x v="142"/>
    <x v="4"/>
    <n v="145869912586.306"/>
    <n v="176000000000"/>
    <n v="2638657"/>
    <n v="0.68824095500000004"/>
    <n v="90.046375549999993"/>
    <n v="36"/>
    <n v="168576918250.64713"/>
    <n v="-13.47"/>
  </r>
  <r>
    <x v="142"/>
    <x v="142"/>
    <x v="5"/>
    <n v="103008316115.49899"/>
    <n v="144000000000"/>
    <n v="2794148"/>
    <n v="-3.55760399"/>
    <n v="90.019094879999997"/>
    <n v="41"/>
    <n v="145869912586.306"/>
    <n v="-29.38"/>
  </r>
  <r>
    <x v="142"/>
    <x v="142"/>
    <x v="6"/>
    <n v="174406582377.73798"/>
    <n v="180000000000"/>
    <n v="2504910"/>
    <n v="1.626846719"/>
    <n v="92.779158570000007"/>
    <n v="37"/>
    <n v="103008316115.49899"/>
    <n v="69.31"/>
  </r>
  <r>
    <x v="142"/>
    <x v="142"/>
    <x v="7"/>
    <n v="261928945148.53586"/>
    <n v="236000000000"/>
    <n v="2657333"/>
    <n v="4.1850097100000001"/>
    <n v="100.2136472"/>
    <n v="31"/>
    <n v="174406582377.73798"/>
    <n v="50.18"/>
  </r>
  <r>
    <x v="142"/>
    <x v="142"/>
    <x v="8"/>
    <n v="195502987992.14188"/>
    <n v="213000000000"/>
    <n v="2656032"/>
    <n v="1.1871599159999999"/>
    <m/>
    <n v="35"/>
    <n v="261928945148.53586"/>
    <n v="-25.36"/>
  </r>
  <r>
    <x v="142"/>
    <x v="142"/>
    <x v="9"/>
    <n v="190087953261.80209"/>
    <n v="216000000000"/>
    <n v="2857822"/>
    <n v="3.109632832"/>
    <m/>
    <n v="34"/>
    <n v="195502987992.14188"/>
    <n v="-2.77"/>
  </r>
  <r>
    <x v="143"/>
    <x v="143"/>
    <x v="0"/>
    <n v="121210095333"/>
    <n v="178000000000"/>
    <n v="19815616"/>
    <n v="3.1570360540000002"/>
    <n v="83.520576700000007"/>
    <n v="38"/>
    <m/>
    <m/>
  </r>
  <r>
    <x v="143"/>
    <x v="143"/>
    <x v="1"/>
    <n v="127162008695"/>
    <n v="185000000000"/>
    <n v="19702267"/>
    <n v="2.8599325229999999"/>
    <n v="85.892528290000001"/>
    <n v="36"/>
    <n v="121210095333"/>
    <n v="4.91"/>
  </r>
  <r>
    <x v="143"/>
    <x v="143"/>
    <x v="2"/>
    <n v="141253774999.95999"/>
    <n v="210000000000"/>
    <n v="19588715"/>
    <n v="8.1954782660000003"/>
    <n v="87.156064569999998"/>
    <n v="36"/>
    <n v="127162008695"/>
    <n v="11.08"/>
  </r>
  <r>
    <x v="143"/>
    <x v="143"/>
    <x v="3"/>
    <n v="160155212533.76004"/>
    <n v="242000000000"/>
    <n v="19473970"/>
    <n v="5.3945222819999996"/>
    <n v="87.091170109999993"/>
    <n v="37"/>
    <n v="141253774999.95999"/>
    <n v="13.38"/>
  </r>
  <r>
    <x v="143"/>
    <x v="143"/>
    <x v="4"/>
    <n v="154597496874.88007"/>
    <n v="250000000000"/>
    <n v="19371648"/>
    <n v="3.9602895849999999"/>
    <n v="84.906363060000004"/>
    <n v="35"/>
    <n v="160155212533.76004"/>
    <n v="-3.47"/>
  </r>
  <r>
    <x v="143"/>
    <x v="143"/>
    <x v="5"/>
    <n v="142092797568.20004"/>
    <n v="251000000000"/>
    <n v="19265250"/>
    <n v="-3.5980254600000001"/>
    <n v="78.361646359999995"/>
    <n v="36"/>
    <n v="154597496874.88007"/>
    <n v="-8.09"/>
  </r>
  <r>
    <x v="143"/>
    <x v="143"/>
    <x v="6"/>
    <n v="176779457941.82007"/>
    <n v="285000000000"/>
    <n v="19122059"/>
    <n v="5.5873507250000003"/>
    <n v="87.071196549999996"/>
    <n v="36"/>
    <n v="142092797568.20004"/>
    <n v="24.41"/>
  </r>
  <r>
    <x v="143"/>
    <x v="143"/>
    <x v="7"/>
    <n v="193659203340.59988"/>
    <n v="295000000000"/>
    <n v="19048502"/>
    <n v="4.1877130510000002"/>
    <n v="93.949650939999998"/>
    <n v="37"/>
    <n v="176779457941.82007"/>
    <n v="9.5500000000000007"/>
  </r>
  <r>
    <x v="143"/>
    <x v="143"/>
    <x v="8"/>
    <n v="201284925352.81998"/>
    <n v="348000000000"/>
    <n v="19061062"/>
    <n v="2.2577341660000001"/>
    <n v="83.375332409999999"/>
    <n v="34"/>
    <n v="193659203340.59988"/>
    <n v="3.94"/>
  </r>
  <r>
    <x v="143"/>
    <x v="143"/>
    <x v="9"/>
    <n v="200741763372.20013"/>
    <n v="383000000000"/>
    <n v="19051804"/>
    <n v="0.91600376400000005"/>
    <n v="77.214983790000005"/>
    <n v="32"/>
    <n v="201284925352.81998"/>
    <n v="-0.27"/>
  </r>
  <r>
    <x v="144"/>
    <x v="144"/>
    <x v="0"/>
    <n v="687815303656"/>
    <n v="1360000000000"/>
    <n v="144640716"/>
    <n v="-1.9727192259999999"/>
    <n v="49.359349309999999"/>
    <n v="13"/>
    <m/>
    <m/>
  </r>
  <r>
    <x v="144"/>
    <x v="144"/>
    <x v="1"/>
    <n v="603560886772.87952"/>
    <n v="1280000000000"/>
    <n v="145015460"/>
    <n v="0.193671131"/>
    <n v="46.518119839999997"/>
    <n v="13"/>
    <n v="687815303656"/>
    <n v="-12.25"/>
  </r>
  <r>
    <x v="144"/>
    <x v="144"/>
    <x v="2"/>
    <n v="758413212037.22046"/>
    <n v="1570000000000"/>
    <n v="145293260"/>
    <n v="1.8267052749999999"/>
    <n v="46.876524340000003"/>
    <n v="12"/>
    <n v="603560886772.87952"/>
    <n v="25.66"/>
  </r>
  <r>
    <x v="144"/>
    <x v="144"/>
    <x v="3"/>
    <n v="902989656346.33972"/>
    <n v="1660000000000"/>
    <n v="145398106"/>
    <n v="2.80634082"/>
    <n v="51.580900370000002"/>
    <n v="10"/>
    <n v="758413212037.22046"/>
    <n v="19.059999999999999"/>
  </r>
  <r>
    <x v="144"/>
    <x v="144"/>
    <x v="4"/>
    <n v="853440665320.34058"/>
    <n v="1690000000000"/>
    <n v="145453291"/>
    <n v="2.1980757139999998"/>
    <n v="49.228753660000002"/>
    <n v="12"/>
    <n v="902989656346.33972"/>
    <n v="-5.49"/>
  </r>
  <r>
    <x v="144"/>
    <x v="144"/>
    <x v="5"/>
    <n v="674207939286.12195"/>
    <n v="1490000000000"/>
    <n v="145245148"/>
    <n v="-2.6536544969999998"/>
    <n v="45.966908199999999"/>
    <n v="13"/>
    <n v="853440665320.34058"/>
    <n v="-21"/>
  </r>
  <r>
    <x v="144"/>
    <x v="144"/>
    <x v="6"/>
    <n v="984627581393.3064"/>
    <n v="1830000000000"/>
    <n v="144746762"/>
    <n v="5.8664917729999999"/>
    <n v="50.586195459999999"/>
    <n v="11"/>
    <n v="674207939286.12195"/>
    <n v="46.04"/>
  </r>
  <r>
    <x v="145"/>
    <x v="145"/>
    <x v="0"/>
    <n v="1187248300.1629996"/>
    <n v="8447064079"/>
    <n v="11640022"/>
    <n v="8.8703675289999993"/>
    <n v="45.73486758"/>
    <n v="138"/>
    <m/>
    <m/>
  </r>
  <r>
    <x v="145"/>
    <x v="145"/>
    <x v="1"/>
    <n v="1226147343.0219996"/>
    <n v="8596812241"/>
    <n v="11919183"/>
    <n v="5.6587458420000001"/>
    <n v="50.089736569999999"/>
    <n v="139"/>
    <n v="1187248300.1629996"/>
    <n v="3.28"/>
  </r>
  <r>
    <x v="145"/>
    <x v="145"/>
    <x v="2"/>
    <n v="1885302503.944001"/>
    <n v="9164345443"/>
    <n v="12202060"/>
    <n v="4.7039343980000003"/>
    <n v="54.207965659999999"/>
    <n v="134"/>
    <n v="1226147343.0219996"/>
    <n v="53.76"/>
  </r>
  <r>
    <x v="145"/>
    <x v="145"/>
    <x v="3"/>
    <n v="2008402338.7010009"/>
    <n v="9650161136"/>
    <n v="12487996"/>
    <n v="8.0708425459999997"/>
    <n v="47.983057870000003"/>
    <n v="132"/>
    <n v="1885302503.944001"/>
    <n v="6.53"/>
  </r>
  <r>
    <x v="145"/>
    <x v="145"/>
    <x v="4"/>
    <n v="2263912134.7600002"/>
    <n v="10519272170"/>
    <n v="12776103"/>
    <n v="9.2861338750000009"/>
    <n v="48.892715029999998"/>
    <n v="127"/>
    <n v="2008402338.7010009"/>
    <n v="12.72"/>
  </r>
  <r>
    <x v="145"/>
    <x v="145"/>
    <x v="5"/>
    <n v="2862352625.1200004"/>
    <n v="10487146253"/>
    <n v="13065837"/>
    <n v="-2.7771048550000001"/>
    <n v="44.351184060000001"/>
    <n v="124"/>
    <n v="2263912134.7600002"/>
    <n v="26.43"/>
  </r>
  <r>
    <x v="145"/>
    <x v="145"/>
    <x v="6"/>
    <n v="3125008965.3999996"/>
    <n v="11252894910"/>
    <n v="13355260"/>
    <n v="8.4114044860000003"/>
    <n v="59.800799390000002"/>
    <n v="127"/>
    <n v="2862352625.1200004"/>
    <n v="9.18"/>
  </r>
  <r>
    <x v="145"/>
    <x v="145"/>
    <x v="7"/>
    <n v="4038539603.8800011"/>
    <n v="13747404814"/>
    <n v="13651030"/>
    <n v="9.8249739470000002"/>
    <n v="60.95917094"/>
    <n v="121"/>
    <n v="3125008965.3999996"/>
    <n v="29.23"/>
  </r>
  <r>
    <x v="146"/>
    <x v="146"/>
    <x v="0"/>
    <n v="407377605122.02594"/>
    <n v="693000000000"/>
    <n v="29816382"/>
    <n v="4.6551231670000002"/>
    <n v="67.105269230000005"/>
    <n v="19"/>
    <m/>
    <m/>
  </r>
  <r>
    <x v="146"/>
    <x v="146"/>
    <x v="1"/>
    <n v="367208573066.01123"/>
    <n v="689000000000"/>
    <n v="30954198"/>
    <n v="1.7040473920000001"/>
    <n v="57.921663510000002"/>
    <n v="22"/>
    <n v="407377605122.02594"/>
    <n v="-9.86"/>
  </r>
  <r>
    <x v="146"/>
    <x v="146"/>
    <x v="2"/>
    <n v="443670125547.6311"/>
    <n v="741000000000"/>
    <n v="30977355"/>
    <n v="1.182107059"/>
    <n v="59.531979159999999"/>
    <n v="20"/>
    <n v="367208573066.01123"/>
    <n v="20.82"/>
  </r>
  <r>
    <x v="146"/>
    <x v="146"/>
    <x v="3"/>
    <n v="588743143454.75684"/>
    <n v="887000000000"/>
    <n v="30196281"/>
    <n v="3.2269508899999999"/>
    <n v="59.102910469999998"/>
    <n v="18"/>
    <n v="443670125547.6311"/>
    <n v="32.700000000000003"/>
  </r>
  <r>
    <x v="146"/>
    <x v="146"/>
    <x v="4"/>
    <n v="523206580689.96777"/>
    <n v="889000000000"/>
    <n v="30063799"/>
    <n v="1.6515892560000001"/>
    <n v="56.793820490000002"/>
    <n v="20"/>
    <n v="588743143454.75684"/>
    <n v="-11.13"/>
  </r>
  <r>
    <x v="146"/>
    <x v="146"/>
    <x v="5"/>
    <n v="347707704739.30518"/>
    <n v="768000000000"/>
    <n v="31552510"/>
    <n v="-3.8047890199999999"/>
    <n v="47.533159230000003"/>
    <n v="26"/>
    <n v="523206580689.96777"/>
    <n v="-33.54"/>
  </r>
  <r>
    <x v="146"/>
    <x v="146"/>
    <x v="6"/>
    <n v="552358173243.84375"/>
    <n v="983000000000"/>
    <n v="30784383"/>
    <n v="6.5195969829999996"/>
    <n v="50.883926340000002"/>
    <n v="23"/>
    <n v="347707704739.30518"/>
    <n v="58.86"/>
  </r>
  <r>
    <x v="146"/>
    <x v="146"/>
    <x v="7"/>
    <n v="822368439681.85645"/>
    <n v="1240000000000"/>
    <n v="32175224"/>
    <n v="12.00058748"/>
    <n v="56.824164770000003"/>
    <n v="17"/>
    <n v="552358173243.84375"/>
    <n v="48.88"/>
  </r>
  <r>
    <x v="146"/>
    <x v="146"/>
    <x v="8"/>
    <n v="640036853458.28003"/>
    <n v="1220000000000"/>
    <n v="33702731"/>
    <n v="0.54259243899999998"/>
    <n v="55.79746823"/>
    <n v="21"/>
    <n v="822368439681.85645"/>
    <n v="-22.17"/>
  </r>
  <r>
    <x v="146"/>
    <x v="146"/>
    <x v="9"/>
    <n v="610998774713.83032"/>
    <n v="1250000000000"/>
    <n v="35300280"/>
    <n v="2.6489306830000001"/>
    <n v="56.404937410000002"/>
    <n v="20"/>
    <n v="640036853458.28003"/>
    <n v="-4.54"/>
  </r>
  <r>
    <x v="147"/>
    <x v="147"/>
    <x v="0"/>
    <n v="11175033830"/>
    <n v="51726758677"/>
    <n v="40024431"/>
    <n v="1.9101768910000001"/>
    <n v="18.378272849999998"/>
    <n v="94"/>
    <m/>
    <m/>
  </r>
  <r>
    <x v="147"/>
    <x v="147"/>
    <x v="1"/>
    <n v="7986979702"/>
    <n v="42630376000"/>
    <n v="41259892"/>
    <n v="3.4676421839999998"/>
    <n v="15.28166989"/>
    <n v="104"/>
    <n v="11175033830"/>
    <n v="-28.53"/>
  </r>
  <r>
    <x v="147"/>
    <x v="147"/>
    <x v="2"/>
    <n v="8481285333.7600002"/>
    <n v="41283617976"/>
    <n v="42714306"/>
    <n v="0.70925628500000004"/>
    <n v="17.831389829999999"/>
    <n v="104"/>
    <n v="7986979702"/>
    <n v="6.19"/>
  </r>
  <r>
    <x v="147"/>
    <x v="147"/>
    <x v="3"/>
    <n v="7238503008"/>
    <n v="32333780383"/>
    <n v="44230596"/>
    <n v="-2.6809305499999998"/>
    <n v="21.86791873"/>
    <n v="110"/>
    <n v="8481285333.7600002"/>
    <n v="-14.65"/>
  </r>
  <r>
    <x v="148"/>
    <x v="148"/>
    <x v="0"/>
    <n v="5223343934"/>
    <n v="17774766696"/>
    <n v="14593331"/>
    <n v="6.3670436510000004"/>
    <n v="58.11033767"/>
    <n v="110"/>
    <m/>
    <m/>
  </r>
  <r>
    <x v="148"/>
    <x v="148"/>
    <x v="1"/>
    <n v="5280553841"/>
    <n v="19040312333"/>
    <n v="15034521"/>
    <n v="6.3560685719999999"/>
    <n v="54.10816921"/>
    <n v="111"/>
    <n v="5223343934"/>
    <n v="1.1000000000000001"/>
  </r>
  <r>
    <x v="148"/>
    <x v="148"/>
    <x v="2"/>
    <n v="5991771617.243001"/>
    <n v="20965069573"/>
    <n v="15475002"/>
    <n v="7.4074861859999999"/>
    <n v="57.816567810000002"/>
    <n v="112"/>
    <n v="5280553841"/>
    <n v="13.47"/>
  </r>
  <r>
    <x v="148"/>
    <x v="148"/>
    <x v="3"/>
    <n v="7246485899.2019968"/>
    <n v="23116701556"/>
    <n v="15914498"/>
    <n v="6.2092410339999997"/>
    <n v="61.789839479999998"/>
    <n v="109"/>
    <n v="5991771617.243001"/>
    <n v="20.94"/>
  </r>
  <r>
    <x v="148"/>
    <x v="148"/>
    <x v="4"/>
    <n v="8357029349.019002"/>
    <n v="23403995992"/>
    <n v="16352922"/>
    <n v="4.6136280980000004"/>
    <n v="64.236250609999999"/>
    <n v="104"/>
    <n v="7246485899.2019968"/>
    <n v="15.33"/>
  </r>
  <r>
    <x v="148"/>
    <x v="148"/>
    <x v="5"/>
    <n v="7858720276.9960003"/>
    <n v="24530513038"/>
    <n v="16789219"/>
    <n v="1.3420737730000001"/>
    <n v="60.046871609999997"/>
    <n v="105"/>
    <n v="8357029349.019002"/>
    <n v="-5.96"/>
  </r>
  <r>
    <x v="148"/>
    <x v="148"/>
    <x v="6"/>
    <n v="10404443179.264"/>
    <n v="27520784130"/>
    <n v="17220867"/>
    <n v="6.5440010989999999"/>
    <n v="69.375993989999998"/>
    <n v="101"/>
    <n v="7858720276.9960003"/>
    <n v="32.39"/>
  </r>
  <r>
    <x v="148"/>
    <x v="148"/>
    <x v="7"/>
    <n v="11420583846.695999"/>
    <n v="27783332223"/>
    <n v="17651103"/>
    <n v="3.8504319379999998"/>
    <n v="79.397422019999993"/>
    <n v="101"/>
    <n v="10404443179.264"/>
    <n v="9.77"/>
  </r>
  <r>
    <x v="148"/>
    <x v="148"/>
    <x v="8"/>
    <n v="10633785667.796999"/>
    <n v="30696331296"/>
    <n v="18077573"/>
    <n v="4.2574308329999999"/>
    <n v="71.594281580000001"/>
    <n v="104"/>
    <n v="11420583846.695999"/>
    <n v="-6.89"/>
  </r>
  <r>
    <x v="148"/>
    <x v="148"/>
    <x v="9"/>
    <n v="12620965360.603001"/>
    <n v="32169996052"/>
    <n v="18501984"/>
    <n v="6.4622057740000001"/>
    <n v="68.236351029999994"/>
    <n v="95"/>
    <n v="10633785667.796999"/>
    <n v="18.690000000000001"/>
  </r>
  <r>
    <x v="149"/>
    <x v="149"/>
    <x v="0"/>
    <n v="715882457738.34558"/>
    <n v="308000000000"/>
    <n v="5535002"/>
    <n v="2.9767993160000001"/>
    <n v="329.4713989"/>
    <n v="12"/>
    <m/>
    <m/>
  </r>
  <r>
    <x v="149"/>
    <x v="149"/>
    <x v="1"/>
    <n v="676163940907.5061"/>
    <n v="321000000000"/>
    <n v="5607283"/>
    <n v="3.910953063"/>
    <n v="301.33886619999998"/>
    <n v="12"/>
    <n v="715882457738.34558"/>
    <n v="-5.55"/>
  </r>
  <r>
    <x v="149"/>
    <x v="149"/>
    <x v="2"/>
    <n v="746144972340.32239"/>
    <n v="345000000000"/>
    <n v="5612253"/>
    <n v="4.3267937080000003"/>
    <n v="315.4014335"/>
    <n v="13"/>
    <n v="676163940907.5061"/>
    <n v="10.35"/>
  </r>
  <r>
    <x v="149"/>
    <x v="149"/>
    <x v="3"/>
    <n v="823486587494.97034"/>
    <n v="378000000000"/>
    <n v="5638676"/>
    <n v="3.1866084849999998"/>
    <n v="325.72581000000002"/>
    <n v="13"/>
    <n v="746144972340.32239"/>
    <n v="10.37"/>
  </r>
  <r>
    <x v="149"/>
    <x v="149"/>
    <x v="4"/>
    <n v="780663514748.82483"/>
    <n v="377000000000"/>
    <n v="5703569"/>
    <n v="1.1587794730000001"/>
    <n v="324.27008860000001"/>
    <n v="13"/>
    <n v="823486587494.97034"/>
    <n v="-5.2"/>
  </r>
  <r>
    <x v="149"/>
    <x v="149"/>
    <x v="5"/>
    <n v="747367460112.14197"/>
    <n v="351000000000"/>
    <n v="5685807"/>
    <n v="-3.610842817"/>
    <n v="331.08055680000001"/>
    <n v="12"/>
    <n v="780663514748.82483"/>
    <n v="-4.2699999999999996"/>
  </r>
  <r>
    <x v="149"/>
    <x v="149"/>
    <x v="6"/>
    <n v="914162566563.08838"/>
    <n v="441000000000"/>
    <n v="5453566"/>
    <n v="10.14108452"/>
    <n v="326.53325460000002"/>
    <n v="13"/>
    <n v="747367460112.14197"/>
    <n v="22.32"/>
  </r>
  <r>
    <x v="149"/>
    <x v="149"/>
    <x v="7"/>
    <n v="1029932254010.4399"/>
    <n v="514000000000"/>
    <n v="5637022"/>
    <n v="4.0102788450000002"/>
    <n v="330.24691710000002"/>
    <n v="13"/>
    <n v="914162566563.08838"/>
    <n v="12.66"/>
  </r>
  <r>
    <x v="149"/>
    <x v="149"/>
    <x v="8"/>
    <n v="950697082253.58093"/>
    <n v="511000000000"/>
    <n v="5917648"/>
    <n v="1.4502677589999999"/>
    <n v="323.70121999999998"/>
    <n v="13"/>
    <n v="1029932254010.4399"/>
    <n v="-7.69"/>
  </r>
  <r>
    <x v="149"/>
    <x v="149"/>
    <x v="9"/>
    <n v="1009561742960.3375"/>
    <n v="573000000000"/>
    <n v="6036860"/>
    <n v="5.3435120190000003"/>
    <n v="313.29937719999998"/>
    <n v="12"/>
    <n v="950697082253.58093"/>
    <n v="6.19"/>
  </r>
  <r>
    <x v="150"/>
    <x v="150"/>
    <x v="0"/>
    <n v="800801181"/>
    <n v="1307908814"/>
    <n v="639415"/>
    <n v="1.6757861199999999"/>
    <n v="88.188485909999997"/>
    <n v="145"/>
    <m/>
    <m/>
  </r>
  <r>
    <x v="150"/>
    <x v="150"/>
    <x v="1"/>
    <n v="874606149"/>
    <n v="1379486291"/>
    <n v="662379"/>
    <n v="5.5549434829999997"/>
    <n v="85.549845779999998"/>
    <n v="145"/>
    <n v="800801181"/>
    <n v="9.2200000000000006"/>
  </r>
  <r>
    <x v="150"/>
    <x v="150"/>
    <x v="2"/>
    <n v="999429366.94100058"/>
    <n v="1469790526"/>
    <n v="685672"/>
    <n v="3.0754617610000001"/>
    <n v="82.197492199999999"/>
    <n v="143"/>
    <n v="874606149"/>
    <n v="14.27"/>
  </r>
  <r>
    <x v="150"/>
    <x v="150"/>
    <x v="3"/>
    <n v="1138224016.9479995"/>
    <n v="1615473250"/>
    <n v="709101"/>
    <n v="2.7458524479999999"/>
    <n v="88.494961470000007"/>
    <n v="141"/>
    <n v="999429366.94100058"/>
    <n v="13.89"/>
  </r>
  <r>
    <x v="151"/>
    <x v="151"/>
    <x v="0"/>
    <n v="186515098"/>
    <n v="6788352975"/>
    <n v="7037655"/>
    <n v="-4.3633326209999996"/>
    <n v="36.482395820000001"/>
    <n v="154"/>
    <m/>
    <m/>
  </r>
  <r>
    <x v="151"/>
    <x v="151"/>
    <x v="1"/>
    <n v="931190465"/>
    <n v="6084297211"/>
    <n v="7205328"/>
    <n v="6.4374365280000001"/>
    <n v="43.067212699999999"/>
    <n v="144"/>
    <n v="186515098"/>
    <n v="399.26"/>
  </r>
  <r>
    <x v="151"/>
    <x v="151"/>
    <x v="2"/>
    <n v="205303177.64199996"/>
    <n v="5749846528"/>
    <n v="7379299"/>
    <n v="3.2078608769999999"/>
    <n v="41.521378230000003"/>
    <n v="158"/>
    <n v="931190465"/>
    <n v="-77.95"/>
  </r>
  <r>
    <x v="151"/>
    <x v="151"/>
    <x v="3"/>
    <n v="410736568.55199999"/>
    <n v="6390514689"/>
    <n v="7554563"/>
    <n v="2.8938564119999999"/>
    <n v="37.377460309999996"/>
    <n v="148"/>
    <n v="205303177.64199996"/>
    <n v="100.06"/>
  </r>
  <r>
    <x v="152"/>
    <x v="152"/>
    <x v="0"/>
    <n v="11018095380.139999"/>
    <n v="23438240000"/>
    <n v="6183676"/>
    <n v="2.4000000890000002"/>
    <n v="76.560270740000007"/>
    <n v="95"/>
    <m/>
    <m/>
  </r>
  <r>
    <x v="152"/>
    <x v="152"/>
    <x v="1"/>
    <n v="10840265794.560003"/>
    <n v="24191430000"/>
    <n v="6200800"/>
    <n v="2.5390624110000002"/>
    <n v="72.819093370000004"/>
    <n v="93"/>
    <n v="11018095380.139999"/>
    <n v="-1.61"/>
  </r>
  <r>
    <x v="152"/>
    <x v="152"/>
    <x v="2"/>
    <n v="11520030414.58"/>
    <n v="24979190000"/>
    <n v="6213533"/>
    <n v="2.2476190809999999"/>
    <n v="74.304651190000001"/>
    <n v="94"/>
    <n v="10840265794.560003"/>
    <n v="6.27"/>
  </r>
  <r>
    <x v="152"/>
    <x v="152"/>
    <x v="3"/>
    <n v="11810822421.859999"/>
    <n v="26020850000"/>
    <n v="6219807"/>
    <n v="2.4124442240000001"/>
    <n v="75.633616889999999"/>
    <n v="97"/>
    <n v="11520030414.58"/>
    <n v="2.52"/>
  </r>
  <r>
    <x v="152"/>
    <x v="152"/>
    <x v="4"/>
    <n v="11809912847.020002"/>
    <n v="26881140000"/>
    <n v="6222318"/>
    <n v="2.437471591"/>
    <n v="76.042013100000005"/>
    <n v="93"/>
    <n v="11810822421.859999"/>
    <n v="-0.01"/>
  </r>
  <r>
    <x v="152"/>
    <x v="152"/>
    <x v="5"/>
    <n v="9610899009.3600006"/>
    <n v="24921190000"/>
    <n v="6234673"/>
    <n v="-7.8931013600000002"/>
    <n v="66.459506950000005"/>
    <n v="97"/>
    <n v="11809912847.020002"/>
    <n v="-18.62"/>
  </r>
  <r>
    <x v="152"/>
    <x v="152"/>
    <x v="6"/>
    <n v="12789777831.819998"/>
    <n v="29043140000"/>
    <n v="6255782"/>
    <n v="11.9047617"/>
    <n v="81.845075980000004"/>
    <n v="96"/>
    <n v="9610899009.3600006"/>
    <n v="33.08"/>
  </r>
  <r>
    <x v="152"/>
    <x v="152"/>
    <x v="7"/>
    <n v="14230210487.360001"/>
    <n v="31870110000"/>
    <n v="6280319"/>
    <n v="2.9546041089999999"/>
    <n v="88.701137209999999"/>
    <n v="97"/>
    <n v="12789777831.819998"/>
    <n v="11.26"/>
  </r>
  <r>
    <x v="152"/>
    <x v="152"/>
    <x v="8"/>
    <n v="12996184484"/>
    <n v="33565430000"/>
    <n v="6309624"/>
    <n v="3.3550872159999998"/>
    <n v="79.812265179999997"/>
    <n v="98"/>
    <n v="14230210487.360001"/>
    <n v="-8.67"/>
  </r>
  <r>
    <x v="152"/>
    <x v="152"/>
    <x v="9"/>
    <n v="12622927603.640011"/>
    <n v="34879730000"/>
    <n v="6338193"/>
    <n v="2.5904637109999999"/>
    <n v="85.682572660000005"/>
    <n v="94"/>
    <n v="12996184484"/>
    <n v="-2.87"/>
  </r>
  <r>
    <x v="153"/>
    <x v="153"/>
    <x v="0"/>
    <n v="26757867596"/>
    <n v="41297410635"/>
    <n v="7095383"/>
    <n v="1.295738635"/>
    <n v="93.528147770000004"/>
    <n v="69"/>
    <m/>
    <m/>
  </r>
  <r>
    <x v="153"/>
    <x v="153"/>
    <x v="1"/>
    <n v="29703554258"/>
    <n v="42225495910"/>
    <n v="7058322"/>
    <n v="2.975198072"/>
    <n v="97.690694039999997"/>
    <n v="66"/>
    <n v="26757867596"/>
    <n v="11.01"/>
  </r>
  <r>
    <x v="153"/>
    <x v="153"/>
    <x v="2"/>
    <n v="33918080238"/>
    <n v="45972834714"/>
    <n v="7020858"/>
    <n v="2.363403125"/>
    <n v="102.7404452"/>
    <n v="65"/>
    <n v="29703554258"/>
    <n v="14.19"/>
  </r>
  <r>
    <x v="153"/>
    <x v="153"/>
    <x v="3"/>
    <n v="38478253946"/>
    <n v="52787520249"/>
    <n v="6982604"/>
    <n v="4.6493503550000002"/>
    <n v="105.56371300000001"/>
    <n v="66"/>
    <n v="33918080238"/>
    <n v="13.44"/>
  </r>
  <r>
    <x v="153"/>
    <x v="153"/>
    <x v="4"/>
    <n v="39266097036"/>
    <n v="53864693665"/>
    <n v="6945235"/>
    <n v="4.750207939"/>
    <n v="107.5773095"/>
    <n v="64"/>
    <n v="38478253946"/>
    <n v="2.0499999999999998"/>
  </r>
  <r>
    <x v="153"/>
    <x v="153"/>
    <x v="5"/>
    <n v="39001659080"/>
    <n v="55874017669"/>
    <n v="6899126"/>
    <n v="-0.95002399199999998"/>
    <n v="100.3244608"/>
    <n v="62"/>
    <n v="39266097036"/>
    <n v="-0.67"/>
  </r>
  <r>
    <x v="153"/>
    <x v="153"/>
    <x v="6"/>
    <n v="51132321830"/>
    <n v="66159884073"/>
    <n v="6834326"/>
    <n v="7.9490565049999997"/>
    <n v="112.3422983"/>
    <n v="62"/>
    <n v="39001659080"/>
    <n v="31.1"/>
  </r>
  <r>
    <x v="153"/>
    <x v="153"/>
    <x v="7"/>
    <n v="58119023430"/>
    <n v="66809895701"/>
    <n v="6664449"/>
    <n v="2.703477055"/>
    <n v="131.91329229999999"/>
    <n v="61"/>
    <n v="51132321830"/>
    <n v="13.66"/>
  </r>
  <r>
    <x v="153"/>
    <x v="153"/>
    <x v="8"/>
    <n v="61869192308"/>
    <n v="81343999280"/>
    <n v="6623183"/>
    <n v="3.7479330360000001"/>
    <n v="114.49206460000001"/>
    <n v="59"/>
    <n v="58119023430"/>
    <n v="6.45"/>
  </r>
  <r>
    <x v="153"/>
    <x v="153"/>
    <x v="9"/>
    <n v="66076295424"/>
    <n v="90088366320"/>
    <n v="6586476"/>
    <n v="3.9499262260000001"/>
    <n v="111.7250284"/>
    <n v="56"/>
    <n v="61869192308"/>
    <n v="6.8"/>
  </r>
  <r>
    <x v="154"/>
    <x v="154"/>
    <x v="0"/>
    <n v="18446364"/>
    <n v="259999643"/>
    <n v="200291"/>
    <n v="1.5397042830000001"/>
    <n v="112.6595793"/>
    <n v="166"/>
    <m/>
    <m/>
  </r>
  <r>
    <x v="154"/>
    <x v="154"/>
    <x v="1"/>
    <n v="20947870"/>
    <n v="292267272.19999999"/>
    <n v="203689"/>
    <n v="5.1768246869999999"/>
    <n v="100.3954706"/>
    <n v="169"/>
    <n v="18446364"/>
    <n v="13.56"/>
  </r>
  <r>
    <x v="154"/>
    <x v="154"/>
    <x v="2"/>
    <n v="21125181.846000005"/>
    <n v="322002845.19999999"/>
    <n v="206970"/>
    <n v="4.112979663"/>
    <n v="92.897361759999995"/>
    <n v="173"/>
    <n v="20947870"/>
    <n v="0.85"/>
  </r>
  <r>
    <x v="154"/>
    <x v="154"/>
    <x v="3"/>
    <n v="24174604.910999995"/>
    <n v="383717327.80000001"/>
    <n v="210187"/>
    <n v="4.378128083"/>
    <n v="79.200290140000007"/>
    <n v="167"/>
    <n v="21125181.846000005"/>
    <n v="14.44"/>
  </r>
  <r>
    <x v="154"/>
    <x v="154"/>
    <x v="4"/>
    <n v="19717777.900999997"/>
    <n v="412976082.60000002"/>
    <n v="213392"/>
    <n v="2.0143167210000001"/>
    <n v="67.574798999999999"/>
    <n v="165"/>
    <n v="24174604.910999995"/>
    <n v="-18.440000000000001"/>
  </r>
  <r>
    <x v="154"/>
    <x v="154"/>
    <x v="5"/>
    <n v="24879114.221999999"/>
    <n v="471229484.60000002"/>
    <n v="217435"/>
    <n v="2.6248594949999999"/>
    <n v="48.66400797"/>
    <n v="161"/>
    <n v="19717777.900999997"/>
    <n v="26.18"/>
  </r>
  <r>
    <x v="154"/>
    <x v="154"/>
    <x v="6"/>
    <n v="38349691.408"/>
    <n v="524402455.5"/>
    <n v="221961"/>
    <n v="1.899298913"/>
    <n v="57.940347320000001"/>
    <n v="157"/>
    <n v="24879114.221999999"/>
    <n v="54.14"/>
  </r>
  <r>
    <x v="154"/>
    <x v="154"/>
    <x v="7"/>
    <n v="45177922.011"/>
    <n v="540809499.20000005"/>
    <n v="226305"/>
    <n v="0.16869849200000001"/>
    <n v="64.992037909999993"/>
    <n v="157"/>
    <n v="38349691.408"/>
    <n v="17.809999999999999"/>
  </r>
  <r>
    <x v="154"/>
    <x v="154"/>
    <x v="8"/>
    <n v="33109137.740000006"/>
    <n v="690456806.70000005"/>
    <n v="230871"/>
    <n v="0.37225277499999998"/>
    <n v="46.974578729999998"/>
    <n v="156"/>
    <n v="45177922.011"/>
    <n v="-26.71"/>
  </r>
  <r>
    <x v="155"/>
    <x v="155"/>
    <x v="0"/>
    <n v="3628633343.4809995"/>
    <n v="5126237646"/>
    <n v="581627"/>
    <n v="-3.4130426809999999"/>
    <m/>
    <n v="121"/>
    <m/>
    <m/>
  </r>
  <r>
    <x v="155"/>
    <x v="155"/>
    <x v="1"/>
    <n v="2470566352.9679999"/>
    <n v="3317421648"/>
    <n v="587757"/>
    <n v="-4.9116605089999998"/>
    <m/>
    <n v="129"/>
    <n v="3628633343.4809995"/>
    <n v="-31.91"/>
  </r>
  <r>
    <x v="155"/>
    <x v="155"/>
    <x v="2"/>
    <n v="4134787453.421999"/>
    <n v="3591679431"/>
    <n v="593713"/>
    <n v="1.566037825"/>
    <m/>
    <n v="123"/>
    <n v="2470566352.9679999"/>
    <n v="67.36"/>
  </r>
  <r>
    <x v="155"/>
    <x v="155"/>
    <x v="3"/>
    <n v="4359901169.7790012"/>
    <n v="3996198867"/>
    <n v="599513"/>
    <n v="4.948271085"/>
    <m/>
    <n v="119"/>
    <n v="4134787453.421999"/>
    <n v="5.44"/>
  </r>
  <r>
    <x v="155"/>
    <x v="155"/>
    <x v="4"/>
    <n v="4310265113.1350002"/>
    <n v="4016040575"/>
    <n v="605768"/>
    <n v="1.1675897719999999"/>
    <m/>
    <n v="120"/>
    <n v="4359901169.7790012"/>
    <n v="-1.1399999999999999"/>
  </r>
  <r>
    <x v="155"/>
    <x v="155"/>
    <x v="5"/>
    <n v="4386697872.6589994"/>
    <n v="2911807496"/>
    <n v="612317"/>
    <n v="-15.975191710000001"/>
    <m/>
    <n v="118"/>
    <n v="4310265113.1350002"/>
    <n v="1.77"/>
  </r>
  <r>
    <x v="155"/>
    <x v="155"/>
    <x v="6"/>
    <n v="4582651654.0799999"/>
    <n v="3107923198"/>
    <n v="617896"/>
    <n v="-2.435385836"/>
    <m/>
    <n v="122"/>
    <n v="4386697872.6589994"/>
    <n v="4.47"/>
  </r>
  <r>
    <x v="155"/>
    <x v="155"/>
    <x v="7"/>
    <n v="5672564753.1999989"/>
    <n v="3791603200"/>
    <n v="623164"/>
    <n v="2.4062223559999998"/>
    <m/>
    <n v="118"/>
    <n v="4582651654.0799999"/>
    <n v="23.78"/>
  </r>
  <r>
    <x v="155"/>
    <x v="155"/>
    <x v="8"/>
    <n v="4621799595.9909992"/>
    <n v="3472693412"/>
    <n v="628886"/>
    <n v="2.41659215"/>
    <m/>
    <n v="119"/>
    <n v="5672564753.1999989"/>
    <n v="-18.52"/>
  </r>
  <r>
    <x v="155"/>
    <x v="155"/>
    <x v="9"/>
    <n v="2968316375.9310007"/>
    <n v="4416775113"/>
    <n v="634431"/>
    <n v="1.7209574910000001"/>
    <m/>
    <n v="107"/>
    <n v="4621799595.9909992"/>
    <n v="-35.78"/>
  </r>
  <r>
    <x v="156"/>
    <x v="156"/>
    <x v="0"/>
    <n v="150020117705.59503"/>
    <n v="89178548717"/>
    <n v="5423801"/>
    <n v="5.1768790969999996"/>
    <n v="179.42602289999999"/>
    <n v="35"/>
    <m/>
    <m/>
  </r>
  <r>
    <x v="156"/>
    <x v="156"/>
    <x v="1"/>
    <n v="153980002072.11798"/>
    <n v="90347173229"/>
    <n v="5430798"/>
    <n v="1.947818415"/>
    <n v="182.75737960000001"/>
    <n v="34"/>
    <n v="150020117705.59503"/>
    <n v="2.64"/>
  </r>
  <r>
    <x v="156"/>
    <x v="156"/>
    <x v="2"/>
    <n v="166856761471.96707"/>
    <n v="95978130735"/>
    <n v="5439232"/>
    <n v="2.8747332750000001"/>
    <n v="186.64468740000001"/>
    <n v="35"/>
    <n v="153980002072.11798"/>
    <n v="8.36"/>
  </r>
  <r>
    <x v="156"/>
    <x v="156"/>
    <x v="3"/>
    <n v="186865341279.01291"/>
    <n v="107000000000"/>
    <n v="5446771"/>
    <n v="4.0621198190000003"/>
    <n v="188.7329647"/>
    <n v="35"/>
    <n v="166856761471.96707"/>
    <n v="11.99"/>
  </r>
  <r>
    <x v="156"/>
    <x v="156"/>
    <x v="4"/>
    <n v="179840746610.42599"/>
    <n v="106000000000"/>
    <n v="5454147"/>
    <n v="2.2758991000000002"/>
    <n v="183.7226086"/>
    <n v="33"/>
    <n v="186865341279.01291"/>
    <n v="-3.76"/>
  </r>
  <r>
    <x v="156"/>
    <x v="156"/>
    <x v="5"/>
    <n v="174034357480.73071"/>
    <n v="108000000000"/>
    <n v="5458827"/>
    <n v="-2.5855124169999999"/>
    <n v="167.53417329999999"/>
    <n v="33"/>
    <n v="179840746610.42599"/>
    <n v="-3.23"/>
  </r>
  <r>
    <x v="156"/>
    <x v="156"/>
    <x v="6"/>
    <n v="209466641763.84601"/>
    <n v="121000000000"/>
    <n v="5447247"/>
    <n v="5.6558588070000004"/>
    <n v="181.97948450000001"/>
    <n v="34"/>
    <n v="174034357480.73071"/>
    <n v="20.36"/>
  </r>
  <r>
    <x v="156"/>
    <x v="156"/>
    <x v="7"/>
    <n v="216476781027.26804"/>
    <n v="116000000000"/>
    <n v="5431752"/>
    <n v="0.54459163200000005"/>
    <n v="204.0563185"/>
    <n v="34"/>
    <n v="209466641763.84601"/>
    <n v="3.35"/>
  </r>
  <r>
    <x v="156"/>
    <x v="156"/>
    <x v="8"/>
    <n v="234500353401.98984"/>
    <n v="134000000000"/>
    <n v="5426740"/>
    <n v="2.1126363320000001"/>
    <n v="181.39087240000001"/>
    <n v="32"/>
    <n v="216476781027.26804"/>
    <n v="8.33"/>
  </r>
  <r>
    <x v="156"/>
    <x v="156"/>
    <x v="9"/>
    <n v="231150910191.60394"/>
    <n v="141000000000"/>
    <n v="5422069"/>
    <n v="1.9386744549999999"/>
    <n v="171.2128002"/>
    <n v="30"/>
    <n v="234500353401.98984"/>
    <n v="-1.43"/>
  </r>
  <r>
    <x v="157"/>
    <x v="157"/>
    <x v="0"/>
    <n v="53173958536"/>
    <n v="42709468275"/>
    <n v="2063531"/>
    <n v="2.3933062129999998"/>
    <n v="147.21836769999999"/>
    <n v="58"/>
    <m/>
    <m/>
  </r>
  <r>
    <x v="157"/>
    <x v="157"/>
    <x v="1"/>
    <n v="55315455379.540001"/>
    <n v="44290685824"/>
    <n v="2065042"/>
    <n v="3.0344148670000002"/>
    <n v="148.2384481"/>
    <n v="57"/>
    <n v="53173958536"/>
    <n v="4.03"/>
  </r>
  <r>
    <x v="157"/>
    <x v="157"/>
    <x v="2"/>
    <n v="63787579128.919998"/>
    <n v="48153200135"/>
    <n v="2066388"/>
    <n v="5.1744021560000002"/>
    <n v="158.70213580000001"/>
    <n v="56"/>
    <n v="55315455379.540001"/>
    <n v="15.32"/>
  </r>
  <r>
    <x v="157"/>
    <x v="157"/>
    <x v="3"/>
    <n v="72942557878.840042"/>
    <n v="53689067640"/>
    <n v="2073894"/>
    <n v="4.3790834729999997"/>
    <n v="162.613494"/>
    <n v="55"/>
    <n v="63787579128.919998"/>
    <n v="14.35"/>
  </r>
  <r>
    <x v="157"/>
    <x v="157"/>
    <x v="4"/>
    <n v="75149188759.019958"/>
    <n v="53909922736"/>
    <n v="2088385"/>
    <n v="3.5052533239999999"/>
    <n v="160.04427569999999"/>
    <n v="53"/>
    <n v="72942557878.840042"/>
    <n v="3.03"/>
  </r>
  <r>
    <x v="157"/>
    <x v="157"/>
    <x v="5"/>
    <n v="74942188346.485001"/>
    <n v="53384760135"/>
    <n v="2102419"/>
    <n v="-4.0850009490000003"/>
    <n v="147.54900860000001"/>
    <n v="48"/>
    <n v="75149188759.019958"/>
    <n v="-0.28000000000000003"/>
  </r>
  <r>
    <x v="157"/>
    <x v="157"/>
    <x v="6"/>
    <n v="93384256138.221039"/>
    <n v="61540813362"/>
    <n v="2108079"/>
    <n v="8.4168645770000001"/>
    <n v="161.78872749999999"/>
    <n v="50"/>
    <n v="74942188346.485001"/>
    <n v="24.61"/>
  </r>
  <r>
    <x v="157"/>
    <x v="157"/>
    <x v="7"/>
    <n v="110612036944.60597"/>
    <n v="59899117741"/>
    <n v="2112076"/>
    <n v="2.6685055549999999"/>
    <n v="186.64707630000001"/>
    <n v="50"/>
    <n v="93384256138.221039"/>
    <n v="18.45"/>
  </r>
  <r>
    <x v="157"/>
    <x v="157"/>
    <x v="8"/>
    <n v="119013909955.369"/>
    <n v="69255264238"/>
    <n v="2120461"/>
    <n v="2.3758326649999999"/>
    <n v="160.15966929999999"/>
    <n v="45"/>
    <n v="110612036944.60597"/>
    <n v="7.6"/>
  </r>
  <r>
    <x v="157"/>
    <x v="157"/>
    <x v="9"/>
    <n v="133271371107.0051"/>
    <n v="72972015197"/>
    <n v="2127400"/>
    <n v="1.731397225"/>
    <n v="155.65792870000001"/>
    <n v="43"/>
    <n v="119013909955.369"/>
    <n v="11.98"/>
  </r>
  <r>
    <x v="158"/>
    <x v="158"/>
    <x v="0"/>
    <n v="280012941535.38098"/>
    <n v="502000000000"/>
    <n v="9799186"/>
    <n v="4.3882467360000001"/>
    <n v="84.173076600000002"/>
    <n v="29"/>
    <m/>
    <m/>
  </r>
  <r>
    <x v="158"/>
    <x v="158"/>
    <x v="1"/>
    <n v="278781548298.45599"/>
    <n v="513000000000"/>
    <n v="9923085"/>
    <n v="2.1311791470000001"/>
    <n v="83.451947860000004"/>
    <n v="29"/>
    <n v="280012941535.38098"/>
    <n v="-0.44"/>
  </r>
  <r>
    <x v="158"/>
    <x v="158"/>
    <x v="2"/>
    <n v="306317129929.2998"/>
    <n v="535000000000"/>
    <n v="10057698"/>
    <n v="1.88282185"/>
    <n v="86.06930887"/>
    <n v="29"/>
    <n v="278781548298.45599"/>
    <n v="9.8800000000000008"/>
  </r>
  <r>
    <x v="158"/>
    <x v="158"/>
    <x v="3"/>
    <n v="331933267035.87402"/>
    <n v="550000000000"/>
    <n v="10175214"/>
    <n v="1.770255355"/>
    <n v="90.408714239999995"/>
    <n v="30"/>
    <n v="306317129929.2998"/>
    <n v="8.36"/>
  </r>
  <r>
    <x v="158"/>
    <x v="158"/>
    <x v="4"/>
    <n v="321062484441.47113"/>
    <n v="531000000000"/>
    <n v="10278887"/>
    <n v="2.6082301289999998"/>
    <n v="92.751139030000004"/>
    <n v="30"/>
    <n v="331933267035.87402"/>
    <n v="-3.27"/>
  </r>
  <r>
    <x v="158"/>
    <x v="158"/>
    <x v="5"/>
    <n v="309871174251.74005"/>
    <n v="544000000000"/>
    <n v="10353442"/>
    <n v="-1.93379704"/>
    <n v="84.474595809999997"/>
    <n v="30"/>
    <n v="321062484441.47113"/>
    <n v="-3.49"/>
  </r>
  <r>
    <x v="158"/>
    <x v="158"/>
    <x v="6"/>
    <n v="379270126399.75623"/>
    <n v="632000000000"/>
    <n v="10415811"/>
    <n v="5.2258643029999998"/>
    <n v="91.110237440000006"/>
    <n v="30"/>
    <n v="309871174251.74005"/>
    <n v="22.4"/>
  </r>
  <r>
    <x v="158"/>
    <x v="158"/>
    <x v="7"/>
    <n v="395055622602.80182"/>
    <n v="575000000000"/>
    <n v="10486941"/>
    <n v="1.255436204"/>
    <n v="107.11175179999999"/>
    <n v="29"/>
    <n v="379270126399.75623"/>
    <n v="4.16"/>
  </r>
  <r>
    <x v="158"/>
    <x v="158"/>
    <x v="8"/>
    <n v="395067768310.45978"/>
    <n v="579000000000"/>
    <n v="10536632"/>
    <n v="-0.204061305"/>
    <n v="107.6197094"/>
    <n v="29"/>
    <n v="395055622602.80182"/>
    <n v="0"/>
  </r>
  <r>
    <x v="158"/>
    <x v="158"/>
    <x v="9"/>
    <n v="391520509394.23828"/>
    <n v="605000000000"/>
    <n v="10569709"/>
    <n v="1.0177963329999999"/>
    <n v="105.9674923"/>
    <n v="27"/>
    <n v="395067768310.45978"/>
    <n v="-0.9"/>
  </r>
  <r>
    <x v="159"/>
    <x v="159"/>
    <x v="0"/>
    <n v="3640996767.0180011"/>
    <n v="3908217914"/>
    <n v="1142813"/>
    <n v="1.7042580599999999"/>
    <n v="88.262094399999995"/>
    <n v="120"/>
    <m/>
    <m/>
  </r>
  <r>
    <x v="159"/>
    <x v="159"/>
    <x v="1"/>
    <n v="3432712800.6179996"/>
    <n v="3722306117"/>
    <n v="1149507"/>
    <n v="2.9491682109999999"/>
    <n v="89.358487440000005"/>
    <n v="124"/>
    <n v="3640996767.0180011"/>
    <n v="-5.72"/>
  </r>
  <r>
    <x v="159"/>
    <x v="159"/>
    <x v="2"/>
    <n v="3602001314.8820009"/>
    <n v="4462640651"/>
    <n v="1158195"/>
    <n v="3.5209534599999999"/>
    <n v="86.880142030000002"/>
    <n v="126"/>
    <n v="3432712800.6179996"/>
    <n v="4.93"/>
  </r>
  <r>
    <x v="159"/>
    <x v="159"/>
    <x v="3"/>
    <n v="3684876002.5959997"/>
    <n v="4643751059"/>
    <n v="1168929"/>
    <n v="6.5395655999999996E-2"/>
    <n v="85.492776820000003"/>
    <n v="123"/>
    <n v="3602001314.8820009"/>
    <n v="2.2999999999999998"/>
  </r>
  <r>
    <x v="159"/>
    <x v="159"/>
    <x v="4"/>
    <n v="4003273202.5799994"/>
    <n v="4617018959"/>
    <n v="1179874"/>
    <n v="6.4318688870000003"/>
    <n v="86.640794850000006"/>
    <n v="122"/>
    <n v="3684876002.5959997"/>
    <n v="8.64"/>
  </r>
  <r>
    <x v="159"/>
    <x v="159"/>
    <x v="5"/>
    <n v="3504227883.8399997"/>
    <n v="4134677810"/>
    <n v="1192729"/>
    <n v="-2.9518345340000001"/>
    <n v="84.014018840000006"/>
    <n v="121"/>
    <n v="4003273202.5799994"/>
    <n v="-12.47"/>
  </r>
  <r>
    <x v="159"/>
    <x v="159"/>
    <x v="6"/>
    <n v="4136937620.8200006"/>
    <n v="4807069277"/>
    <n v="1206593"/>
    <n v="4.2362191359999999"/>
    <n v="89.931387490000006"/>
    <n v="123"/>
    <n v="3504227883.8399997"/>
    <n v="18.059999999999999"/>
  </r>
  <r>
    <x v="159"/>
    <x v="159"/>
    <x v="7"/>
    <n v="3981194547.6799994"/>
    <n v="4746660274"/>
    <n v="1218917"/>
    <n v="0.38607083599999997"/>
    <n v="92.571587129999998"/>
    <n v="122"/>
    <n v="4136937620.8200006"/>
    <n v="-3.76"/>
  </r>
  <r>
    <x v="159"/>
    <x v="159"/>
    <x v="8"/>
    <n v="4191203418.2399983"/>
    <n v="4621191262"/>
    <n v="1230506"/>
    <n v="3.5325766280000002"/>
    <n v="99.724611080000003"/>
    <n v="120"/>
    <n v="3981194547.6799994"/>
    <n v="5.28"/>
  </r>
  <r>
    <x v="160"/>
    <x v="160"/>
    <x v="0"/>
    <n v="951481569.2839998"/>
    <n v="1432403352"/>
    <n v="93419"/>
    <n v="8.9140088750000004"/>
    <n v="187.47501249999999"/>
    <n v="142"/>
    <m/>
    <m/>
  </r>
  <r>
    <x v="160"/>
    <x v="160"/>
    <x v="1"/>
    <n v="967753095.06400037"/>
    <n v="1568513348"/>
    <n v="94677"/>
    <n v="12.11752725"/>
    <n v="180.8661884"/>
    <n v="143"/>
    <n v="951481569.2839998"/>
    <n v="1.71"/>
  </r>
  <r>
    <x v="160"/>
    <x v="160"/>
    <x v="2"/>
    <n v="6321027057.2050009"/>
    <n v="1675370641"/>
    <n v="95843"/>
    <n v="6.9541621879999997"/>
    <n v="197.44223640000001"/>
    <n v="111"/>
    <n v="967753095.06400037"/>
    <n v="553.16999999999996"/>
  </r>
  <r>
    <x v="160"/>
    <x v="160"/>
    <x v="3"/>
    <n v="1699770495.1439993"/>
    <n v="1784313927"/>
    <n v="96762"/>
    <n v="4.9394727229999997"/>
    <n v="185.70753719999999"/>
    <n v="137"/>
    <n v="6321027057.2050009"/>
    <n v="-73.11"/>
  </r>
  <r>
    <x v="160"/>
    <x v="160"/>
    <x v="4"/>
    <n v="1648165120.2250006"/>
    <n v="1868690097"/>
    <n v="97625"/>
    <n v="5.5142920740000001"/>
    <n v="173.40784690000001"/>
    <n v="138"/>
    <n v="1699770495.1439993"/>
    <n v="-3.04"/>
  </r>
  <r>
    <x v="160"/>
    <x v="160"/>
    <x v="5"/>
    <n v="1922262317.7450001"/>
    <n v="1382551752"/>
    <n v="98462"/>
    <n v="-11.73986083"/>
    <n v="153.48333160000001"/>
    <n v="129"/>
    <n v="1648165120.2250006"/>
    <n v="16.63"/>
  </r>
  <r>
    <x v="160"/>
    <x v="160"/>
    <x v="6"/>
    <n v="1267741426.9699993"/>
    <n v="1487173795"/>
    <n v="99258"/>
    <n v="0.55228163100000005"/>
    <n v="183.770815"/>
    <n v="138"/>
    <n v="1922262317.7450001"/>
    <n v="-34.049999999999997"/>
  </r>
  <r>
    <x v="160"/>
    <x v="160"/>
    <x v="7"/>
    <n v="1210595742.9749994"/>
    <n v="1999888599"/>
    <n v="119878"/>
    <n v="9.8804836639999998"/>
    <n v="191.57884390000001"/>
    <n v="135"/>
    <n v="1267741426.9699993"/>
    <n v="-4.51"/>
  </r>
  <r>
    <x v="160"/>
    <x v="160"/>
    <x v="8"/>
    <n v="1096199753.224"/>
    <n v="2171547935"/>
    <n v="119773"/>
    <n v="5.1798099669999997"/>
    <n v="183.8421166"/>
    <n v="133"/>
    <n v="1210595742.9749994"/>
    <n v="-9.4499999999999993"/>
  </r>
  <r>
    <x v="160"/>
    <x v="160"/>
    <x v="9"/>
    <n v="1189084076.8579998"/>
    <n v="2228608684"/>
    <n v="121354"/>
    <n v="3.3466742900000002"/>
    <n v="175.8729826"/>
    <n v="119"/>
    <n v="1096199753.224"/>
    <n v="8.4700000000000006"/>
  </r>
  <r>
    <x v="161"/>
    <x v="161"/>
    <x v="0"/>
    <n v="1585646347.9559996"/>
    <n v="5755457836"/>
    <n v="7071502"/>
    <n v="5.4680413809999999"/>
    <n v="69.128137879999997"/>
    <n v="133"/>
    <m/>
    <m/>
  </r>
  <r>
    <x v="161"/>
    <x v="161"/>
    <x v="1"/>
    <n v="1603978737.3679996"/>
    <n v="6071167584"/>
    <n v="7200884"/>
    <n v="4.214903874"/>
    <n v="66.445040980000002"/>
    <n v="135"/>
    <n v="1585646347.9559996"/>
    <n v="1.1599999999999999"/>
  </r>
  <r>
    <x v="161"/>
    <x v="161"/>
    <x v="2"/>
    <n v="1734114022.4220004"/>
    <n v="6387424240"/>
    <n v="7324386"/>
    <n v="4.0079125959999997"/>
    <n v="58.208860250000001"/>
    <n v="136"/>
    <n v="1603978737.3679996"/>
    <n v="8.11"/>
  </r>
  <r>
    <x v="161"/>
    <x v="161"/>
    <x v="3"/>
    <n v="2046437924.8290012"/>
    <n v="7029215766"/>
    <n v="7458206"/>
    <n v="4.7951833309999996"/>
    <n v="57.573738849999998"/>
    <n v="130"/>
    <n v="1734114022.4220004"/>
    <n v="18.010000000000002"/>
  </r>
  <r>
    <x v="161"/>
    <x v="161"/>
    <x v="4"/>
    <n v="2021730859.8889992"/>
    <n v="6992942459"/>
    <n v="7619925"/>
    <n v="4.9194926050000003"/>
    <n v="56.339850069999997"/>
    <n v="130"/>
    <n v="2046437924.8290012"/>
    <n v="-1.21"/>
  </r>
  <r>
    <x v="161"/>
    <x v="161"/>
    <x v="5"/>
    <n v="1957380403.9180002"/>
    <n v="7486031562"/>
    <n v="7788054"/>
    <n v="2.159001312"/>
    <n v="55.065951400000003"/>
    <n v="128"/>
    <n v="2021730859.8889992"/>
    <n v="-3.18"/>
  </r>
  <r>
    <x v="161"/>
    <x v="161"/>
    <x v="6"/>
    <n v="2119323098.674"/>
    <n v="8541668141"/>
    <n v="7936176"/>
    <n v="5.1356292909999999"/>
    <n v="56.37755808"/>
    <n v="132"/>
    <n v="1957380403.9180002"/>
    <n v="8.27"/>
  </r>
  <r>
    <x v="161"/>
    <x v="161"/>
    <x v="7"/>
    <n v="2696521411.3919988"/>
    <n v="8646453099"/>
    <n v="8068616"/>
    <n v="6.2944369199999999"/>
    <n v="61.575092400000003"/>
    <n v="128"/>
    <n v="2119323098.674"/>
    <n v="27.24"/>
  </r>
  <r>
    <x v="161"/>
    <x v="161"/>
    <x v="8"/>
    <n v="2911116870.5609994"/>
    <n v="9723300577"/>
    <n v="8223850"/>
    <n v="6.1976296939999997"/>
    <n v="59.929177699999997"/>
    <n v="124"/>
    <n v="2696521411.3919988"/>
    <n v="7.96"/>
  </r>
  <r>
    <x v="161"/>
    <x v="161"/>
    <x v="9"/>
    <n v="2744614407.4740009"/>
    <n v="10643440332"/>
    <n v="8406558"/>
    <n v="6.526513768"/>
    <m/>
    <n v="108"/>
    <n v="2911116870.5609994"/>
    <n v="-5.72"/>
  </r>
  <r>
    <x v="162"/>
    <x v="162"/>
    <x v="0"/>
    <n v="428618751550.69983"/>
    <n v="401000000000"/>
    <n v="70540795"/>
    <n v="3.134047249"/>
    <n v="124.83966220000001"/>
    <n v="18"/>
    <m/>
    <m/>
  </r>
  <r>
    <x v="162"/>
    <x v="162"/>
    <x v="1"/>
    <n v="430774591000.03961"/>
    <n v="413000000000"/>
    <n v="70859841"/>
    <n v="3.4351577170000001"/>
    <n v="120.57522729999999"/>
    <n v="18"/>
    <n v="428618751550.69983"/>
    <n v="0.5"/>
  </r>
  <r>
    <x v="162"/>
    <x v="162"/>
    <x v="2"/>
    <n v="473268075385.69971"/>
    <n v="456000000000"/>
    <n v="71160187"/>
    <n v="4.1776810319999997"/>
    <n v="120.8914274"/>
    <n v="18"/>
    <n v="430774591000.03961"/>
    <n v="9.86"/>
  </r>
  <r>
    <x v="162"/>
    <x v="162"/>
    <x v="3"/>
    <n v="504970308230.45978"/>
    <n v="507000000000"/>
    <n v="71376079"/>
    <n v="4.2228702870000001"/>
    <n v="120.8418647"/>
    <n v="21"/>
    <n v="473268075385.69971"/>
    <n v="6.7"/>
  </r>
  <r>
    <x v="162"/>
    <x v="162"/>
    <x v="4"/>
    <n v="492532100556.93787"/>
    <n v="544000000000"/>
    <n v="71522271"/>
    <n v="2.1145577960000002"/>
    <n v="109.6895147"/>
    <n v="22"/>
    <n v="504970308230.45978"/>
    <n v="-2.46"/>
  </r>
  <r>
    <x v="162"/>
    <x v="162"/>
    <x v="5"/>
    <n v="463267704680.10144"/>
    <n v="500000000000"/>
    <n v="71641484"/>
    <n v="-6.09306313"/>
    <n v="97.662441939999994"/>
    <n v="22"/>
    <n v="492532100556.93787"/>
    <n v="-5.94"/>
  </r>
  <r>
    <x v="162"/>
    <x v="162"/>
    <x v="6"/>
    <n v="544011570993.78595"/>
    <n v="506000000000"/>
    <n v="71727332"/>
    <n v="1.558582321"/>
    <n v="117.1314722"/>
    <n v="24"/>
    <n v="463267704680.10144"/>
    <n v="17.43"/>
  </r>
  <r>
    <x v="162"/>
    <x v="162"/>
    <x v="7"/>
    <n v="574848486784.38379"/>
    <n v="496000000000"/>
    <n v="71735329"/>
    <n v="2.6378421360000002"/>
    <n v="132.81345830000001"/>
    <n v="24"/>
    <n v="544011570993.78595"/>
    <n v="5.67"/>
  </r>
  <r>
    <x v="162"/>
    <x v="162"/>
    <x v="8"/>
    <n v="570148164057.17065"/>
    <n v="517000000000"/>
    <n v="71702435"/>
    <n v="2.2488343799999999"/>
    <n v="128.79235969999999"/>
    <n v="23"/>
    <n v="574848486784.38379"/>
    <n v="-0.82"/>
  </r>
  <r>
    <x v="162"/>
    <x v="162"/>
    <x v="9"/>
    <n v="601518806706.33984"/>
    <n v="529000000000"/>
    <n v="71668011"/>
    <n v="2.9485998659999999"/>
    <n v="135.7249358"/>
    <n v="21"/>
    <n v="570148164057.17065"/>
    <n v="5.5"/>
  </r>
  <r>
    <x v="163"/>
    <x v="163"/>
    <x v="0"/>
    <n v="1795209722"/>
    <n v="8271431485"/>
    <n v="8643840"/>
    <n v="6.0193033180000004"/>
    <n v="49.937816069999997"/>
    <n v="132"/>
    <m/>
    <m/>
  </r>
  <r>
    <x v="163"/>
    <x v="163"/>
    <x v="1"/>
    <n v="1798640624"/>
    <n v="6992416097"/>
    <n v="8865631"/>
    <n v="6.9"/>
    <n v="55.724644689999998"/>
    <n v="134"/>
    <n v="1795209722"/>
    <n v="0.19"/>
  </r>
  <r>
    <x v="163"/>
    <x v="163"/>
    <x v="2"/>
    <n v="1967651902"/>
    <n v="7536402853"/>
    <n v="9085946"/>
    <n v="7.1000004189999997"/>
    <n v="53.786104610000002"/>
    <n v="133"/>
    <n v="1798640624"/>
    <n v="9.4"/>
  </r>
  <r>
    <x v="163"/>
    <x v="163"/>
    <x v="3"/>
    <n v="2147716086"/>
    <n v="7764999999"/>
    <n v="9307333"/>
    <n v="7.5999988900000002"/>
    <n v="55.846111409999999"/>
    <n v="129"/>
    <n v="1967651902"/>
    <n v="9.15"/>
  </r>
  <r>
    <x v="163"/>
    <x v="163"/>
    <x v="4"/>
    <n v="1783946246"/>
    <n v="8300813599"/>
    <n v="9529966"/>
    <n v="7.4000001629999996"/>
    <n v="56.045015909999996"/>
    <n v="135"/>
    <n v="2147716086"/>
    <n v="-16.940000000000001"/>
  </r>
  <r>
    <x v="163"/>
    <x v="163"/>
    <x v="5"/>
    <n v="1418269868"/>
    <n v="8133963551"/>
    <n v="9749310"/>
    <n v="4.4000011160000003"/>
    <n v="55.749104019999997"/>
    <n v="135"/>
    <n v="1783946246"/>
    <n v="-20.5"/>
  </r>
  <r>
    <x v="163"/>
    <x v="163"/>
    <x v="6"/>
    <n v="2953599992"/>
    <n v="8937805347"/>
    <n v="9966908"/>
    <n v="9.3999995500000004"/>
    <n v="71.825937440000004"/>
    <n v="129"/>
    <n v="1418269868"/>
    <n v="108.25"/>
  </r>
  <r>
    <x v="163"/>
    <x v="163"/>
    <x v="7"/>
    <n v="3338120940"/>
    <n v="10713525200"/>
    <n v="10182222"/>
    <n v="8.0000003379999995"/>
    <n v="65.435511590000004"/>
    <n v="125"/>
    <n v="2953599992"/>
    <n v="13.02"/>
  </r>
  <r>
    <x v="163"/>
    <x v="163"/>
    <x v="8"/>
    <n v="2521170440"/>
    <n v="12244169293"/>
    <n v="10389799"/>
    <n v="8.2999992169999999"/>
    <n v="65.634701039999996"/>
    <n v="125"/>
    <n v="3338120940"/>
    <n v="-24.47"/>
  </r>
  <r>
    <x v="164"/>
    <x v="164"/>
    <x v="2"/>
    <n v="48348525.520000011"/>
    <n v="1584878400"/>
    <n v="1251703"/>
    <n v="-3.1824152250000002"/>
    <n v="58.634750779999997"/>
    <n v="168"/>
    <m/>
    <m/>
  </r>
  <r>
    <x v="164"/>
    <x v="164"/>
    <x v="3"/>
    <n v="46184774.720000014"/>
    <n v="1555988600"/>
    <n v="1275959"/>
    <n v="-0.46650217100000002"/>
    <n v="64.819183120000005"/>
    <n v="164"/>
    <n v="48348525.520000011"/>
    <n v="-4.4800000000000004"/>
  </r>
  <r>
    <x v="164"/>
    <x v="164"/>
    <x v="4"/>
    <n v="282845969.09999996"/>
    <n v="2032550400"/>
    <n v="1300945"/>
    <n v="24.21288401"/>
    <n v="70.614244060000004"/>
    <n v="149"/>
    <n v="46184774.720000014"/>
    <n v="512.41999999999996"/>
  </r>
  <r>
    <x v="164"/>
    <x v="164"/>
    <x v="5"/>
    <n v="499778477.47999996"/>
    <n v="2162619200"/>
    <n v="1326053"/>
    <n v="31.725741670000001"/>
    <n v="84.750311100000005"/>
    <n v="142"/>
    <n v="282845969.09999996"/>
    <n v="76.7"/>
  </r>
  <r>
    <x v="164"/>
    <x v="164"/>
    <x v="6"/>
    <n v="916606389.10000002"/>
    <n v="3625024300"/>
    <n v="1350139"/>
    <n v="5.3698011939999999"/>
    <n v="99.860000940000006"/>
    <n v="141"/>
    <n v="499778477.47999996"/>
    <n v="83.4"/>
  </r>
  <r>
    <x v="164"/>
    <x v="164"/>
    <x v="7"/>
    <n v="943547572.11999977"/>
    <n v="3208599900"/>
    <n v="1369295"/>
    <n v="-20.522480229999999"/>
    <n v="97.621108820000003"/>
    <n v="138"/>
    <n v="916606389.10000002"/>
    <n v="2.94"/>
  </r>
  <r>
    <x v="164"/>
    <x v="164"/>
    <x v="8"/>
    <n v="327444151.8599999"/>
    <n v="2079767200"/>
    <n v="1384286"/>
    <n v="-18.135904910000001"/>
    <n v="89.304649100000006"/>
    <n v="142"/>
    <n v="943547572.11999977"/>
    <n v="-65.3"/>
  </r>
  <r>
    <x v="165"/>
    <x v="165"/>
    <x v="2"/>
    <n v="66550841.540000029"/>
    <n v="459976847.10000002"/>
    <n v="105356"/>
    <n v="3.2023197620000001"/>
    <n v="88.04349259"/>
    <n v="165"/>
    <m/>
    <m/>
  </r>
  <r>
    <x v="165"/>
    <x v="165"/>
    <x v="3"/>
    <n v="49262103.686999992"/>
    <n v="493530766.89999998"/>
    <n v="105567"/>
    <n v="0.52782808299999995"/>
    <n v="86.103970270000005"/>
    <n v="163"/>
    <n v="66550841.540000029"/>
    <n v="-25.98"/>
  </r>
  <r>
    <x v="165"/>
    <x v="165"/>
    <x v="4"/>
    <n v="84947376.986999989"/>
    <n v="506031247.60000002"/>
    <n v="105669"/>
    <n v="-0.28521078399999999"/>
    <n v="88.045385530000004"/>
    <n v="157"/>
    <n v="49262103.686999992"/>
    <n v="72.44"/>
  </r>
  <r>
    <x v="165"/>
    <x v="165"/>
    <x v="5"/>
    <n v="33925817.053999998"/>
    <n v="506571486.60000002"/>
    <n v="105704"/>
    <n v="1.806187153"/>
    <n v="81.849496680000001"/>
    <n v="159"/>
    <n v="84947376.986999989"/>
    <n v="-60.06"/>
  </r>
  <r>
    <x v="165"/>
    <x v="165"/>
    <x v="6"/>
    <n v="25585737.769000009"/>
    <n v="519306339.30000001"/>
    <n v="105490"/>
    <n v="-0.93491989200000003"/>
    <n v="68.546151750000007"/>
    <n v="161"/>
    <n v="33925817.053999998"/>
    <n v="-24.58"/>
  </r>
  <r>
    <x v="165"/>
    <x v="165"/>
    <x v="7"/>
    <n v="123728886.55800001"/>
    <n v="556514556.39999998"/>
    <n v="105042"/>
    <n v="-2.1285487650000001"/>
    <n v="70.127271829999998"/>
    <n v="149"/>
    <n v="25585737.769000009"/>
    <n v="383.59"/>
  </r>
  <r>
    <x v="165"/>
    <x v="165"/>
    <x v="8"/>
    <n v="23867607.037"/>
    <n v="591139733.60000002"/>
    <n v="104597"/>
    <n v="2.7901471550000001"/>
    <n v="79.623925700000001"/>
    <n v="157"/>
    <n v="123728886.55800001"/>
    <n v="-80.709999999999994"/>
  </r>
  <r>
    <x v="166"/>
    <x v="166"/>
    <x v="0"/>
    <n v="21495559098.030998"/>
    <n v="26841141793"/>
    <n v="1349667"/>
    <n v="-0.40628328899999999"/>
    <m/>
    <n v="76"/>
    <m/>
    <m/>
  </r>
  <r>
    <x v="166"/>
    <x v="166"/>
    <x v="1"/>
    <n v="15217264231.577995"/>
    <n v="23624322193"/>
    <n v="1353895"/>
    <n v="-7.5363630539999997"/>
    <m/>
    <n v="85"/>
    <n v="21495559098.030998"/>
    <n v="-29.21"/>
  </r>
  <r>
    <x v="166"/>
    <x v="166"/>
    <x v="2"/>
    <n v="17481752259.907009"/>
    <n v="23830750901"/>
    <n v="1356633"/>
    <n v="-4.8727494690000004"/>
    <m/>
    <n v="83"/>
    <n v="15217264231.577995"/>
    <n v="14.88"/>
  </r>
  <r>
    <x v="166"/>
    <x v="166"/>
    <x v="3"/>
    <n v="21060526001.349003"/>
    <n v="23883058083"/>
    <n v="1359193"/>
    <n v="-0.94544970100000003"/>
    <m/>
    <n v="82"/>
    <n v="17481752259.907009"/>
    <n v="20.47"/>
  </r>
  <r>
    <x v="166"/>
    <x v="166"/>
    <x v="4"/>
    <n v="14383778499.701"/>
    <n v="23477745792"/>
    <n v="1363985"/>
    <n v="0.46773452900000001"/>
    <m/>
    <n v="89"/>
    <n v="21060526001.349003"/>
    <n v="-31.7"/>
  </r>
  <r>
    <x v="166"/>
    <x v="166"/>
    <x v="5"/>
    <n v="11038756455.573"/>
    <n v="20888515184"/>
    <n v="1366725"/>
    <n v="-8.7887981780000004"/>
    <m/>
    <n v="92"/>
    <n v="14383778499.701"/>
    <n v="-23.26"/>
  </r>
  <r>
    <x v="166"/>
    <x v="166"/>
    <x v="6"/>
    <n v="17240457249.831009"/>
    <n v="24222963263"/>
    <n v="1367558"/>
    <n v="-0.71674062599999999"/>
    <m/>
    <n v="88"/>
    <n v="11038756455.573"/>
    <n v="56.18"/>
  </r>
  <r>
    <x v="166"/>
    <x v="166"/>
    <x v="7"/>
    <n v="23058009157.948006"/>
    <n v="28341164301"/>
    <n v="1365805"/>
    <n v="0.86126082699999995"/>
    <m/>
    <n v="82"/>
    <n v="17240457249.831009"/>
    <n v="33.74"/>
  </r>
  <r>
    <x v="166"/>
    <x v="166"/>
    <x v="8"/>
    <n v="15727069045.130007"/>
    <n v="25036993423"/>
    <n v="1367510"/>
    <n v="1.466459473"/>
    <m/>
    <n v="91"/>
    <n v="23058009157.948006"/>
    <n v="-31.79"/>
  </r>
  <r>
    <x v="166"/>
    <x v="166"/>
    <x v="9"/>
    <n v="15821411477.207998"/>
    <n v="25633544529"/>
    <n v="1368333"/>
    <n v="2.5092081400000001"/>
    <m/>
    <n v="87"/>
    <n v="15727069045.130007"/>
    <n v="0.6"/>
  </r>
  <r>
    <x v="167"/>
    <x v="167"/>
    <x v="0"/>
    <n v="28146975173"/>
    <n v="45779494042"/>
    <n v="11402264"/>
    <n v="0.96783420600000003"/>
    <n v="87.24853066"/>
    <n v="65"/>
    <m/>
    <m/>
  </r>
  <r>
    <x v="167"/>
    <x v="167"/>
    <x v="1"/>
    <n v="27150261905"/>
    <n v="44360072680"/>
    <n v="11528674"/>
    <n v="1.1172319639999999"/>
    <n v="87.092664360000001"/>
    <n v="69"/>
    <n v="28146975173"/>
    <n v="-3.54"/>
  </r>
  <r>
    <x v="167"/>
    <x v="167"/>
    <x v="2"/>
    <n v="28399632672.991985"/>
    <n v="42163530591"/>
    <n v="11650498"/>
    <n v="2.2526143759999999"/>
    <n v="95.809197979999993"/>
    <n v="70"/>
    <n v="27150261905"/>
    <n v="4.5999999999999996"/>
  </r>
  <r>
    <x v="167"/>
    <x v="167"/>
    <x v="3"/>
    <n v="31042457820.957008"/>
    <n v="42686504460"/>
    <n v="11765514"/>
    <n v="2.6069696539999998"/>
    <n v="103.8718243"/>
    <n v="71"/>
    <n v="28399632672.991985"/>
    <n v="9.31"/>
  </r>
  <r>
    <x v="167"/>
    <x v="167"/>
    <x v="4"/>
    <n v="29888174981.736"/>
    <n v="41905642419"/>
    <n v="11875081"/>
    <n v="1.5500930500000001"/>
    <n v="102.33261469999999"/>
    <n v="69"/>
    <n v="31042457820.957008"/>
    <n v="-3.72"/>
  </r>
  <r>
    <x v="167"/>
    <x v="167"/>
    <x v="5"/>
    <n v="27721663624.980003"/>
    <n v="42491780918"/>
    <n v="11974057"/>
    <n v="-8.9751262290000007"/>
    <n v="84.333329710000001"/>
    <n v="69"/>
    <n v="29888174981.736"/>
    <n v="-7.25"/>
  </r>
  <r>
    <x v="167"/>
    <x v="167"/>
    <x v="6"/>
    <n v="33390397283.083019"/>
    <n v="47073234359"/>
    <n v="12048622"/>
    <n v="4.7360364820000003"/>
    <n v="93.633414070000001"/>
    <n v="70"/>
    <n v="27721663624.980003"/>
    <n v="20.45"/>
  </r>
  <r>
    <x v="167"/>
    <x v="167"/>
    <x v="7"/>
    <n v="37090769188.297981"/>
    <n v="44929920093"/>
    <n v="12119334"/>
    <n v="2.7522876100000002"/>
    <n v="116.0957944"/>
    <n v="68"/>
    <n v="33390397283.083019"/>
    <n v="11.08"/>
  </r>
  <r>
    <x v="167"/>
    <x v="167"/>
    <x v="8"/>
    <n v="40079311245.707001"/>
    <n v="48205328303"/>
    <n v="12200431"/>
    <n v="0.184015548"/>
    <n v="112.12885799999999"/>
    <n v="67"/>
    <n v="37090769188.297981"/>
    <n v="8.06"/>
  </r>
  <r>
    <x v="167"/>
    <x v="167"/>
    <x v="9"/>
    <n v="39954315042.915001"/>
    <n v="51412122480"/>
    <n v="12277109"/>
    <n v="1.61444565"/>
    <n v="106.2985492"/>
    <n v="63"/>
    <n v="40079311245.707001"/>
    <n v="-0.31"/>
  </r>
  <r>
    <x v="168"/>
    <x v="168"/>
    <x v="0"/>
    <n v="301964227532"/>
    <n v="865000000000"/>
    <n v="78218479"/>
    <n v="5.8055738659999996"/>
    <n v="51.874925259999998"/>
    <n v="26"/>
    <m/>
    <m/>
  </r>
  <r>
    <x v="168"/>
    <x v="168"/>
    <x v="1"/>
    <n v="298493998526"/>
    <n v="871000000000"/>
    <n v="79277962"/>
    <n v="3.3236650820000002"/>
    <n v="48.87018381"/>
    <n v="26"/>
    <n v="301964227532"/>
    <n v="-1.1499999999999999"/>
  </r>
  <r>
    <x v="168"/>
    <x v="168"/>
    <x v="2"/>
    <n v="328989238632"/>
    <n v="864000000000"/>
    <n v="80312698"/>
    <n v="7.8258573"/>
    <n v="56.13565852"/>
    <n v="27"/>
    <n v="298493998526"/>
    <n v="10.220000000000001"/>
  </r>
  <r>
    <x v="168"/>
    <x v="168"/>
    <x v="3"/>
    <n v="354337512576"/>
    <n v="788000000000"/>
    <n v="81407204"/>
    <n v="3.4681530610000002"/>
    <n v="62.82513239"/>
    <n v="27"/>
    <n v="328989238632"/>
    <n v="7.7"/>
  </r>
  <r>
    <x v="168"/>
    <x v="168"/>
    <x v="4"/>
    <n v="361665443404"/>
    <n v="776000000000"/>
    <n v="82579440"/>
    <n v="1.301623655"/>
    <n v="62.578458929999996"/>
    <n v="26"/>
    <n v="354337512576"/>
    <n v="2.0699999999999998"/>
  </r>
  <r>
    <x v="168"/>
    <x v="168"/>
    <x v="5"/>
    <n v="339315879554"/>
    <n v="734000000000"/>
    <n v="83384680"/>
    <n v="1.8030624710000001"/>
    <n v="60.389853119999998"/>
    <n v="27"/>
    <n v="361665443404"/>
    <n v="-6.18"/>
  </r>
  <r>
    <x v="168"/>
    <x v="168"/>
    <x v="6"/>
    <n v="450428916076"/>
    <n v="840000000000"/>
    <n v="84147318"/>
    <n v="11.811094450000001"/>
    <n v="69.60889761"/>
    <n v="27"/>
    <n v="339315879554"/>
    <n v="32.75"/>
  </r>
  <r>
    <x v="168"/>
    <x v="168"/>
    <x v="7"/>
    <n v="508339495326"/>
    <n v="926000000000"/>
    <n v="84979913"/>
    <n v="5.4412251129999998"/>
    <n v="79.898272230000003"/>
    <n v="25"/>
    <n v="450428916076"/>
    <n v="12.86"/>
  </r>
  <r>
    <x v="168"/>
    <x v="168"/>
    <x v="8"/>
    <n v="511254858022"/>
    <n v="1140000000000"/>
    <n v="85325965"/>
    <n v="5.0451236980000003"/>
    <n v="65.683208469999997"/>
    <n v="25"/>
    <n v="508339495326"/>
    <n v="0.56999999999999995"/>
  </r>
  <r>
    <x v="168"/>
    <x v="168"/>
    <x v="9"/>
    <n v="523556261762"/>
    <n v="1360000000000"/>
    <n v="85518661"/>
    <n v="3.3276230889999998"/>
    <n v="54.598806119999999"/>
    <n v="23"/>
    <n v="511254858022"/>
    <n v="2.41"/>
  </r>
  <r>
    <x v="169"/>
    <x v="169"/>
    <x v="0"/>
    <n v="11708461036"/>
    <n v="47413919817"/>
    <n v="52020962"/>
    <n v="6.1606287740000001"/>
    <n v="40.757680880000002"/>
    <n v="93"/>
    <m/>
    <m/>
  </r>
  <r>
    <x v="169"/>
    <x v="169"/>
    <x v="1"/>
    <n v="9483849163"/>
    <n v="49774409374"/>
    <n v="53824013"/>
    <n v="6.8671161959999996"/>
    <n v="35.420470399999999"/>
    <n v="99"/>
    <n v="11708461036"/>
    <n v="-19"/>
  </r>
  <r>
    <x v="169"/>
    <x v="169"/>
    <x v="2"/>
    <n v="8356218125.541996"/>
    <n v="53274884533"/>
    <n v="55652890"/>
    <n v="6.7272699679999999"/>
    <n v="33.112591989999999"/>
    <n v="105"/>
    <n v="9483849163"/>
    <n v="-11.89"/>
  </r>
  <r>
    <x v="169"/>
    <x v="169"/>
    <x v="3"/>
    <n v="7338424877.0760031"/>
    <n v="57003712892"/>
    <n v="57437145"/>
    <n v="5.5026759939999996"/>
    <n v="32.642609899999997"/>
    <n v="107"/>
    <n v="8356218125.541996"/>
    <n v="-12.18"/>
  </r>
  <r>
    <x v="169"/>
    <x v="169"/>
    <x v="4"/>
    <n v="10007529762.367002"/>
    <n v="61026731926"/>
    <n v="59174891"/>
    <n v="5.8"/>
    <n v="33.018589249999998"/>
    <n v="100"/>
    <n v="7338424877.0760031"/>
    <n v="36.369999999999997"/>
  </r>
  <r>
    <x v="169"/>
    <x v="169"/>
    <x v="5"/>
    <n v="12152820260.762005"/>
    <n v="66068737786"/>
    <n v="60972798"/>
    <n v="1.991964606"/>
    <n v="27.963015200000001"/>
    <n v="90"/>
    <n v="10007529762.367002"/>
    <n v="21.44"/>
  </r>
  <r>
    <x v="169"/>
    <x v="169"/>
    <x v="6"/>
    <n v="12781725773.488997"/>
    <n v="70655628148"/>
    <n v="62830412"/>
    <n v="4.3213842949999997"/>
    <n v="29.915184010000001"/>
    <n v="97"/>
    <n v="12152820260.762005"/>
    <n v="5.17"/>
  </r>
  <r>
    <x v="169"/>
    <x v="169"/>
    <x v="7"/>
    <n v="13649692221.806997"/>
    <n v="75749121847"/>
    <n v="64711821"/>
    <n v="4.5660057639999998"/>
    <n v="35.00345171"/>
    <n v="98"/>
    <n v="12781725773.488997"/>
    <n v="6.79"/>
  </r>
  <r>
    <x v="169"/>
    <x v="169"/>
    <x v="8"/>
    <n v="14548657575.740002"/>
    <n v="79030935638"/>
    <n v="66617606"/>
    <n v="5.0695235319999998"/>
    <n v="38.212034809999999"/>
    <n v="93"/>
    <n v="13649692221.806997"/>
    <n v="6.59"/>
  </r>
  <r>
    <x v="169"/>
    <x v="169"/>
    <x v="9"/>
    <n v="17404055807.890991"/>
    <n v="79235713445"/>
    <n v="68560157"/>
    <n v="5.5263138310000004"/>
    <n v="41.308106860000002"/>
    <n v="82"/>
    <n v="14548657575.740002"/>
    <n v="19.63"/>
  </r>
  <r>
    <x v="170"/>
    <x v="170"/>
    <x v="0"/>
    <n v="4534017371"/>
    <n v="32387183730"/>
    <n v="37531446"/>
    <n v="5.1878598599999997"/>
    <n v="37.68929833"/>
    <n v="112"/>
    <m/>
    <m/>
  </r>
  <r>
    <x v="170"/>
    <x v="170"/>
    <x v="1"/>
    <n v="4964626831"/>
    <n v="29203988696"/>
    <n v="38799152"/>
    <n v="4.781000293"/>
    <n v="31.20936202"/>
    <n v="113"/>
    <n v="4534017371"/>
    <n v="9.5"/>
  </r>
  <r>
    <x v="170"/>
    <x v="170"/>
    <x v="2"/>
    <n v="5802931359.5199995"/>
    <n v="30744473841"/>
    <n v="40177388"/>
    <n v="3.1314055170000001"/>
    <n v="36.837052929999999"/>
    <n v="115"/>
    <n v="4964626831"/>
    <n v="16.89"/>
  </r>
  <r>
    <x v="170"/>
    <x v="170"/>
    <x v="3"/>
    <n v="6174727152.4199982"/>
    <n v="32927025620"/>
    <n v="41565831"/>
    <n v="6.3039237830000001"/>
    <n v="36.638405599999999"/>
    <n v="114"/>
    <n v="5802931359.5199995"/>
    <n v="6.41"/>
  </r>
  <r>
    <x v="170"/>
    <x v="170"/>
    <x v="4"/>
    <n v="7127569956.420002"/>
    <n v="35353061003"/>
    <n v="42999637"/>
    <n v="6.438745033"/>
    <n v="39.36105396"/>
    <n v="110"/>
    <n v="6174727152.4199982"/>
    <n v="15.43"/>
  </r>
  <r>
    <x v="170"/>
    <x v="170"/>
    <x v="5"/>
    <n v="8297916658"/>
    <n v="37600368242"/>
    <n v="44457152"/>
    <n v="2.951306422"/>
    <n v="37.000692389999998"/>
    <n v="103"/>
    <n v="7127569956.420002"/>
    <n v="16.420000000000002"/>
  </r>
  <r>
    <x v="170"/>
    <x v="170"/>
    <x v="6"/>
    <n v="7930634089.1000013"/>
    <n v="40529788749"/>
    <n v="45910930"/>
    <n v="3.5365803410000001"/>
    <n v="41.713630739999999"/>
    <n v="110"/>
    <n v="8297916658"/>
    <n v="-4.43"/>
  </r>
  <r>
    <x v="170"/>
    <x v="170"/>
    <x v="7"/>
    <n v="7154888803.3399973"/>
    <n v="45565333211"/>
    <n v="47312719"/>
    <n v="4.5880219220000003"/>
    <n v="34.505301930000002"/>
    <n v="115"/>
    <n v="7930634089.1000013"/>
    <n v="-9.7799999999999994"/>
  </r>
  <r>
    <x v="170"/>
    <x v="170"/>
    <x v="8"/>
    <n v="12610046572.680004"/>
    <n v="48768955863"/>
    <n v="48656601"/>
    <n v="5.3369729550000002"/>
    <n v="33.341696329999998"/>
    <n v="99"/>
    <n v="7154888803.3399973"/>
    <n v="76.239999999999995"/>
  </r>
  <r>
    <x v="170"/>
    <x v="170"/>
    <x v="9"/>
    <n v="16078688751.859993"/>
    <n v="53911907079"/>
    <n v="50015092"/>
    <n v="6.0555807589999997"/>
    <n v="42.652788909999998"/>
    <n v="86"/>
    <n v="12610046572.680004"/>
    <n v="27.51"/>
  </r>
  <r>
    <x v="171"/>
    <x v="171"/>
    <x v="0"/>
    <n v="76254079112"/>
    <n v="91030967789"/>
    <n v="45784896"/>
    <n v="-9.7729872130000004"/>
    <n v="107.8066163"/>
    <n v="48"/>
    <m/>
    <m/>
  </r>
  <r>
    <x v="171"/>
    <x v="171"/>
    <x v="1"/>
    <n v="72722064929.600082"/>
    <n v="93355869404"/>
    <n v="45616832"/>
    <n v="2.4409819449999999"/>
    <n v="105.5212049"/>
    <n v="47"/>
    <n v="76254079112"/>
    <n v="-4.63"/>
  </r>
  <r>
    <x v="171"/>
    <x v="171"/>
    <x v="2"/>
    <n v="86856782112.780014"/>
    <n v="112000000000"/>
    <n v="45436041"/>
    <n v="2.3599722810000001"/>
    <n v="104.0349829"/>
    <n v="48"/>
    <n v="72722064929.600082"/>
    <n v="19.440000000000001"/>
  </r>
  <r>
    <x v="171"/>
    <x v="171"/>
    <x v="3"/>
    <n v="94669359707.539963"/>
    <n v="131000000000"/>
    <n v="45208907"/>
    <n v="3.4883623400000001"/>
    <n v="99.19981507"/>
    <n v="48"/>
    <n v="86856782112.780014"/>
    <n v="8.99"/>
  </r>
  <r>
    <x v="171"/>
    <x v="171"/>
    <x v="4"/>
    <n v="100108804862.06003"/>
    <n v="154000000000"/>
    <n v="44957458"/>
    <n v="3.199503864"/>
    <n v="90.511234290000004"/>
    <n v="46"/>
    <n v="94669359707.539963"/>
    <n v="5.75"/>
  </r>
  <r>
    <x v="171"/>
    <x v="171"/>
    <x v="5"/>
    <n v="98461599165.120117"/>
    <n v="157000000000"/>
    <n v="44680014"/>
    <n v="-3.7528179399999999"/>
    <n v="79.156452380000005"/>
    <n v="43"/>
    <n v="100108804862.06003"/>
    <n v="-1.65"/>
  </r>
  <r>
    <x v="171"/>
    <x v="171"/>
    <x v="6"/>
    <n v="131740551020.78006"/>
    <n v="200000000000"/>
    <n v="44298640"/>
    <n v="3.4456206589999998"/>
    <n v="82.697961359999994"/>
    <n v="43"/>
    <n v="98461599165.120117"/>
    <n v="33.799999999999997"/>
  </r>
  <r>
    <x v="171"/>
    <x v="171"/>
    <x v="7"/>
    <n v="88886401187.240005"/>
    <n v="162000000000"/>
    <n v="41048766"/>
    <n v="-28.758584219999999"/>
    <n v="87.396513990000003"/>
    <n v="56"/>
    <n v="131740551020.78006"/>
    <n v="-32.53"/>
  </r>
  <r>
    <x v="171"/>
    <x v="171"/>
    <x v="8"/>
    <n v="72371078997.639969"/>
    <n v="181000000000"/>
    <n v="37732836"/>
    <n v="5.5347335500000003"/>
    <n v="77.509614189999994"/>
    <n v="56"/>
    <n v="88886401187.240005"/>
    <n v="-18.579999999999998"/>
  </r>
  <r>
    <x v="171"/>
    <x v="171"/>
    <x v="9"/>
    <n v="83466142090.919998"/>
    <n v="191000000000"/>
    <n v="37860221"/>
    <n v="3.2481180840000001"/>
    <n v="79.68846739"/>
    <n v="53"/>
    <n v="72371078997.639969"/>
    <n v="15.33"/>
  </r>
  <r>
    <x v="172"/>
    <x v="172"/>
    <x v="0"/>
    <n v="15339029128"/>
    <n v="57680327999"/>
    <n v="3368017"/>
    <n v="0.37074125800000002"/>
    <n v="45.328240809999997"/>
    <n v="88"/>
    <m/>
    <m/>
  </r>
  <r>
    <x v="172"/>
    <x v="172"/>
    <x v="1"/>
    <n v="13927104050"/>
    <n v="57480787465"/>
    <n v="3379283"/>
    <n v="1.6897982300000001"/>
    <n v="48.470535310000002"/>
    <n v="90"/>
    <n v="15339029128"/>
    <n v="-9.1999999999999993"/>
  </r>
  <r>
    <x v="172"/>
    <x v="172"/>
    <x v="2"/>
    <n v="15778774750"/>
    <n v="65006039810"/>
    <n v="3388438"/>
    <n v="1.7403764909999999"/>
    <n v="46.377963620000003"/>
    <n v="88"/>
    <n v="13927104050"/>
    <n v="13.3"/>
  </r>
  <r>
    <x v="172"/>
    <x v="172"/>
    <x v="3"/>
    <n v="15004289664"/>
    <n v="65344577416"/>
    <n v="3394534"/>
    <n v="0.16477760899999999"/>
    <n v="47.79134535"/>
    <n v="88"/>
    <n v="15778774750"/>
    <n v="-4.91"/>
  </r>
  <r>
    <x v="172"/>
    <x v="172"/>
    <x v="4"/>
    <n v="15360690882"/>
    <n v="62222324965"/>
    <n v="3397206"/>
    <n v="0.92835102800000002"/>
    <n v="49.74486607"/>
    <n v="86"/>
    <n v="15004289664"/>
    <n v="2.38"/>
  </r>
  <r>
    <x v="172"/>
    <x v="172"/>
    <x v="5"/>
    <n v="13727891130"/>
    <n v="53559354501"/>
    <n v="3398968"/>
    <n v="-7.3573270690000001"/>
    <n v="47.731833119999997"/>
    <n v="86"/>
    <n v="15360690882"/>
    <n v="-10.63"/>
  </r>
  <r>
    <x v="172"/>
    <x v="172"/>
    <x v="6"/>
    <n v="19070547876"/>
    <n v="60739061281"/>
    <n v="3396695"/>
    <n v="5.8442732499999996"/>
    <n v="58.315055510000001"/>
    <n v="84"/>
    <n v="13727891130"/>
    <n v="38.92"/>
  </r>
  <r>
    <x v="172"/>
    <x v="172"/>
    <x v="7"/>
    <n v="22367080530"/>
    <n v="71240669088"/>
    <n v="3390913"/>
    <n v="4.6062300089999999"/>
    <n v="60.202682830000001"/>
    <n v="83"/>
    <n v="19070547876"/>
    <n v="17.29"/>
  </r>
  <r>
    <x v="172"/>
    <x v="172"/>
    <x v="8"/>
    <n v="18385552418"/>
    <n v="79208725900"/>
    <n v="3388081"/>
    <n v="0.76174924099999997"/>
    <n v="52.327310840000003"/>
    <n v="87"/>
    <n v="22367080530"/>
    <n v="-17.8"/>
  </r>
  <r>
    <x v="172"/>
    <x v="172"/>
    <x v="9"/>
    <n v="20496774746"/>
    <n v="82322859144"/>
    <n v="3386588"/>
    <n v="3.3257590600000002"/>
    <n v="51.458223760000003"/>
    <n v="79"/>
    <n v="18385552418"/>
    <n v="11.48"/>
  </r>
  <r>
    <x v="173"/>
    <x v="173"/>
    <x v="0"/>
    <n v="3003691727678"/>
    <n v="18300000000000"/>
    <n v="321815121"/>
    <n v="2.945550452"/>
    <n v="27.68821393"/>
    <n v="2"/>
    <m/>
    <m/>
  </r>
  <r>
    <x v="173"/>
    <x v="173"/>
    <x v="1"/>
    <n v="2901812545912"/>
    <n v="18800000000000"/>
    <n v="324353340"/>
    <n v="1.819451479"/>
    <n v="26.452597789999999"/>
    <n v="2"/>
    <n v="3003691727678"/>
    <n v="-3.39"/>
  </r>
  <r>
    <x v="173"/>
    <x v="173"/>
    <x v="2"/>
    <n v="3091619196308"/>
    <n v="19600000000000"/>
    <n v="326608609"/>
    <n v="2.4576223009999998"/>
    <n v="27.12533822"/>
    <n v="2"/>
    <n v="2901812545912"/>
    <n v="6.54"/>
  </r>
  <r>
    <x v="173"/>
    <x v="173"/>
    <x v="3"/>
    <n v="3330605873182"/>
    <n v="20700000000000"/>
    <n v="328529577"/>
    <n v="2.9665050669999999"/>
    <n v="27.44535913"/>
    <n v="2"/>
    <n v="3091619196308"/>
    <n v="7.73"/>
  </r>
  <r>
    <x v="173"/>
    <x v="173"/>
    <x v="4"/>
    <n v="3288552441566"/>
    <n v="21500000000000"/>
    <n v="330226227"/>
    <n v="2.5838253309999999"/>
    <n v="26.25848062"/>
    <n v="2"/>
    <n v="3330605873182"/>
    <n v="-1.26"/>
  </r>
  <r>
    <x v="173"/>
    <x v="173"/>
    <x v="5"/>
    <n v="2860507246978"/>
    <n v="21400000000000"/>
    <n v="331578104"/>
    <n v="-2.0813759780000001"/>
    <n v="23.13994375"/>
    <n v="2"/>
    <n v="3288552441566"/>
    <n v="-13.02"/>
  </r>
  <r>
    <x v="173"/>
    <x v="173"/>
    <x v="6"/>
    <n v="3506273416212"/>
    <n v="23700000000000"/>
    <n v="332100166"/>
    <n v="6.1520224790000002"/>
    <n v="25.232726020000001"/>
    <n v="2"/>
    <n v="2860507246978"/>
    <n v="22.58"/>
  </r>
  <r>
    <x v="173"/>
    <x v="173"/>
    <x v="7"/>
    <n v="4124179665462"/>
    <n v="26100000000000"/>
    <n v="333996304"/>
    <n v="2.5242138509999998"/>
    <n v="26.907898159999998"/>
    <n v="2"/>
    <n v="3506273416212"/>
    <n v="17.62"/>
  </r>
  <r>
    <x v="173"/>
    <x v="173"/>
    <x v="8"/>
    <n v="4037085167542"/>
    <n v="27800000000000"/>
    <n v="336755052"/>
    <n v="2.9343632240000002"/>
    <n v="24.92929818"/>
    <n v="2"/>
    <n v="4124179665462"/>
    <n v="-2.11"/>
  </r>
  <r>
    <x v="173"/>
    <x v="173"/>
    <x v="9"/>
    <n v="4127605222246"/>
    <n v="29300000000000"/>
    <n v="340003797"/>
    <n v="2.7931871539999999"/>
    <n v="25.016017300000001"/>
    <n v="2"/>
    <n v="4037085167542"/>
    <n v="2.2400000000000002"/>
  </r>
  <r>
    <x v="174"/>
    <x v="174"/>
    <x v="2"/>
    <n v="20158942006.419998"/>
    <n v="72276404058"/>
    <n v="31819178"/>
    <n v="4.7002740200000002"/>
    <n v="41.044306210000002"/>
    <n v="82"/>
    <m/>
    <m/>
  </r>
  <r>
    <x v="174"/>
    <x v="174"/>
    <x v="3"/>
    <n v="21838023454.299995"/>
    <n v="61318332403"/>
    <n v="32373490"/>
    <n v="5.7236838079999997"/>
    <n v="61.395110019999997"/>
    <n v="79"/>
    <n v="20158942006.419998"/>
    <n v="8.33"/>
  </r>
  <r>
    <x v="174"/>
    <x v="174"/>
    <x v="4"/>
    <n v="29859013380.86002"/>
    <n v="70170662563"/>
    <n v="32964701"/>
    <n v="6.7933109849999997"/>
    <n v="62.30037823"/>
    <n v="70"/>
    <n v="21838023454.299995"/>
    <n v="36.729999999999997"/>
  </r>
  <r>
    <x v="174"/>
    <x v="174"/>
    <x v="5"/>
    <n v="26561125414.939999"/>
    <n v="70127127133"/>
    <n v="33586372"/>
    <n v="1.6216228159999999"/>
    <n v="53.107076999999997"/>
    <n v="72"/>
    <n v="29859013380.86002"/>
    <n v="-11.04"/>
  </r>
  <r>
    <x v="174"/>
    <x v="174"/>
    <x v="6"/>
    <n v="28184495984.861015"/>
    <n v="81170051811"/>
    <n v="34243696"/>
    <n v="8.2044851239999996"/>
    <n v="54.747782209999997"/>
    <n v="75"/>
    <n v="26561125414.939999"/>
    <n v="6.11"/>
  </r>
  <r>
    <x v="174"/>
    <x v="174"/>
    <x v="7"/>
    <n v="30573856875.296009"/>
    <n v="94286355836"/>
    <n v="34938955"/>
    <n v="6.0859233570000004"/>
    <n v="60.048358260000001"/>
    <n v="75"/>
    <n v="28184495984.861015"/>
    <n v="8.48"/>
  </r>
  <r>
    <x v="174"/>
    <x v="174"/>
    <x v="8"/>
    <n v="42033833948.516014"/>
    <n v="108000000000"/>
    <n v="35652307"/>
    <n v="6.3160300420000004"/>
    <n v="63.102194300000001"/>
    <n v="64"/>
    <n v="30573856875.296009"/>
    <n v="37.479999999999997"/>
  </r>
  <r>
    <x v="174"/>
    <x v="174"/>
    <x v="9"/>
    <n v="39470891797.060013"/>
    <n v="121000000000"/>
    <n v="36361859"/>
    <n v="6.6761879620000002"/>
    <n v="57.529543259999997"/>
    <n v="67"/>
    <n v="42033833948.516014"/>
    <n v="-6.1"/>
  </r>
  <r>
    <x v="175"/>
    <x v="175"/>
    <x v="0"/>
    <n v="93737847.479000002"/>
    <n v="786555555.60000002"/>
    <n v="106960"/>
    <n v="2.785097918"/>
    <m/>
    <n v="160"/>
    <m/>
    <m/>
  </r>
  <r>
    <x v="175"/>
    <x v="175"/>
    <x v="1"/>
    <n v="86025737.441"/>
    <n v="814303703.70000005"/>
    <n v="106349"/>
    <n v="4.1496810049999997"/>
    <m/>
    <n v="162"/>
    <n v="93737847.479000002"/>
    <n v="-8.23"/>
  </r>
  <r>
    <x v="175"/>
    <x v="175"/>
    <x v="2"/>
    <n v="84598817.713000014"/>
    <n v="844040740.70000005"/>
    <n v="105663"/>
    <n v="1.5481017319999999"/>
    <m/>
    <n v="163"/>
    <n v="86025737.441"/>
    <n v="-1.66"/>
  </r>
  <r>
    <x v="175"/>
    <x v="175"/>
    <x v="3"/>
    <n v="87331771.584000036"/>
    <n v="884329629.60000002"/>
    <n v="104926"/>
    <n v="3.1756114420000001"/>
    <m/>
    <n v="160"/>
    <n v="84598817.713000014"/>
    <n v="3.23"/>
  </r>
  <r>
    <x v="175"/>
    <x v="175"/>
    <x v="4"/>
    <n v="76314048.280000001"/>
    <n v="910481481.5"/>
    <n v="104167"/>
    <n v="0.66842848099999996"/>
    <m/>
    <n v="158"/>
    <n v="87331771.584000036"/>
    <n v="-12.62"/>
  </r>
  <r>
    <x v="175"/>
    <x v="175"/>
    <x v="5"/>
    <n v="110429542.94000001"/>
    <n v="864566666.70000005"/>
    <n v="103526"/>
    <n v="-4.2689243440000002"/>
    <m/>
    <n v="150"/>
    <n v="76314048.280000001"/>
    <n v="44.7"/>
  </r>
  <r>
    <x v="175"/>
    <x v="175"/>
    <x v="6"/>
    <n v="69438410.576000035"/>
    <n v="888677777.79999995"/>
    <n v="102841"/>
    <n v="2.0934012449999999"/>
    <m/>
    <n v="152"/>
    <n v="110429542.94000001"/>
    <n v="-37.119999999999997"/>
  </r>
  <r>
    <x v="175"/>
    <x v="175"/>
    <x v="7"/>
    <n v="89862347.938999981"/>
    <n v="989188888.89999998"/>
    <n v="102046"/>
    <n v="3.1108330030000002"/>
    <m/>
    <n v="152"/>
    <n v="69438410.576000035"/>
    <n v="29.41"/>
  </r>
  <r>
    <x v="175"/>
    <x v="175"/>
    <x v="8"/>
    <n v="81598564.541999996"/>
    <n v="1072237037"/>
    <n v="101323"/>
    <n v="5.326364721"/>
    <m/>
    <n v="151"/>
    <n v="89862347.938999981"/>
    <n v="-9.1999999999999993"/>
  </r>
  <r>
    <x v="176"/>
    <x v="176"/>
    <x v="0"/>
    <n v="324033484966"/>
    <n v="239000000000"/>
    <n v="92823254"/>
    <n v="6.9871543059999999"/>
    <n v="144.9142282"/>
    <n v="24"/>
    <m/>
    <m/>
  </r>
  <r>
    <x v="176"/>
    <x v="176"/>
    <x v="1"/>
    <n v="353161573269.43976"/>
    <n v="257000000000"/>
    <n v="94000117"/>
    <n v="6.690008927"/>
    <n v="145.40950799999999"/>
    <n v="24"/>
    <n v="324033484966"/>
    <n v="8.99"/>
  </r>
  <r>
    <x v="176"/>
    <x v="176"/>
    <x v="2"/>
    <n v="430237213998.00006"/>
    <n v="281000000000"/>
    <n v="95176977"/>
    <n v="6.9401903740000002"/>
    <n v="160.98008369999999"/>
    <n v="23"/>
    <n v="353161573269.43976"/>
    <n v="21.82"/>
  </r>
  <r>
    <x v="176"/>
    <x v="176"/>
    <x v="3"/>
    <n v="487397396648.66028"/>
    <n v="310000000000"/>
    <n v="96237319"/>
    <n v="7.4650068559999996"/>
    <n v="164.66393679999999"/>
    <n v="23"/>
    <n v="430237213998.00006"/>
    <n v="13.29"/>
  </r>
  <r>
    <x v="176"/>
    <x v="176"/>
    <x v="4"/>
    <n v="529220645299.65985"/>
    <n v="334000000000"/>
    <n v="97173776"/>
    <n v="7.3592627009999996"/>
    <n v="164.704215"/>
    <n v="19"/>
    <n v="487397396648.66028"/>
    <n v="8.58"/>
  </r>
  <r>
    <x v="176"/>
    <x v="176"/>
    <x v="5"/>
    <n v="562882914473.78894"/>
    <n v="347000000000"/>
    <n v="98079191"/>
    <n v="2.8654132090000002"/>
    <n v="163.2458628"/>
    <n v="17"/>
    <n v="529220645299.65985"/>
    <n v="6.36"/>
  </r>
  <r>
    <x v="176"/>
    <x v="176"/>
    <x v="6"/>
    <n v="671585195619.99792"/>
    <n v="366000000000"/>
    <n v="98935098"/>
    <n v="2.553728526"/>
    <n v="186.67583279999999"/>
    <n v="19"/>
    <n v="562882914473.78894"/>
    <n v="19.309999999999999"/>
  </r>
  <r>
    <x v="176"/>
    <x v="176"/>
    <x v="7"/>
    <n v="741818314878.00183"/>
    <n v="413000000000"/>
    <n v="99680655"/>
    <n v="8.537500412"/>
    <n v="183.15361909999999"/>
    <n v="19"/>
    <n v="671585195619.99792"/>
    <n v="10.46"/>
  </r>
  <r>
    <x v="176"/>
    <x v="176"/>
    <x v="8"/>
    <n v="706155026592.00183"/>
    <n v="434000000000"/>
    <n v="100352192"/>
    <n v="4.9786595949999999"/>
    <n v="164.9955855"/>
    <n v="19"/>
    <n v="741818314878.00183"/>
    <n v="-4.8099999999999996"/>
  </r>
  <r>
    <x v="177"/>
    <x v="177"/>
    <x v="0"/>
    <n v="117855105"/>
    <n v="824150498.70000005"/>
    <n v="201782"/>
    <n v="3.850361817"/>
    <n v="74.634355009999993"/>
    <n v="159"/>
    <m/>
    <m/>
  </r>
  <r>
    <x v="177"/>
    <x v="177"/>
    <x v="1"/>
    <n v="112080977"/>
    <n v="843924796.70000005"/>
    <n v="203499"/>
    <n v="7.9838628780000001"/>
    <n v="75.21181747"/>
    <n v="161"/>
    <n v="117855105"/>
    <n v="-4.9000000000000004"/>
  </r>
  <r>
    <x v="177"/>
    <x v="177"/>
    <x v="2"/>
    <n v="88803628.393000051"/>
    <n v="884844384.5"/>
    <n v="205415"/>
    <n v="1.4062824"/>
    <n v="74.011080759999999"/>
    <n v="162"/>
    <n v="112080977"/>
    <n v="-20.77"/>
  </r>
  <r>
    <x v="177"/>
    <x v="177"/>
    <x v="3"/>
    <n v="92202610.699999988"/>
    <n v="878448433.39999998"/>
    <n v="207582"/>
    <n v="-0.60964710300000002"/>
    <n v="78.934968429999998"/>
    <n v="158"/>
    <n v="88803628.393000051"/>
    <n v="3.83"/>
  </r>
  <r>
    <x v="177"/>
    <x v="177"/>
    <x v="4"/>
    <n v="98544964.280000046"/>
    <n v="912950466.10000002"/>
    <n v="209780"/>
    <n v="4.451858917"/>
    <n v="83.331079579999994"/>
    <n v="155"/>
    <n v="92202610.699999988"/>
    <n v="6.88"/>
  </r>
  <r>
    <x v="177"/>
    <x v="177"/>
    <x v="6"/>
    <n v="57673170.920000024"/>
    <n v="859724936.10000002"/>
    <n v="213779"/>
    <n v="-5.0435058970000002"/>
    <n v="59.769779589999999"/>
    <n v="154"/>
    <n v="98544964.280000046"/>
    <n v="-41.48"/>
  </r>
  <r>
    <x v="177"/>
    <x v="177"/>
    <x v="7"/>
    <n v="86593060.366999999"/>
    <n v="889554711.79999995"/>
    <n v="215261"/>
    <n v="2.2670531079999998"/>
    <n v="60.847778980000001"/>
    <n v="153"/>
    <n v="57673170.920000024"/>
    <n v="50.14"/>
  </r>
  <r>
    <x v="177"/>
    <x v="177"/>
    <x v="8"/>
    <n v="85826188.103000015"/>
    <n v="1044909500"/>
    <n v="216663"/>
    <n v="15.23360647"/>
    <n v="80.840512570000001"/>
    <n v="150"/>
    <n v="86593060.366999999"/>
    <n v="-0.89"/>
  </r>
  <r>
    <x v="177"/>
    <x v="177"/>
    <x v="9"/>
    <n v="83838809.731999993"/>
    <n v="1175749786"/>
    <n v="218019"/>
    <n v="4.7483863919999996"/>
    <n v="79.524147560000003"/>
    <n v="129"/>
    <n v="85826188.103000015"/>
    <n v="-2.3199999999999998"/>
  </r>
  <r>
    <x v="178"/>
    <x v="178"/>
    <x v="0"/>
    <n v="1019715470"/>
    <n v="42444490074"/>
    <n v="31159379"/>
    <n v="-27.994546249999999"/>
    <n v="30.367659079999999"/>
    <n v="140"/>
    <m/>
    <m/>
  </r>
  <r>
    <x v="178"/>
    <x v="178"/>
    <x v="3"/>
    <n v="30912264.138000004"/>
    <n v="21606160663"/>
    <n v="34085182"/>
    <n v="0.75244759299999997"/>
    <n v="56.07782272"/>
    <n v="166"/>
    <n v="1019715470"/>
    <n v="-96.97"/>
  </r>
  <r>
    <x v="178"/>
    <x v="178"/>
    <x v="4"/>
    <n v="47567106.542999998"/>
    <m/>
    <n v="35111408"/>
    <m/>
    <m/>
    <n v="163"/>
    <n v="30912264.138000004"/>
    <n v="53.88"/>
  </r>
  <r>
    <x v="178"/>
    <x v="178"/>
    <x v="8"/>
    <n v="939469812.92400014"/>
    <m/>
    <n v="39390799"/>
    <m/>
    <m/>
    <n v="135"/>
    <n v="47567106.542999998"/>
    <n v="1875.04"/>
  </r>
  <r>
    <x v="178"/>
    <x v="178"/>
    <x v="9"/>
    <n v="1204629303.263"/>
    <m/>
    <n v="40583164"/>
    <m/>
    <m/>
    <n v="118"/>
    <n v="939469812.92400014"/>
    <n v="28.22"/>
  </r>
  <r>
    <x v="179"/>
    <x v="179"/>
    <x v="0"/>
    <n v="160071379748.47195"/>
    <n v="347000000000"/>
    <n v="56723537"/>
    <n v="1.3218622369999999"/>
    <n v="56.726676140000002"/>
    <n v="33"/>
    <m/>
    <m/>
  </r>
  <r>
    <x v="179"/>
    <x v="179"/>
    <x v="1"/>
    <n v="151825194946.94901"/>
    <n v="324000000000"/>
    <n v="57259551"/>
    <n v="0.66455230799999998"/>
    <n v="55.861257500000001"/>
    <n v="35"/>
    <n v="160071379748.47195"/>
    <n v="-5.15"/>
  </r>
  <r>
    <x v="179"/>
    <x v="179"/>
    <x v="2"/>
    <n v="176466437979.24509"/>
    <n v="381000000000"/>
    <n v="57635162"/>
    <n v="1.1579469520000001"/>
    <n v="53.535931830000003"/>
    <n v="34"/>
    <n v="151825194946.94901"/>
    <n v="16.23"/>
  </r>
  <r>
    <x v="179"/>
    <x v="179"/>
    <x v="3"/>
    <n v="187354868689.20212"/>
    <n v="405000000000"/>
    <n v="58613001"/>
    <n v="1.5567838469999999"/>
    <n v="54.485545129999998"/>
    <n v="34"/>
    <n v="176466437979.24509"/>
    <n v="6.17"/>
  </r>
  <r>
    <x v="179"/>
    <x v="179"/>
    <x v="4"/>
    <n v="178791976667.84811"/>
    <n v="389000000000"/>
    <n v="59587885"/>
    <n v="0.25993557699999997"/>
    <n v="53.897996409999998"/>
    <n v="34"/>
    <n v="187354868689.20212"/>
    <n v="-4.57"/>
  </r>
  <r>
    <x v="179"/>
    <x v="179"/>
    <x v="5"/>
    <n v="170453532900.10794"/>
    <n v="338000000000"/>
    <n v="60562381"/>
    <n v="-6.1689177150000001"/>
    <n v="50.759659079999999"/>
    <n v="34"/>
    <n v="178791976667.84811"/>
    <n v="-4.66"/>
  </r>
  <r>
    <x v="179"/>
    <x v="179"/>
    <x v="6"/>
    <n v="242642557691.13815"/>
    <n v="420000000000"/>
    <n v="61502603"/>
    <n v="4.8586486510000002"/>
    <n v="56.164713630000001"/>
    <n v="33"/>
    <n v="170453532900.10794"/>
    <n v="42.35"/>
  </r>
  <r>
    <x v="179"/>
    <x v="179"/>
    <x v="7"/>
    <n v="243232564135.75903"/>
    <n v="408000000000"/>
    <n v="62378410"/>
    <n v="2.0581366170000002"/>
    <n v="64.947134399999996"/>
    <n v="33"/>
    <n v="242642557691.13815"/>
    <n v="0.24"/>
  </r>
  <r>
    <x v="179"/>
    <x v="179"/>
    <x v="8"/>
    <n v="221215047769.06314"/>
    <n v="381000000000"/>
    <n v="63212384"/>
    <n v="0.806104551"/>
    <n v="65.679875969999998"/>
    <n v="33"/>
    <n v="243232564135.75903"/>
    <n v="-9.0500000000000007"/>
  </r>
  <r>
    <x v="179"/>
    <x v="179"/>
    <x v="9"/>
    <n v="220084667048.7659"/>
    <n v="401000000000"/>
    <n v="64007187"/>
    <n v="0.53484353200000001"/>
    <n v="61.64677047"/>
    <n v="31"/>
    <n v="221215047769.06314"/>
    <n v="-0.51"/>
  </r>
  <r>
    <x v="180"/>
    <x v="180"/>
    <x v="0"/>
    <n v="13130285023.215006"/>
    <n v="21251216799"/>
    <n v="16399089"/>
    <n v="2.9203751119999999"/>
    <n v="79.865268760000006"/>
    <n v="89"/>
    <m/>
    <m/>
  </r>
  <r>
    <x v="180"/>
    <x v="180"/>
    <x v="1"/>
    <n v="12758165119.56601"/>
    <n v="20958412538"/>
    <n v="16914423"/>
    <n v="3.7551003170000001"/>
    <n v="73.958561250000002"/>
    <n v="91"/>
    <n v="13130285023.215006"/>
    <n v="-2.83"/>
  </r>
  <r>
    <x v="180"/>
    <x v="180"/>
    <x v="2"/>
    <n v="16056426758.766989"/>
    <n v="25873601261"/>
    <n v="17441320"/>
    <n v="3.5258627709999999"/>
    <n v="71.585694649999994"/>
    <n v="87"/>
    <n v="12758165119.56601"/>
    <n v="25.85"/>
  </r>
  <r>
    <x v="180"/>
    <x v="180"/>
    <x v="3"/>
    <n v="18044916270.721004"/>
    <n v="26311507274"/>
    <n v="17973569"/>
    <n v="4.0344938969999999"/>
    <n v="74.888369530000006"/>
    <n v="85"/>
    <n v="16056426758.766989"/>
    <n v="12.38"/>
  </r>
  <r>
    <x v="180"/>
    <x v="180"/>
    <x v="4"/>
    <n v="14078810310.758001"/>
    <n v="23308667781"/>
    <n v="18513839"/>
    <n v="1.4413060259999999"/>
    <n v="68.79120494"/>
    <n v="90"/>
    <n v="18044916270.721004"/>
    <n v="-21.98"/>
  </r>
  <r>
    <x v="180"/>
    <x v="180"/>
    <x v="5"/>
    <n v="15847843833.143015"/>
    <n v="18137764931"/>
    <n v="19059395"/>
    <n v="-2.7850550649999999"/>
    <n v="79.206849410000004"/>
    <n v="82"/>
    <n v="14078810310.758001"/>
    <n v="12.57"/>
  </r>
  <r>
    <x v="180"/>
    <x v="180"/>
    <x v="6"/>
    <n v="22026281233.378998"/>
    <n v="22096416932"/>
    <n v="19603607"/>
    <n v="6.2349220470000004"/>
    <n v="86.208511189999996"/>
    <n v="81"/>
    <n v="15847843833.143015"/>
    <n v="38.99"/>
  </r>
  <r>
    <x v="180"/>
    <x v="180"/>
    <x v="7"/>
    <n v="23285538818.321991"/>
    <n v="29163782140"/>
    <n v="20152938"/>
    <n v="5.2112236039999997"/>
    <n v="69.297315420000004"/>
    <n v="81"/>
    <n v="22026281233.378998"/>
    <n v="5.72"/>
  </r>
  <r>
    <x v="180"/>
    <x v="180"/>
    <x v="8"/>
    <n v="20862367431.222008"/>
    <n v="27577956471"/>
    <n v="20723965"/>
    <n v="5.3679428549999999"/>
    <n v="78.241887050000003"/>
    <n v="83"/>
    <n v="23285538818.321991"/>
    <n v="-10.41"/>
  </r>
  <r>
    <x v="180"/>
    <x v="180"/>
    <x v="9"/>
    <n v="22551659006.072994"/>
    <n v="25303185342"/>
    <n v="21314956"/>
    <n v="3.8200482550000001"/>
    <n v="62.534887410000003"/>
    <n v="76"/>
    <n v="20862367431.222008"/>
    <n v="8.1"/>
  </r>
  <r>
    <x v="181"/>
    <x v="181"/>
    <x v="0"/>
    <n v="6821318261.1800013"/>
    <n v="19973250000"/>
    <n v="14399013"/>
    <n v="1.7798535639999999"/>
    <n v="56.749652660000002"/>
    <n v="105"/>
    <m/>
    <m/>
  </r>
  <r>
    <x v="181"/>
    <x v="181"/>
    <x v="1"/>
    <n v="6682302191.9000015"/>
    <n v="20559250000"/>
    <n v="14600294"/>
    <n v="0.75579405899999996"/>
    <n v="51.219037659999998"/>
    <n v="106"/>
    <n v="6821318261.1800013"/>
    <n v="-2.04"/>
  </r>
  <r>
    <x v="181"/>
    <x v="181"/>
    <x v="2"/>
    <n v="6960763733.9000015"/>
    <n v="51035657371"/>
    <n v="14812482"/>
    <n v="4.7344111780000002"/>
    <n v="55.028317829999999"/>
    <n v="108"/>
    <n v="6682302191.9000015"/>
    <n v="4.17"/>
  </r>
  <r>
    <x v="181"/>
    <x v="181"/>
    <x v="3"/>
    <n v="8074534139.8999977"/>
    <n v="34141666667"/>
    <n v="15034452"/>
    <n v="5.0099215429999999"/>
    <n v="54.550316590000001"/>
    <n v="103"/>
    <n v="6960763733.9000015"/>
    <n v="16"/>
  </r>
  <r>
    <x v="181"/>
    <x v="181"/>
    <x v="4"/>
    <n v="8558767075.3600006"/>
    <n v="33360632553"/>
    <n v="15271368"/>
    <n v="-6.3324497600000003"/>
    <n v="36.517868499999999"/>
    <n v="103"/>
    <n v="8074534139.8999977"/>
    <n v="6"/>
  </r>
  <r>
    <x v="181"/>
    <x v="181"/>
    <x v="5"/>
    <n v="8789623253.998003"/>
    <n v="31979753645"/>
    <n v="15526888"/>
    <n v="-7.8169506020000004"/>
    <n v="31.82256988"/>
    <n v="100"/>
    <n v="8558767075.3600006"/>
    <n v="2.7"/>
  </r>
  <r>
    <x v="181"/>
    <x v="181"/>
    <x v="6"/>
    <n v="12072376480.082001"/>
    <n v="41287852524"/>
    <n v="15797210"/>
    <n v="8.468016768"/>
    <n v="34.940116949999997"/>
    <n v="98"/>
    <n v="8789623253.998003"/>
    <n v="37.35"/>
  </r>
  <r>
    <x v="181"/>
    <x v="181"/>
    <x v="7"/>
    <n v="13172416698.749998"/>
    <n v="40757585309"/>
    <n v="16069056"/>
    <n v="6.1392632760000003"/>
    <n v="43.615076430000002"/>
    <n v="99"/>
    <n v="12072376480.082001"/>
    <n v="9.11"/>
  </r>
  <r>
    <x v="181"/>
    <x v="181"/>
    <x v="8"/>
    <n v="14451171906.619997"/>
    <n v="35871781303"/>
    <n v="16340822"/>
    <n v="5.3508687909999999"/>
    <n v="40.291261200000001"/>
    <n v="94"/>
    <n v="13172416698.749998"/>
    <n v="9.7100000000000009"/>
  </r>
  <r>
    <x v="181"/>
    <x v="181"/>
    <x v="9"/>
    <n v="14868878012.427999"/>
    <n v="41521975830"/>
    <n v="16634373"/>
    <n v="1.6764945490000001"/>
    <n v="41.503952720000001"/>
    <n v="89"/>
    <n v="14451171906.619997"/>
    <n v="2.8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D49474-BD18-44FD-8315-AC7907B2C046}" name="04_GDP_Growth"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porter Name">
  <location ref="A229:B412" firstHeaderRow="1"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axis="axisRow" showAll="0" sortType="descending">
      <items count="183">
        <item x="1"/>
        <item x="3"/>
        <item x="50"/>
        <item x="4"/>
        <item x="2"/>
        <item x="8"/>
        <item x="6"/>
        <item x="7"/>
        <item x="0"/>
        <item x="9"/>
        <item x="10"/>
        <item x="11"/>
        <item x="19"/>
        <item x="18"/>
        <item x="16"/>
        <item x="26"/>
        <item x="21"/>
        <item x="13"/>
        <item x="22"/>
        <item x="14"/>
        <item x="23"/>
        <item x="28"/>
        <item x="24"/>
        <item x="20"/>
        <item x="29"/>
        <item x="25"/>
        <item x="27"/>
        <item x="17"/>
        <item x="15"/>
        <item x="12"/>
        <item x="39"/>
        <item x="90"/>
        <item x="34"/>
        <item x="31"/>
        <item x="43"/>
        <item x="30"/>
        <item x="32"/>
        <item x="33"/>
        <item x="71"/>
        <item x="105"/>
        <item x="37"/>
        <item x="38"/>
        <item x="36"/>
        <item x="40"/>
        <item x="73"/>
        <item x="41"/>
        <item x="42"/>
        <item x="44"/>
        <item x="45"/>
        <item x="35"/>
        <item x="48"/>
        <item x="46"/>
        <item x="47"/>
        <item x="49"/>
        <item x="51"/>
        <item x="52"/>
        <item x="152"/>
        <item x="54"/>
        <item x="159"/>
        <item x="55"/>
        <item x="57"/>
        <item x="56"/>
        <item x="58"/>
        <item x="59"/>
        <item x="64"/>
        <item x="61"/>
        <item x="62"/>
        <item x="66"/>
        <item x="68"/>
        <item x="67"/>
        <item x="69"/>
        <item x="63"/>
        <item x="65"/>
        <item x="70"/>
        <item x="74"/>
        <item x="72"/>
        <item x="75"/>
        <item x="81"/>
        <item x="77"/>
        <item x="76"/>
        <item x="79"/>
        <item x="80"/>
        <item x="78"/>
        <item x="82"/>
        <item x="83"/>
        <item x="84"/>
        <item x="86"/>
        <item x="85"/>
        <item x="87"/>
        <item x="88"/>
        <item x="91"/>
        <item x="94"/>
        <item x="89"/>
        <item x="95"/>
        <item x="104"/>
        <item x="96"/>
        <item x="101"/>
        <item x="97"/>
        <item x="98"/>
        <item x="102"/>
        <item x="103"/>
        <item x="108"/>
        <item x="121"/>
        <item x="122"/>
        <item x="109"/>
        <item x="112"/>
        <item x="113"/>
        <item x="118"/>
        <item x="120"/>
        <item x="110"/>
        <item x="116"/>
        <item x="115"/>
        <item x="119"/>
        <item x="106"/>
        <item x="117"/>
        <item x="114"/>
        <item x="123"/>
        <item x="129"/>
        <item x="128"/>
        <item x="124"/>
        <item x="130"/>
        <item x="127"/>
        <item x="125"/>
        <item x="126"/>
        <item x="111"/>
        <item x="131"/>
        <item x="132"/>
        <item x="136"/>
        <item x="133"/>
        <item x="137"/>
        <item x="140"/>
        <item x="134"/>
        <item x="135"/>
        <item x="138"/>
        <item x="139"/>
        <item x="142"/>
        <item x="93"/>
        <item x="107"/>
        <item x="143"/>
        <item x="144"/>
        <item x="145"/>
        <item x="92"/>
        <item x="99"/>
        <item x="175"/>
        <item x="177"/>
        <item x="154"/>
        <item x="146"/>
        <item x="148"/>
        <item x="153"/>
        <item x="160"/>
        <item x="151"/>
        <item x="149"/>
        <item x="156"/>
        <item x="157"/>
        <item x="150"/>
        <item x="179"/>
        <item x="53"/>
        <item x="100"/>
        <item x="141"/>
        <item x="147"/>
        <item x="155"/>
        <item x="158"/>
        <item x="163"/>
        <item x="162"/>
        <item x="164"/>
        <item x="161"/>
        <item x="165"/>
        <item x="166"/>
        <item x="167"/>
        <item x="168"/>
        <item x="170"/>
        <item x="171"/>
        <item x="5"/>
        <item x="60"/>
        <item x="169"/>
        <item x="172"/>
        <item x="173"/>
        <item x="174"/>
        <item x="176"/>
        <item x="178"/>
        <item x="180"/>
        <item x="181"/>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pivotField showAll="0"/>
    <pivotField showAll="0"/>
    <pivotField dataField="1" showAll="0"/>
    <pivotField showAll="0"/>
    <pivotField showAll="0"/>
    <pivotField showAll="0"/>
    <pivotField showAll="0"/>
  </pivotFields>
  <rowFields count="1">
    <field x="1"/>
  </rowFields>
  <rowItems count="183">
    <i>
      <x v="73"/>
    </i>
    <i>
      <x v="81"/>
    </i>
    <i>
      <x v="82"/>
    </i>
    <i>
      <x v="59"/>
    </i>
    <i>
      <x v="71"/>
    </i>
    <i>
      <x v="162"/>
    </i>
    <i>
      <x v="98"/>
    </i>
    <i>
      <x v="14"/>
    </i>
    <i>
      <x v="106"/>
    </i>
    <i>
      <x v="140"/>
    </i>
    <i>
      <x v="178"/>
    </i>
    <i>
      <x v="104"/>
    </i>
    <i>
      <x v="78"/>
    </i>
    <i>
      <x v="37"/>
    </i>
    <i>
      <x v="177"/>
    </i>
    <i>
      <x v="65"/>
    </i>
    <i>
      <x v="122"/>
    </i>
    <i>
      <x v="31"/>
    </i>
    <i>
      <x v="19"/>
    </i>
    <i>
      <x v="51"/>
    </i>
    <i>
      <x v="90"/>
    </i>
    <i>
      <x v="147"/>
    </i>
    <i>
      <x v="174"/>
    </i>
    <i>
      <x v="47"/>
    </i>
    <i>
      <x v="72"/>
    </i>
    <i>
      <x v="165"/>
    </i>
    <i>
      <x v="92"/>
    </i>
    <i>
      <x v="169"/>
    </i>
    <i>
      <x v="7"/>
    </i>
    <i>
      <x v="170"/>
    </i>
    <i>
      <x v="53"/>
    </i>
    <i>
      <x v="66"/>
    </i>
    <i>
      <x v="132"/>
    </i>
    <i>
      <x v="49"/>
    </i>
    <i>
      <x v="64"/>
    </i>
    <i>
      <x v="93"/>
    </i>
    <i>
      <x v="28"/>
    </i>
    <i>
      <x v="89"/>
    </i>
    <i>
      <x v="149"/>
    </i>
    <i>
      <x v="117"/>
    </i>
    <i>
      <x v="55"/>
    </i>
    <i>
      <x v="128"/>
    </i>
    <i>
      <x v="79"/>
    </i>
    <i>
      <x v="107"/>
    </i>
    <i>
      <x v="103"/>
    </i>
    <i>
      <x v="105"/>
    </i>
    <i>
      <x v="144"/>
    </i>
    <i>
      <x v="133"/>
    </i>
    <i>
      <x v="126"/>
    </i>
    <i>
      <x v="43"/>
    </i>
    <i>
      <x v="110"/>
    </i>
    <i>
      <x v="83"/>
    </i>
    <i>
      <x v="32"/>
    </i>
    <i>
      <x v="70"/>
    </i>
    <i>
      <x v="44"/>
    </i>
    <i>
      <x v="30"/>
    </i>
    <i>
      <x v="111"/>
    </i>
    <i>
      <x v="114"/>
    </i>
    <i>
      <x v="1"/>
    </i>
    <i>
      <x v="180"/>
    </i>
    <i>
      <x v="148"/>
    </i>
    <i>
      <x v="75"/>
    </i>
    <i>
      <x v="138"/>
    </i>
    <i>
      <x v="151"/>
    </i>
    <i>
      <x v="154"/>
    </i>
    <i>
      <x v="99"/>
    </i>
    <i>
      <x v="23"/>
    </i>
    <i>
      <x v="2"/>
    </i>
    <i>
      <x v="77"/>
    </i>
    <i>
      <x v="146"/>
    </i>
    <i>
      <x v="34"/>
    </i>
    <i>
      <x v="88"/>
    </i>
    <i>
      <x v="153"/>
    </i>
    <i>
      <x v="102"/>
    </i>
    <i>
      <x v="27"/>
    </i>
    <i>
      <x v="101"/>
    </i>
    <i>
      <x v="24"/>
    </i>
    <i>
      <x v="29"/>
    </i>
    <i>
      <x v="130"/>
    </i>
    <i>
      <x v="76"/>
    </i>
    <i>
      <x v="21"/>
    </i>
    <i>
      <x v="121"/>
    </i>
    <i>
      <x v="164"/>
    </i>
    <i>
      <x v="13"/>
    </i>
    <i>
      <x v="8"/>
    </i>
    <i>
      <x v="113"/>
    </i>
    <i>
      <x v="108"/>
    </i>
    <i>
      <x v="40"/>
    </i>
    <i>
      <x v="136"/>
    </i>
    <i>
      <x v="176"/>
    </i>
    <i>
      <x v="35"/>
    </i>
    <i>
      <x v="56"/>
    </i>
    <i>
      <x v="69"/>
    </i>
    <i>
      <x v="120"/>
    </i>
    <i>
      <x v="145"/>
    </i>
    <i>
      <x v="60"/>
    </i>
    <i>
      <x v="172"/>
    </i>
    <i>
      <x v="131"/>
    </i>
    <i>
      <x v="152"/>
    </i>
    <i>
      <x v="18"/>
    </i>
    <i>
      <x v="39"/>
    </i>
    <i>
      <x v="41"/>
    </i>
    <i>
      <x v="9"/>
    </i>
    <i>
      <x/>
    </i>
    <i>
      <x v="124"/>
    </i>
    <i>
      <x v="5"/>
    </i>
    <i>
      <x v="156"/>
    </i>
    <i>
      <x v="134"/>
    </i>
    <i>
      <x v="58"/>
    </i>
    <i>
      <x v="48"/>
    </i>
    <i>
      <x v="87"/>
    </i>
    <i>
      <x v="80"/>
    </i>
    <i>
      <x v="50"/>
    </i>
    <i>
      <x v="125"/>
    </i>
    <i>
      <x v="143"/>
    </i>
    <i>
      <x v="36"/>
    </i>
    <i>
      <x v="129"/>
    </i>
    <i>
      <x v="150"/>
    </i>
    <i>
      <x v="163"/>
    </i>
    <i>
      <x v="3"/>
    </i>
    <i>
      <x v="22"/>
    </i>
    <i>
      <x v="118"/>
    </i>
    <i>
      <x v="181"/>
    </i>
    <i>
      <x v="12"/>
    </i>
    <i>
      <x v="57"/>
    </i>
    <i>
      <x v="94"/>
    </i>
    <i>
      <x v="74"/>
    </i>
    <i>
      <x v="33"/>
    </i>
    <i>
      <x v="100"/>
    </i>
    <i>
      <x v="137"/>
    </i>
    <i>
      <x v="161"/>
    </i>
    <i>
      <x v="63"/>
    </i>
    <i>
      <x v="97"/>
    </i>
    <i>
      <x v="158"/>
    </i>
    <i>
      <x v="17"/>
    </i>
    <i>
      <x v="85"/>
    </i>
    <i>
      <x v="141"/>
    </i>
    <i>
      <x v="127"/>
    </i>
    <i>
      <x v="173"/>
    </i>
    <i>
      <x v="115"/>
    </i>
    <i>
      <x v="135"/>
    </i>
    <i>
      <x v="67"/>
    </i>
    <i>
      <x v="20"/>
    </i>
    <i>
      <x v="109"/>
    </i>
    <i>
      <x v="11"/>
    </i>
    <i>
      <x v="15"/>
    </i>
    <i>
      <x v="54"/>
    </i>
    <i>
      <x v="116"/>
    </i>
    <i>
      <x v="62"/>
    </i>
    <i>
      <x v="10"/>
    </i>
    <i>
      <x v="123"/>
    </i>
    <i>
      <x v="175"/>
    </i>
    <i>
      <x v="157"/>
    </i>
    <i>
      <x v="139"/>
    </i>
    <i>
      <x v="84"/>
    </i>
    <i>
      <x v="38"/>
    </i>
    <i>
      <x v="61"/>
    </i>
    <i>
      <x v="168"/>
    </i>
    <i>
      <x v="25"/>
    </i>
    <i>
      <x v="159"/>
    </i>
    <i>
      <x v="166"/>
    </i>
    <i>
      <x v="68"/>
    </i>
    <i>
      <x v="155"/>
    </i>
    <i>
      <x v="86"/>
    </i>
    <i>
      <x v="52"/>
    </i>
    <i>
      <x v="26"/>
    </i>
    <i>
      <x v="4"/>
    </i>
    <i>
      <x v="91"/>
    </i>
    <i>
      <x v="96"/>
    </i>
    <i>
      <x v="16"/>
    </i>
    <i>
      <x v="6"/>
    </i>
    <i>
      <x v="119"/>
    </i>
    <i>
      <x v="112"/>
    </i>
    <i>
      <x v="45"/>
    </i>
    <i>
      <x v="160"/>
    </i>
    <i>
      <x v="167"/>
    </i>
    <i>
      <x v="171"/>
    </i>
    <i>
      <x v="42"/>
    </i>
    <i>
      <x v="142"/>
    </i>
    <i>
      <x v="95"/>
    </i>
    <i>
      <x v="46"/>
    </i>
    <i>
      <x v="179"/>
    </i>
    <i t="grand">
      <x/>
    </i>
  </rowItems>
  <colItems count="1">
    <i/>
  </colItems>
  <dataFields count="1">
    <dataField name="Average GDP Growth %" fld="6" subtotal="average" baseField="1" baseItem="2"/>
  </dataFields>
  <formats count="5">
    <format dxfId="6">
      <pivotArea collapsedLevelsAreSubtotals="1" fieldPosition="0">
        <references count="1">
          <reference field="1" count="1">
            <x v="0"/>
          </reference>
        </references>
      </pivotArea>
    </format>
    <format dxfId="5">
      <pivotArea collapsedLevelsAreSubtotals="1" fieldPosition="0">
        <references count="1">
          <reference field="1" count="1">
            <x v="1"/>
          </reference>
        </references>
      </pivotArea>
    </format>
    <format dxfId="4">
      <pivotArea collapsedLevelsAreSubtotals="1" fieldPosition="0">
        <references count="1">
          <reference field="1" count="1">
            <x v="2"/>
          </reference>
        </references>
      </pivotArea>
    </format>
    <format dxfId="3">
      <pivotArea collapsedLevelsAreSubtotals="1" fieldPosition="0">
        <references count="1">
          <reference field="1" count="179">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x v="93"/>
            <x v="94"/>
            <x v="95"/>
            <x v="96"/>
            <x v="97"/>
            <x v="98"/>
            <x v="99"/>
            <x v="100"/>
            <x v="101"/>
            <x v="102"/>
            <x v="103"/>
            <x v="104"/>
            <x v="105"/>
            <x v="106"/>
            <x v="107"/>
            <x v="108"/>
            <x v="109"/>
            <x v="110"/>
            <x v="111"/>
            <x v="112"/>
            <x v="113"/>
            <x v="114"/>
            <x v="115"/>
            <x v="116"/>
            <x v="117"/>
            <x v="118"/>
            <x v="119"/>
            <x v="120"/>
            <x v="121"/>
            <x v="122"/>
            <x v="123"/>
            <x v="124"/>
            <x v="125"/>
            <x v="126"/>
            <x v="127"/>
            <x v="128"/>
            <x v="129"/>
            <x v="130"/>
            <x v="131"/>
            <x v="132"/>
            <x v="133"/>
            <x v="134"/>
            <x v="135"/>
            <x v="136"/>
            <x v="137"/>
            <x v="138"/>
            <x v="139"/>
            <x v="140"/>
            <x v="141"/>
            <x v="142"/>
            <x v="143"/>
            <x v="144"/>
            <x v="145"/>
            <x v="146"/>
            <x v="147"/>
            <x v="148"/>
            <x v="149"/>
            <x v="150"/>
            <x v="151"/>
            <x v="152"/>
            <x v="153"/>
            <x v="154"/>
            <x v="155"/>
            <x v="156"/>
            <x v="157"/>
            <x v="158"/>
            <x v="159"/>
            <x v="160"/>
            <x v="161"/>
            <x v="162"/>
            <x v="163"/>
            <x v="164"/>
            <x v="165"/>
            <x v="166"/>
            <x v="167"/>
            <x v="168"/>
            <x v="169"/>
            <x v="170"/>
            <x v="171"/>
            <x v="172"/>
            <x v="173"/>
            <x v="174"/>
            <x v="175"/>
            <x v="176"/>
            <x v="177"/>
            <x v="178"/>
            <x v="179"/>
            <x v="180"/>
            <x v="181"/>
          </reference>
        </references>
      </pivotArea>
    </format>
    <format dxfId="2">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134322-1843-47C7-A523-BF8E96DC64B0}" name="06_Export_Growth"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1" rowHeaderCaption="Reporting Countries">
  <location ref="A607:B618" firstHeaderRow="1"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axis="axisRow" showAll="0" measureFilter="1" sortType="descending">
      <items count="183">
        <item x="1"/>
        <item x="3"/>
        <item x="50"/>
        <item x="4"/>
        <item x="2"/>
        <item x="8"/>
        <item x="6"/>
        <item x="7"/>
        <item x="0"/>
        <item x="9"/>
        <item x="10"/>
        <item x="11"/>
        <item x="19"/>
        <item x="18"/>
        <item x="16"/>
        <item x="26"/>
        <item x="21"/>
        <item x="13"/>
        <item x="22"/>
        <item x="14"/>
        <item x="23"/>
        <item x="28"/>
        <item x="24"/>
        <item x="20"/>
        <item x="29"/>
        <item x="25"/>
        <item x="27"/>
        <item x="17"/>
        <item x="15"/>
        <item x="12"/>
        <item x="39"/>
        <item x="90"/>
        <item x="34"/>
        <item x="31"/>
        <item x="43"/>
        <item x="30"/>
        <item x="32"/>
        <item x="33"/>
        <item x="71"/>
        <item x="105"/>
        <item x="37"/>
        <item x="38"/>
        <item x="36"/>
        <item x="40"/>
        <item x="73"/>
        <item x="41"/>
        <item x="42"/>
        <item x="44"/>
        <item x="45"/>
        <item x="35"/>
        <item x="48"/>
        <item x="46"/>
        <item x="47"/>
        <item x="49"/>
        <item x="51"/>
        <item x="52"/>
        <item x="152"/>
        <item x="54"/>
        <item x="159"/>
        <item x="55"/>
        <item x="57"/>
        <item x="56"/>
        <item x="58"/>
        <item x="59"/>
        <item x="64"/>
        <item x="61"/>
        <item x="62"/>
        <item x="66"/>
        <item x="68"/>
        <item x="67"/>
        <item x="69"/>
        <item x="63"/>
        <item x="65"/>
        <item x="70"/>
        <item x="74"/>
        <item x="72"/>
        <item x="75"/>
        <item x="81"/>
        <item x="77"/>
        <item x="76"/>
        <item x="79"/>
        <item x="80"/>
        <item x="78"/>
        <item x="82"/>
        <item x="83"/>
        <item x="84"/>
        <item x="86"/>
        <item x="85"/>
        <item x="87"/>
        <item x="88"/>
        <item x="91"/>
        <item x="94"/>
        <item x="89"/>
        <item x="95"/>
        <item x="104"/>
        <item x="96"/>
        <item x="101"/>
        <item x="97"/>
        <item x="98"/>
        <item x="102"/>
        <item x="103"/>
        <item x="108"/>
        <item x="121"/>
        <item x="122"/>
        <item x="109"/>
        <item x="112"/>
        <item x="113"/>
        <item x="118"/>
        <item x="120"/>
        <item x="110"/>
        <item x="116"/>
        <item x="115"/>
        <item x="119"/>
        <item x="106"/>
        <item x="117"/>
        <item x="114"/>
        <item x="123"/>
        <item x="129"/>
        <item x="128"/>
        <item x="124"/>
        <item x="130"/>
        <item x="127"/>
        <item x="125"/>
        <item x="126"/>
        <item x="111"/>
        <item x="131"/>
        <item x="132"/>
        <item x="136"/>
        <item x="133"/>
        <item x="137"/>
        <item x="140"/>
        <item x="134"/>
        <item x="135"/>
        <item x="138"/>
        <item x="139"/>
        <item x="142"/>
        <item x="93"/>
        <item x="107"/>
        <item x="143"/>
        <item x="144"/>
        <item x="145"/>
        <item x="92"/>
        <item x="99"/>
        <item x="175"/>
        <item x="177"/>
        <item x="154"/>
        <item x="146"/>
        <item x="148"/>
        <item x="153"/>
        <item x="160"/>
        <item x="151"/>
        <item x="149"/>
        <item x="156"/>
        <item x="157"/>
        <item x="150"/>
        <item x="179"/>
        <item x="53"/>
        <item x="100"/>
        <item x="141"/>
        <item x="147"/>
        <item x="155"/>
        <item x="158"/>
        <item x="163"/>
        <item x="162"/>
        <item x="164"/>
        <item x="161"/>
        <item x="165"/>
        <item x="166"/>
        <item x="167"/>
        <item x="168"/>
        <item x="170"/>
        <item x="171"/>
        <item x="5"/>
        <item x="60"/>
        <item x="169"/>
        <item x="172"/>
        <item x="173"/>
        <item x="174"/>
        <item x="176"/>
        <item x="178"/>
        <item x="180"/>
        <item x="181"/>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dataField="1" showAll="0"/>
  </pivotFields>
  <rowFields count="1">
    <field x="1"/>
  </rowFields>
  <rowItems count="11">
    <i>
      <x v="179"/>
    </i>
    <i>
      <x v="150"/>
    </i>
    <i>
      <x v="164"/>
    </i>
    <i>
      <x v="30"/>
    </i>
    <i>
      <x v="73"/>
    </i>
    <i>
      <x v="71"/>
    </i>
    <i>
      <x v="149"/>
    </i>
    <i>
      <x v="166"/>
    </i>
    <i>
      <x v="20"/>
    </i>
    <i>
      <x v="35"/>
    </i>
    <i t="grand">
      <x/>
    </i>
  </rowItems>
  <colItems count="1">
    <i/>
  </colItems>
  <dataFields count="1">
    <dataField name="Yoy" fld="10" subtotal="average" baseField="1" baseItem="0" numFmtId="2"/>
  </dataFields>
  <formats count="7">
    <format dxfId="13">
      <pivotArea outline="0" collapsedLevelsAreSubtotals="1" fieldPosition="0"/>
    </format>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10">
            <x v="20"/>
            <x v="30"/>
            <x v="35"/>
            <x v="71"/>
            <x v="73"/>
            <x v="149"/>
            <x v="150"/>
            <x v="164"/>
            <x v="166"/>
            <x v="179"/>
          </reference>
        </references>
      </pivotArea>
    </format>
    <format dxfId="8">
      <pivotArea dataOnly="0" labelOnly="1" grandRow="1" outline="0" fieldPosition="0"/>
    </format>
    <format dxfId="7">
      <pivotArea dataOnly="0" labelOnly="1" outline="0" axis="axisValues" fieldPosition="0"/>
    </format>
  </formats>
  <chartFormats count="2">
    <chartFormat chart="12"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CF5F5D-0E34-44A3-AA4C-D47881A218AC}" name="07_Country_Exonomic_Survey" cacheId="0" applyNumberFormats="0" applyBorderFormats="0" applyFontFormats="0" applyPatternFormats="0" applyAlignmentFormats="0" applyWidthHeightFormats="1" dataCaption="Values" updatedVersion="8" minRefreshableVersion="3" showDrill="0" preserveFormatting="0" itemPrintTitles="1" createdVersion="8" indent="0" outline="1" outlineData="1" multipleFieldFilters="0" rowHeaderCaption="Reporting Countries">
  <location ref="A624:G645" firstHeaderRow="0"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axis="axisRow" showAll="0" measureFilter="1">
      <items count="183">
        <item x="1"/>
        <item x="3"/>
        <item x="50"/>
        <item x="4"/>
        <item x="2"/>
        <item x="8"/>
        <item x="6"/>
        <item x="7"/>
        <item x="0"/>
        <item x="9"/>
        <item x="10"/>
        <item x="11"/>
        <item x="19"/>
        <item x="18"/>
        <item x="16"/>
        <item x="26"/>
        <item x="21"/>
        <item x="13"/>
        <item x="22"/>
        <item x="14"/>
        <item x="23"/>
        <item x="28"/>
        <item x="24"/>
        <item x="20"/>
        <item x="29"/>
        <item x="25"/>
        <item x="27"/>
        <item x="17"/>
        <item x="15"/>
        <item x="12"/>
        <item x="39"/>
        <item x="90"/>
        <item x="34"/>
        <item x="31"/>
        <item x="43"/>
        <item x="30"/>
        <item x="32"/>
        <item x="33"/>
        <item x="71"/>
        <item x="105"/>
        <item x="37"/>
        <item x="38"/>
        <item x="36"/>
        <item x="40"/>
        <item x="73"/>
        <item x="41"/>
        <item x="42"/>
        <item x="44"/>
        <item x="45"/>
        <item x="35"/>
        <item x="48"/>
        <item x="46"/>
        <item x="47"/>
        <item x="49"/>
        <item x="51"/>
        <item x="52"/>
        <item x="152"/>
        <item x="54"/>
        <item x="159"/>
        <item x="55"/>
        <item x="57"/>
        <item x="56"/>
        <item x="58"/>
        <item x="59"/>
        <item x="64"/>
        <item x="61"/>
        <item x="62"/>
        <item x="66"/>
        <item x="68"/>
        <item x="67"/>
        <item x="69"/>
        <item x="63"/>
        <item x="65"/>
        <item x="70"/>
        <item x="74"/>
        <item x="72"/>
        <item x="75"/>
        <item x="81"/>
        <item x="77"/>
        <item x="76"/>
        <item x="79"/>
        <item x="80"/>
        <item x="78"/>
        <item x="82"/>
        <item x="83"/>
        <item x="84"/>
        <item x="86"/>
        <item x="85"/>
        <item x="87"/>
        <item x="88"/>
        <item x="91"/>
        <item x="94"/>
        <item x="89"/>
        <item x="95"/>
        <item x="104"/>
        <item x="96"/>
        <item x="101"/>
        <item x="97"/>
        <item x="98"/>
        <item x="102"/>
        <item x="103"/>
        <item x="108"/>
        <item x="121"/>
        <item x="122"/>
        <item x="109"/>
        <item x="112"/>
        <item x="113"/>
        <item x="118"/>
        <item x="120"/>
        <item x="110"/>
        <item x="116"/>
        <item x="115"/>
        <item x="119"/>
        <item x="106"/>
        <item x="117"/>
        <item x="114"/>
        <item x="123"/>
        <item x="129"/>
        <item x="128"/>
        <item x="124"/>
        <item x="130"/>
        <item x="127"/>
        <item x="125"/>
        <item x="126"/>
        <item x="111"/>
        <item x="131"/>
        <item x="132"/>
        <item x="136"/>
        <item x="133"/>
        <item x="137"/>
        <item x="140"/>
        <item x="134"/>
        <item x="135"/>
        <item x="138"/>
        <item x="139"/>
        <item x="142"/>
        <item x="93"/>
        <item x="107"/>
        <item x="143"/>
        <item x="144"/>
        <item x="145"/>
        <item x="92"/>
        <item x="99"/>
        <item x="175"/>
        <item x="177"/>
        <item x="154"/>
        <item x="146"/>
        <item x="148"/>
        <item x="153"/>
        <item x="160"/>
        <item x="151"/>
        <item x="149"/>
        <item x="156"/>
        <item x="157"/>
        <item x="150"/>
        <item x="179"/>
        <item x="53"/>
        <item x="100"/>
        <item x="141"/>
        <item x="147"/>
        <item x="155"/>
        <item x="158"/>
        <item x="163"/>
        <item x="162"/>
        <item x="164"/>
        <item x="161"/>
        <item x="165"/>
        <item x="166"/>
        <item x="167"/>
        <item x="168"/>
        <item x="170"/>
        <item x="171"/>
        <item x="5"/>
        <item x="60"/>
        <item x="169"/>
        <item x="172"/>
        <item x="173"/>
        <item x="174"/>
        <item x="176"/>
        <item x="178"/>
        <item x="180"/>
        <item x="181"/>
        <item t="default"/>
      </items>
    </pivotField>
    <pivotField showAll="0">
      <items count="11">
        <item x="0"/>
        <item x="1"/>
        <item x="2"/>
        <item x="3"/>
        <item x="4"/>
        <item x="5"/>
        <item x="6"/>
        <item x="7"/>
        <item x="8"/>
        <item x="9"/>
        <item t="default"/>
      </items>
    </pivotField>
    <pivotField dataField="1" showAll="0"/>
    <pivotField dataField="1" showAll="0"/>
    <pivotField dataField="1" showAll="0"/>
    <pivotField dataField="1" showAll="0"/>
    <pivotField dataField="1" showAll="0"/>
    <pivotField showAll="0"/>
    <pivotField showAll="0"/>
    <pivotField dataField="1" showAll="0"/>
  </pivotFields>
  <rowFields count="1">
    <field x="1"/>
  </rowFields>
  <rowItems count="21">
    <i>
      <x v="9"/>
    </i>
    <i>
      <x v="17"/>
    </i>
    <i>
      <x v="33"/>
    </i>
    <i>
      <x v="37"/>
    </i>
    <i>
      <x v="38"/>
    </i>
    <i>
      <x v="62"/>
    </i>
    <i>
      <x v="78"/>
    </i>
    <i>
      <x v="84"/>
    </i>
    <i>
      <x v="86"/>
    </i>
    <i>
      <x v="109"/>
    </i>
    <i>
      <x v="118"/>
    </i>
    <i>
      <x v="133"/>
    </i>
    <i>
      <x v="136"/>
    </i>
    <i>
      <x v="139"/>
    </i>
    <i>
      <x v="146"/>
    </i>
    <i>
      <x v="151"/>
    </i>
    <i>
      <x v="156"/>
    </i>
    <i>
      <x v="172"/>
    </i>
    <i>
      <x v="173"/>
    </i>
    <i>
      <x v="176"/>
    </i>
    <i t="grand">
      <x/>
    </i>
  </rowItems>
  <colFields count="1">
    <field x="-2"/>
  </colFields>
  <colItems count="6">
    <i>
      <x/>
    </i>
    <i i="1">
      <x v="1"/>
    </i>
    <i i="2">
      <x v="2"/>
    </i>
    <i i="3">
      <x v="3"/>
    </i>
    <i i="4">
      <x v="4"/>
    </i>
    <i i="5">
      <x v="5"/>
    </i>
  </colItems>
  <dataFields count="6">
    <dataField name="Sum of total_exports_usd" fld="3" baseField="0" baseItem="0" numFmtId="164"/>
    <dataField name="Average of gdp_current_usd" fld="4" subtotal="average" baseField="1" baseItem="0" numFmtId="164"/>
    <dataField name="Average of population_total" fld="5" subtotal="average" baseField="1" baseItem="0" numFmtId="164"/>
    <dataField name="Average of gdp_growth_annual_pct" fld="6" subtotal="average" baseField="1" baseItem="0" numFmtId="2"/>
    <dataField name="Average of trade_pct_of_gdp" fld="7" subtotal="average" baseField="1" baseItem="0" numFmtId="2"/>
    <dataField name="Average of yoy_export_growth_pct" fld="10" subtotal="average" baseField="1" baseItem="0" numFmtId="2"/>
  </dataFields>
  <pivotTableStyleInfo name="PivotStyleDark2" showRowHeaders="1" showColHeaders="1" showRowStripes="0" showColStripes="0" showLastColumn="1"/>
  <filters count="1">
    <filter fld="1"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6B955D-9F5B-4290-AF63-F7CA670DAA23}" name="03_GDP_VS_Export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Reporter Name">
  <location ref="A39:C222" firstHeaderRow="0"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axis="axisRow" showAll="0">
      <items count="183">
        <item x="1"/>
        <item x="3"/>
        <item x="50"/>
        <item x="4"/>
        <item x="2"/>
        <item x="8"/>
        <item x="6"/>
        <item x="7"/>
        <item x="0"/>
        <item x="9"/>
        <item x="10"/>
        <item x="11"/>
        <item x="19"/>
        <item x="18"/>
        <item x="16"/>
        <item x="26"/>
        <item x="21"/>
        <item x="13"/>
        <item x="22"/>
        <item x="14"/>
        <item x="23"/>
        <item x="28"/>
        <item x="24"/>
        <item x="20"/>
        <item x="29"/>
        <item x="25"/>
        <item x="27"/>
        <item x="17"/>
        <item x="15"/>
        <item x="12"/>
        <item x="39"/>
        <item x="90"/>
        <item x="34"/>
        <item x="31"/>
        <item x="43"/>
        <item x="30"/>
        <item x="32"/>
        <item x="33"/>
        <item x="71"/>
        <item x="105"/>
        <item x="37"/>
        <item x="38"/>
        <item x="36"/>
        <item x="40"/>
        <item x="73"/>
        <item x="41"/>
        <item x="42"/>
        <item x="44"/>
        <item x="45"/>
        <item x="35"/>
        <item x="48"/>
        <item x="46"/>
        <item x="47"/>
        <item x="49"/>
        <item x="51"/>
        <item x="52"/>
        <item x="152"/>
        <item x="54"/>
        <item x="159"/>
        <item x="55"/>
        <item x="57"/>
        <item x="56"/>
        <item x="58"/>
        <item x="59"/>
        <item x="64"/>
        <item x="61"/>
        <item x="62"/>
        <item x="66"/>
        <item x="68"/>
        <item x="67"/>
        <item x="69"/>
        <item x="63"/>
        <item x="65"/>
        <item x="70"/>
        <item x="74"/>
        <item x="72"/>
        <item x="75"/>
        <item x="81"/>
        <item x="77"/>
        <item x="76"/>
        <item x="79"/>
        <item x="80"/>
        <item x="78"/>
        <item x="82"/>
        <item x="83"/>
        <item x="84"/>
        <item x="86"/>
        <item x="85"/>
        <item x="87"/>
        <item x="88"/>
        <item x="91"/>
        <item x="94"/>
        <item x="89"/>
        <item x="95"/>
        <item x="104"/>
        <item x="96"/>
        <item x="101"/>
        <item x="97"/>
        <item x="98"/>
        <item x="102"/>
        <item x="103"/>
        <item x="108"/>
        <item x="121"/>
        <item x="122"/>
        <item x="109"/>
        <item x="112"/>
        <item x="113"/>
        <item x="118"/>
        <item x="120"/>
        <item x="110"/>
        <item x="116"/>
        <item x="115"/>
        <item x="119"/>
        <item x="106"/>
        <item x="117"/>
        <item x="114"/>
        <item x="123"/>
        <item x="129"/>
        <item x="128"/>
        <item x="124"/>
        <item x="130"/>
        <item x="127"/>
        <item x="125"/>
        <item x="126"/>
        <item x="111"/>
        <item x="131"/>
        <item x="132"/>
        <item x="136"/>
        <item x="133"/>
        <item x="137"/>
        <item x="140"/>
        <item x="134"/>
        <item x="135"/>
        <item x="138"/>
        <item x="139"/>
        <item x="142"/>
        <item x="93"/>
        <item x="107"/>
        <item x="143"/>
        <item x="144"/>
        <item x="145"/>
        <item x="92"/>
        <item x="99"/>
        <item x="175"/>
        <item x="177"/>
        <item x="154"/>
        <item x="146"/>
        <item x="148"/>
        <item x="153"/>
        <item x="160"/>
        <item x="151"/>
        <item x="149"/>
        <item x="156"/>
        <item x="157"/>
        <item x="150"/>
        <item x="179"/>
        <item x="53"/>
        <item x="100"/>
        <item x="141"/>
        <item x="147"/>
        <item x="155"/>
        <item x="158"/>
        <item x="163"/>
        <item x="162"/>
        <item x="164"/>
        <item x="161"/>
        <item x="165"/>
        <item x="166"/>
        <item x="167"/>
        <item x="168"/>
        <item x="170"/>
        <item x="171"/>
        <item x="5"/>
        <item x="60"/>
        <item x="169"/>
        <item x="172"/>
        <item x="173"/>
        <item x="174"/>
        <item x="176"/>
        <item x="178"/>
        <item x="180"/>
        <item x="181"/>
        <item t="default"/>
      </items>
    </pivotField>
    <pivotField showAll="0">
      <items count="11">
        <item x="0"/>
        <item x="1"/>
        <item x="2"/>
        <item x="3"/>
        <item x="4"/>
        <item x="5"/>
        <item x="6"/>
        <item x="7"/>
        <item x="8"/>
        <item x="9"/>
        <item t="default"/>
      </items>
    </pivotField>
    <pivotField dataField="1" showAll="0"/>
    <pivotField dataField="1" showAll="0"/>
    <pivotField showAll="0"/>
    <pivotField showAll="0"/>
    <pivotField showAll="0"/>
    <pivotField showAll="0"/>
    <pivotField showAll="0"/>
    <pivotField showAll="0"/>
  </pivotFields>
  <rowFields count="1">
    <field x="1"/>
  </rowFields>
  <rowItems count="18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t="grand">
      <x/>
    </i>
  </rowItems>
  <colFields count="1">
    <field x="-2"/>
  </colFields>
  <colItems count="2">
    <i>
      <x/>
    </i>
    <i i="1">
      <x v="1"/>
    </i>
  </colItems>
  <dataFields count="2">
    <dataField name="Average GDP" fld="4" subtotal="average" baseField="1" baseItem="0"/>
    <dataField name="Sum Total Exports" fld="3" baseField="1" baseItem="0"/>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C49FC7C-796C-4E36-BF67-F98099EE5236}" name="01_Total_Exports_by_Year"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8" rowHeaderCaption="Year">
  <location ref="A4:B15" firstHeaderRow="1"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showAll="0"/>
    <pivotField axis="axisRow"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Exports (USD)" fld="3" baseField="2" baseItem="0" numFmtId="2"/>
  </dataFields>
  <formats count="19">
    <format dxfId="33">
      <pivotArea outline="0" collapsedLevelsAreSubtotals="1" fieldPosition="0"/>
    </format>
    <format dxfId="32">
      <pivotArea dataOnly="0" labelOnly="1" outline="0" axis="axisValues" fieldPosition="0"/>
    </format>
    <format dxfId="31">
      <pivotArea collapsedLevelsAreSubtotals="1" fieldPosition="0">
        <references count="1">
          <reference field="2" count="1">
            <x v="0"/>
          </reference>
        </references>
      </pivotArea>
    </format>
    <format dxfId="30">
      <pivotArea collapsedLevelsAreSubtotals="1" fieldPosition="0">
        <references count="1">
          <reference field="2" count="1">
            <x v="1"/>
          </reference>
        </references>
      </pivotArea>
    </format>
    <format dxfId="29">
      <pivotArea collapsedLevelsAreSubtotals="1" fieldPosition="0">
        <references count="1">
          <reference field="2" count="1">
            <x v="2"/>
          </reference>
        </references>
      </pivotArea>
    </format>
    <format dxfId="28">
      <pivotArea collapsedLevelsAreSubtotals="1" fieldPosition="0">
        <references count="1">
          <reference field="2" count="1">
            <x v="3"/>
          </reference>
        </references>
      </pivotArea>
    </format>
    <format dxfId="27">
      <pivotArea collapsedLevelsAreSubtotals="1" fieldPosition="0">
        <references count="1">
          <reference field="2" count="1">
            <x v="4"/>
          </reference>
        </references>
      </pivotArea>
    </format>
    <format dxfId="26">
      <pivotArea collapsedLevelsAreSubtotals="1" fieldPosition="0">
        <references count="1">
          <reference field="2" count="1">
            <x v="5"/>
          </reference>
        </references>
      </pivotArea>
    </format>
    <format dxfId="25">
      <pivotArea collapsedLevelsAreSubtotals="1" fieldPosition="0">
        <references count="1">
          <reference field="2" count="1">
            <x v="6"/>
          </reference>
        </references>
      </pivotArea>
    </format>
    <format dxfId="24">
      <pivotArea collapsedLevelsAreSubtotals="1" fieldPosition="0">
        <references count="1">
          <reference field="2" count="1">
            <x v="7"/>
          </reference>
        </references>
      </pivotArea>
    </format>
    <format dxfId="23">
      <pivotArea collapsedLevelsAreSubtotals="1" fieldPosition="0">
        <references count="1">
          <reference field="2" count="1">
            <x v="8"/>
          </reference>
        </references>
      </pivotArea>
    </format>
    <format dxfId="22">
      <pivotArea collapsedLevelsAreSubtotals="1" fieldPosition="0">
        <references count="1">
          <reference field="2" count="1">
            <x v="9"/>
          </reference>
        </references>
      </pivotArea>
    </format>
    <format dxfId="21">
      <pivotArea grandRow="1" outline="0" collapsedLevelsAreSubtotals="1" fieldPosition="0"/>
    </format>
    <format dxfId="20">
      <pivotArea type="all" dataOnly="0" outline="0" fieldPosition="0"/>
    </format>
    <format dxfId="19">
      <pivotArea outline="0" collapsedLevelsAreSubtotals="1" fieldPosition="0"/>
    </format>
    <format dxfId="18">
      <pivotArea field="2" type="button" dataOnly="0" labelOnly="1" outline="0" axis="axisRow" fieldPosition="0"/>
    </format>
    <format dxfId="17">
      <pivotArea dataOnly="0" labelOnly="1" fieldPosition="0">
        <references count="1">
          <reference field="2" count="0"/>
        </references>
      </pivotArea>
    </format>
    <format dxfId="16">
      <pivotArea dataOnly="0" labelOnly="1" grandRow="1" outline="0" fieldPosition="0"/>
    </format>
    <format dxfId="15">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2">
          <reference field="4294967294" count="1" selected="0">
            <x v="0"/>
          </reference>
          <reference field="2" count="1" selected="0">
            <x v="1"/>
          </reference>
        </references>
      </pivotArea>
    </chartFormat>
    <chartFormat chart="3" format="4" series="1">
      <pivotArea type="data" outline="0" fieldPosition="0">
        <references count="2">
          <reference field="4294967294" count="1" selected="0">
            <x v="0"/>
          </reference>
          <reference field="2" count="1" selected="0">
            <x v="2"/>
          </reference>
        </references>
      </pivotArea>
    </chartFormat>
    <chartFormat chart="3" format="5" series="1">
      <pivotArea type="data" outline="0" fieldPosition="0">
        <references count="2">
          <reference field="4294967294" count="1" selected="0">
            <x v="0"/>
          </reference>
          <reference field="2" count="1" selected="0">
            <x v="3"/>
          </reference>
        </references>
      </pivotArea>
    </chartFormat>
    <chartFormat chart="3" format="6" series="1">
      <pivotArea type="data" outline="0" fieldPosition="0">
        <references count="2">
          <reference field="4294967294" count="1" selected="0">
            <x v="0"/>
          </reference>
          <reference field="2" count="1" selected="0">
            <x v="4"/>
          </reference>
        </references>
      </pivotArea>
    </chartFormat>
    <chartFormat chart="3" format="7" series="1">
      <pivotArea type="data" outline="0" fieldPosition="0">
        <references count="2">
          <reference field="4294967294" count="1" selected="0">
            <x v="0"/>
          </reference>
          <reference field="2" count="1" selected="0">
            <x v="5"/>
          </reference>
        </references>
      </pivotArea>
    </chartFormat>
    <chartFormat chart="3" format="8" series="1">
      <pivotArea type="data" outline="0" fieldPosition="0">
        <references count="2">
          <reference field="4294967294" count="1" selected="0">
            <x v="0"/>
          </reference>
          <reference field="2" count="1" selected="0">
            <x v="6"/>
          </reference>
        </references>
      </pivotArea>
    </chartFormat>
    <chartFormat chart="3" format="9" series="1">
      <pivotArea type="data" outline="0" fieldPosition="0">
        <references count="2">
          <reference field="4294967294" count="1" selected="0">
            <x v="0"/>
          </reference>
          <reference field="2" count="1" selected="0">
            <x v="7"/>
          </reference>
        </references>
      </pivotArea>
    </chartFormat>
    <chartFormat chart="3" format="10" series="1">
      <pivotArea type="data" outline="0" fieldPosition="0">
        <references count="2">
          <reference field="4294967294" count="1" selected="0">
            <x v="0"/>
          </reference>
          <reference field="2" count="1" selected="0">
            <x v="8"/>
          </reference>
        </references>
      </pivotArea>
    </chartFormat>
    <chartFormat chart="3" format="11" series="1">
      <pivotArea type="data" outline="0" fieldPosition="0">
        <references count="2">
          <reference field="4294967294" count="1" selected="0">
            <x v="0"/>
          </reference>
          <reference field="2" count="1" selected="0">
            <x v="9"/>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0" format="8" series="1">
      <pivotArea type="data" outline="0" fieldPosition="0">
        <references count="2">
          <reference field="4294967294" count="1" selected="0">
            <x v="0"/>
          </reference>
          <reference field="2" count="1" selected="0">
            <x v="8"/>
          </reference>
        </references>
      </pivotArea>
    </chartFormat>
    <chartFormat chart="0" format="9" series="1">
      <pivotArea type="data" outline="0" fieldPosition="0">
        <references count="2">
          <reference field="4294967294" count="1" selected="0">
            <x v="0"/>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BB0B94-0331-4668-AC57-B40AB7C28A04}" name="02_Top_Exporting_Countrie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Reporter Name (Country)">
  <location ref="A22:B33" firstHeaderRow="1"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axis="axisRow" showAll="0" measureFilter="1" sortType="descending">
      <items count="183">
        <item x="181"/>
        <item x="180"/>
        <item x="178"/>
        <item x="176"/>
        <item x="174"/>
        <item x="173"/>
        <item x="172"/>
        <item x="169"/>
        <item x="60"/>
        <item x="5"/>
        <item x="171"/>
        <item x="170"/>
        <item x="168"/>
        <item x="167"/>
        <item x="166"/>
        <item x="165"/>
        <item x="161"/>
        <item x="164"/>
        <item x="162"/>
        <item x="163"/>
        <item x="158"/>
        <item x="155"/>
        <item x="147"/>
        <item x="141"/>
        <item x="100"/>
        <item x="53"/>
        <item x="179"/>
        <item x="150"/>
        <item x="157"/>
        <item x="156"/>
        <item x="149"/>
        <item x="151"/>
        <item x="160"/>
        <item x="153"/>
        <item x="148"/>
        <item x="146"/>
        <item x="154"/>
        <item x="177"/>
        <item x="175"/>
        <item x="99"/>
        <item x="92"/>
        <item x="145"/>
        <item x="144"/>
        <item x="143"/>
        <item x="107"/>
        <item x="93"/>
        <item x="142"/>
        <item x="139"/>
        <item x="138"/>
        <item x="135"/>
        <item x="134"/>
        <item x="140"/>
        <item x="137"/>
        <item x="133"/>
        <item x="136"/>
        <item x="132"/>
        <item x="131"/>
        <item x="111"/>
        <item x="126"/>
        <item x="125"/>
        <item x="127"/>
        <item x="130"/>
        <item x="124"/>
        <item x="128"/>
        <item x="129"/>
        <item x="123"/>
        <item x="114"/>
        <item x="117"/>
        <item x="106"/>
        <item x="119"/>
        <item x="115"/>
        <item x="116"/>
        <item x="110"/>
        <item x="120"/>
        <item x="118"/>
        <item x="113"/>
        <item x="112"/>
        <item x="109"/>
        <item x="122"/>
        <item x="121"/>
        <item x="108"/>
        <item x="103"/>
        <item x="102"/>
        <item x="98"/>
        <item x="97"/>
        <item x="101"/>
        <item x="96"/>
        <item x="104"/>
        <item x="95"/>
        <item x="89"/>
        <item x="94"/>
        <item x="91"/>
        <item x="88"/>
        <item x="87"/>
        <item x="85"/>
        <item x="86"/>
        <item x="84"/>
        <item x="83"/>
        <item x="82"/>
        <item x="78"/>
        <item x="80"/>
        <item x="79"/>
        <item x="76"/>
        <item x="77"/>
        <item x="81"/>
        <item x="75"/>
        <item x="72"/>
        <item x="74"/>
        <item x="70"/>
        <item x="65"/>
        <item x="63"/>
        <item x="69"/>
        <item x="67"/>
        <item x="68"/>
        <item x="66"/>
        <item x="62"/>
        <item x="61"/>
        <item x="64"/>
        <item x="59"/>
        <item x="58"/>
        <item x="56"/>
        <item x="57"/>
        <item x="55"/>
        <item x="159"/>
        <item x="54"/>
        <item x="152"/>
        <item x="52"/>
        <item x="51"/>
        <item x="49"/>
        <item x="47"/>
        <item x="46"/>
        <item x="48"/>
        <item x="35"/>
        <item x="45"/>
        <item x="44"/>
        <item x="42"/>
        <item x="41"/>
        <item x="73"/>
        <item x="40"/>
        <item x="36"/>
        <item x="38"/>
        <item x="37"/>
        <item x="105"/>
        <item x="71"/>
        <item x="33"/>
        <item x="32"/>
        <item x="30"/>
        <item x="43"/>
        <item x="31"/>
        <item x="34"/>
        <item x="90"/>
        <item x="39"/>
        <item x="12"/>
        <item x="15"/>
        <item x="17"/>
        <item x="27"/>
        <item x="25"/>
        <item x="29"/>
        <item x="20"/>
        <item x="24"/>
        <item x="28"/>
        <item x="23"/>
        <item x="14"/>
        <item x="22"/>
        <item x="13"/>
        <item x="21"/>
        <item x="26"/>
        <item x="16"/>
        <item x="18"/>
        <item x="19"/>
        <item x="11"/>
        <item x="10"/>
        <item x="9"/>
        <item x="0"/>
        <item x="7"/>
        <item x="6"/>
        <item x="8"/>
        <item x="2"/>
        <item x="4"/>
        <item x="50"/>
        <item x="3"/>
        <item x="1"/>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dataField="1" showAll="0"/>
    <pivotField showAll="0"/>
    <pivotField showAll="0"/>
    <pivotField showAll="0"/>
    <pivotField showAll="0"/>
    <pivotField showAll="0"/>
    <pivotField showAll="0"/>
    <pivotField showAll="0"/>
  </pivotFields>
  <rowFields count="1">
    <field x="1"/>
  </rowFields>
  <rowItems count="11">
    <i>
      <x v="144"/>
    </i>
    <i>
      <x v="5"/>
    </i>
    <i>
      <x v="95"/>
    </i>
    <i>
      <x v="63"/>
    </i>
    <i>
      <x v="45"/>
    </i>
    <i>
      <x v="143"/>
    </i>
    <i>
      <x v="119"/>
    </i>
    <i>
      <x v="97"/>
    </i>
    <i>
      <x v="72"/>
    </i>
    <i>
      <x v="148"/>
    </i>
    <i t="grand">
      <x/>
    </i>
  </rowItems>
  <colItems count="1">
    <i/>
  </colItems>
  <dataFields count="1">
    <dataField name="Total Exports (In USD)" fld="3" baseField="1" baseItem="0"/>
  </dataFields>
  <formats count="94">
    <format dxfId="127">
      <pivotArea collapsedLevelsAreSubtotals="1" fieldPosition="0">
        <references count="1">
          <reference field="1" count="1">
            <x v="181"/>
          </reference>
        </references>
      </pivotArea>
    </format>
    <format dxfId="126">
      <pivotArea collapsedLevelsAreSubtotals="1" fieldPosition="0">
        <references count="1">
          <reference field="1" count="1">
            <x v="180"/>
          </reference>
        </references>
      </pivotArea>
    </format>
    <format dxfId="125">
      <pivotArea collapsedLevelsAreSubtotals="1" fieldPosition="0">
        <references count="1">
          <reference field="1" count="1">
            <x v="179"/>
          </reference>
        </references>
      </pivotArea>
    </format>
    <format dxfId="124">
      <pivotArea collapsedLevelsAreSubtotals="1" fieldPosition="0">
        <references count="1">
          <reference field="1" count="1">
            <x v="178"/>
          </reference>
        </references>
      </pivotArea>
    </format>
    <format dxfId="123">
      <pivotArea collapsedLevelsAreSubtotals="1" fieldPosition="0">
        <references count="1">
          <reference field="1" count="1">
            <x v="177"/>
          </reference>
        </references>
      </pivotArea>
    </format>
    <format dxfId="122">
      <pivotArea collapsedLevelsAreSubtotals="1" fieldPosition="0">
        <references count="1">
          <reference field="1" count="1">
            <x v="176"/>
          </reference>
        </references>
      </pivotArea>
    </format>
    <format dxfId="121">
      <pivotArea collapsedLevelsAreSubtotals="1" fieldPosition="0">
        <references count="1">
          <reference field="1" count="1">
            <x v="175"/>
          </reference>
        </references>
      </pivotArea>
    </format>
    <format dxfId="120">
      <pivotArea collapsedLevelsAreSubtotals="1" fieldPosition="0">
        <references count="1">
          <reference field="1" count="1">
            <x v="174"/>
          </reference>
        </references>
      </pivotArea>
    </format>
    <format dxfId="119">
      <pivotArea collapsedLevelsAreSubtotals="1" fieldPosition="0">
        <references count="1">
          <reference field="1" count="1">
            <x v="173"/>
          </reference>
        </references>
      </pivotArea>
    </format>
    <format dxfId="118">
      <pivotArea collapsedLevelsAreSubtotals="1" fieldPosition="0">
        <references count="1">
          <reference field="1" count="1">
            <x v="172"/>
          </reference>
        </references>
      </pivotArea>
    </format>
    <format dxfId="117">
      <pivotArea collapsedLevelsAreSubtotals="1" fieldPosition="0">
        <references count="1">
          <reference field="1" count="1">
            <x v="171"/>
          </reference>
        </references>
      </pivotArea>
    </format>
    <format dxfId="116">
      <pivotArea collapsedLevelsAreSubtotals="1" fieldPosition="0">
        <references count="1">
          <reference field="1" count="1">
            <x v="170"/>
          </reference>
        </references>
      </pivotArea>
    </format>
    <format dxfId="115">
      <pivotArea collapsedLevelsAreSubtotals="1" fieldPosition="0">
        <references count="1">
          <reference field="1" count="1">
            <x v="169"/>
          </reference>
        </references>
      </pivotArea>
    </format>
    <format dxfId="114">
      <pivotArea collapsedLevelsAreSubtotals="1" fieldPosition="0">
        <references count="1">
          <reference field="1" count="1">
            <x v="168"/>
          </reference>
        </references>
      </pivotArea>
    </format>
    <format dxfId="113">
      <pivotArea collapsedLevelsAreSubtotals="1" fieldPosition="0">
        <references count="1">
          <reference field="1" count="1">
            <x v="167"/>
          </reference>
        </references>
      </pivotArea>
    </format>
    <format dxfId="112">
      <pivotArea collapsedLevelsAreSubtotals="1" fieldPosition="0">
        <references count="1">
          <reference field="1" count="1">
            <x v="166"/>
          </reference>
        </references>
      </pivotArea>
    </format>
    <format dxfId="111">
      <pivotArea collapsedLevelsAreSubtotals="1" fieldPosition="0">
        <references count="1">
          <reference field="1" count="1">
            <x v="165"/>
          </reference>
        </references>
      </pivotArea>
    </format>
    <format dxfId="110">
      <pivotArea collapsedLevelsAreSubtotals="1" fieldPosition="0">
        <references count="1">
          <reference field="1" count="1">
            <x v="164"/>
          </reference>
        </references>
      </pivotArea>
    </format>
    <format dxfId="109">
      <pivotArea collapsedLevelsAreSubtotals="1" fieldPosition="0">
        <references count="1">
          <reference field="1" count="1">
            <x v="163"/>
          </reference>
        </references>
      </pivotArea>
    </format>
    <format dxfId="108">
      <pivotArea collapsedLevelsAreSubtotals="1" fieldPosition="0">
        <references count="1">
          <reference field="1" count="1">
            <x v="162"/>
          </reference>
        </references>
      </pivotArea>
    </format>
    <format dxfId="107">
      <pivotArea collapsedLevelsAreSubtotals="1" fieldPosition="0">
        <references count="1">
          <reference field="1" count="1">
            <x v="161"/>
          </reference>
        </references>
      </pivotArea>
    </format>
    <format dxfId="106">
      <pivotArea collapsedLevelsAreSubtotals="1" fieldPosition="0">
        <references count="1">
          <reference field="1" count="1">
            <x v="160"/>
          </reference>
        </references>
      </pivotArea>
    </format>
    <format dxfId="105">
      <pivotArea collapsedLevelsAreSubtotals="1" fieldPosition="0">
        <references count="1">
          <reference field="1" count="1">
            <x v="159"/>
          </reference>
        </references>
      </pivotArea>
    </format>
    <format dxfId="104">
      <pivotArea collapsedLevelsAreSubtotals="1" fieldPosition="0">
        <references count="1">
          <reference field="1" count="1">
            <x v="158"/>
          </reference>
        </references>
      </pivotArea>
    </format>
    <format dxfId="103">
      <pivotArea collapsedLevelsAreSubtotals="1" fieldPosition="0">
        <references count="1">
          <reference field="1" count="1">
            <x v="157"/>
          </reference>
        </references>
      </pivotArea>
    </format>
    <format dxfId="102">
      <pivotArea collapsedLevelsAreSubtotals="1" fieldPosition="0">
        <references count="1">
          <reference field="1" count="1">
            <x v="156"/>
          </reference>
        </references>
      </pivotArea>
    </format>
    <format dxfId="101">
      <pivotArea collapsedLevelsAreSubtotals="1" fieldPosition="0">
        <references count="1">
          <reference field="1" count="1">
            <x v="155"/>
          </reference>
        </references>
      </pivotArea>
    </format>
    <format dxfId="100">
      <pivotArea collapsedLevelsAreSubtotals="1" fieldPosition="0">
        <references count="1">
          <reference field="1" count="1">
            <x v="154"/>
          </reference>
        </references>
      </pivotArea>
    </format>
    <format dxfId="99">
      <pivotArea collapsedLevelsAreSubtotals="1" fieldPosition="0">
        <references count="1">
          <reference field="1" count="1">
            <x v="153"/>
          </reference>
        </references>
      </pivotArea>
    </format>
    <format dxfId="98">
      <pivotArea collapsedLevelsAreSubtotals="1" fieldPosition="0">
        <references count="1">
          <reference field="1" count="1">
            <x v="152"/>
          </reference>
        </references>
      </pivotArea>
    </format>
    <format dxfId="97">
      <pivotArea collapsedLevelsAreSubtotals="1" fieldPosition="0">
        <references count="1">
          <reference field="1" count="1">
            <x v="151"/>
          </reference>
        </references>
      </pivotArea>
    </format>
    <format dxfId="96">
      <pivotArea collapsedLevelsAreSubtotals="1" fieldPosition="0">
        <references count="1">
          <reference field="1" count="1">
            <x v="150"/>
          </reference>
        </references>
      </pivotArea>
    </format>
    <format dxfId="95">
      <pivotArea collapsedLevelsAreSubtotals="1" fieldPosition="0">
        <references count="1">
          <reference field="1" count="1">
            <x v="149"/>
          </reference>
        </references>
      </pivotArea>
    </format>
    <format dxfId="94">
      <pivotArea collapsedLevelsAreSubtotals="1" fieldPosition="0">
        <references count="1">
          <reference field="1" count="1">
            <x v="148"/>
          </reference>
        </references>
      </pivotArea>
    </format>
    <format dxfId="93">
      <pivotArea collapsedLevelsAreSubtotals="1" fieldPosition="0">
        <references count="1">
          <reference field="1" count="1">
            <x v="147"/>
          </reference>
        </references>
      </pivotArea>
    </format>
    <format dxfId="92">
      <pivotArea collapsedLevelsAreSubtotals="1" fieldPosition="0">
        <references count="1">
          <reference field="1" count="1">
            <x v="146"/>
          </reference>
        </references>
      </pivotArea>
    </format>
    <format dxfId="91">
      <pivotArea collapsedLevelsAreSubtotals="1" fieldPosition="0">
        <references count="1">
          <reference field="1" count="1">
            <x v="145"/>
          </reference>
        </references>
      </pivotArea>
    </format>
    <format dxfId="90">
      <pivotArea collapsedLevelsAreSubtotals="1" fieldPosition="0">
        <references count="1">
          <reference field="1" count="1">
            <x v="144"/>
          </reference>
        </references>
      </pivotArea>
    </format>
    <format dxfId="89">
      <pivotArea collapsedLevelsAreSubtotals="1" fieldPosition="0">
        <references count="1">
          <reference field="1" count="1">
            <x v="143"/>
          </reference>
        </references>
      </pivotArea>
    </format>
    <format dxfId="88">
      <pivotArea collapsedLevelsAreSubtotals="1" fieldPosition="0">
        <references count="1">
          <reference field="1" count="1">
            <x v="142"/>
          </reference>
        </references>
      </pivotArea>
    </format>
    <format dxfId="87">
      <pivotArea collapsedLevelsAreSubtotals="1" fieldPosition="0">
        <references count="1">
          <reference field="1" count="1">
            <x v="141"/>
          </reference>
        </references>
      </pivotArea>
    </format>
    <format dxfId="86">
      <pivotArea collapsedLevelsAreSubtotals="1" fieldPosition="0">
        <references count="1">
          <reference field="1" count="1">
            <x v="140"/>
          </reference>
        </references>
      </pivotArea>
    </format>
    <format dxfId="85">
      <pivotArea collapsedLevelsAreSubtotals="1" fieldPosition="0">
        <references count="1">
          <reference field="1" count="1">
            <x v="139"/>
          </reference>
        </references>
      </pivotArea>
    </format>
    <format dxfId="84">
      <pivotArea collapsedLevelsAreSubtotals="1" fieldPosition="0">
        <references count="1">
          <reference field="1" count="1">
            <x v="138"/>
          </reference>
        </references>
      </pivotArea>
    </format>
    <format dxfId="83">
      <pivotArea collapsedLevelsAreSubtotals="1" fieldPosition="0">
        <references count="1">
          <reference field="1" count="1">
            <x v="137"/>
          </reference>
        </references>
      </pivotArea>
    </format>
    <format dxfId="82">
      <pivotArea collapsedLevelsAreSubtotals="1" fieldPosition="0">
        <references count="1">
          <reference field="1" count="1">
            <x v="136"/>
          </reference>
        </references>
      </pivotArea>
    </format>
    <format dxfId="81">
      <pivotArea collapsedLevelsAreSubtotals="1" fieldPosition="0">
        <references count="1">
          <reference field="1" count="1">
            <x v="135"/>
          </reference>
        </references>
      </pivotArea>
    </format>
    <format dxfId="80">
      <pivotArea collapsedLevelsAreSubtotals="1" fieldPosition="0">
        <references count="1">
          <reference field="1" count="1">
            <x v="134"/>
          </reference>
        </references>
      </pivotArea>
    </format>
    <format dxfId="79">
      <pivotArea collapsedLevelsAreSubtotals="1" fieldPosition="0">
        <references count="1">
          <reference field="1" count="1">
            <x v="133"/>
          </reference>
        </references>
      </pivotArea>
    </format>
    <format dxfId="78">
      <pivotArea collapsedLevelsAreSubtotals="1" fieldPosition="0">
        <references count="1">
          <reference field="1" count="1">
            <x v="132"/>
          </reference>
        </references>
      </pivotArea>
    </format>
    <format dxfId="77">
      <pivotArea collapsedLevelsAreSubtotals="1" fieldPosition="0">
        <references count="1">
          <reference field="1" count="1">
            <x v="131"/>
          </reference>
        </references>
      </pivotArea>
    </format>
    <format dxfId="76">
      <pivotArea collapsedLevelsAreSubtotals="1" fieldPosition="0">
        <references count="1">
          <reference field="1" count="1">
            <x v="130"/>
          </reference>
        </references>
      </pivotArea>
    </format>
    <format dxfId="75">
      <pivotArea collapsedLevelsAreSubtotals="1" fieldPosition="0">
        <references count="1">
          <reference field="1" count="1">
            <x v="129"/>
          </reference>
        </references>
      </pivotArea>
    </format>
    <format dxfId="74">
      <pivotArea collapsedLevelsAreSubtotals="1" fieldPosition="0">
        <references count="1">
          <reference field="1" count="1">
            <x v="128"/>
          </reference>
        </references>
      </pivotArea>
    </format>
    <format dxfId="73">
      <pivotArea collapsedLevelsAreSubtotals="1" fieldPosition="0">
        <references count="1">
          <reference field="1" count="1">
            <x v="127"/>
          </reference>
        </references>
      </pivotArea>
    </format>
    <format dxfId="72">
      <pivotArea collapsedLevelsAreSubtotals="1" fieldPosition="0">
        <references count="1">
          <reference field="1" count="1">
            <x v="126"/>
          </reference>
        </references>
      </pivotArea>
    </format>
    <format dxfId="71">
      <pivotArea collapsedLevelsAreSubtotals="1" fieldPosition="0">
        <references count="1">
          <reference field="1" count="1">
            <x v="125"/>
          </reference>
        </references>
      </pivotArea>
    </format>
    <format dxfId="70">
      <pivotArea collapsedLevelsAreSubtotals="1" fieldPosition="0">
        <references count="1">
          <reference field="1" count="1">
            <x v="124"/>
          </reference>
        </references>
      </pivotArea>
    </format>
    <format dxfId="69">
      <pivotArea collapsedLevelsAreSubtotals="1" fieldPosition="0">
        <references count="1">
          <reference field="1" count="1">
            <x v="123"/>
          </reference>
        </references>
      </pivotArea>
    </format>
    <format dxfId="68">
      <pivotArea collapsedLevelsAreSubtotals="1" fieldPosition="0">
        <references count="1">
          <reference field="1" count="1">
            <x v="122"/>
          </reference>
        </references>
      </pivotArea>
    </format>
    <format dxfId="67">
      <pivotArea collapsedLevelsAreSubtotals="1" fieldPosition="0">
        <references count="1">
          <reference field="1" count="1">
            <x v="121"/>
          </reference>
        </references>
      </pivotArea>
    </format>
    <format dxfId="66">
      <pivotArea collapsedLevelsAreSubtotals="1" fieldPosition="0">
        <references count="1">
          <reference field="1" count="1">
            <x v="120"/>
          </reference>
        </references>
      </pivotArea>
    </format>
    <format dxfId="65">
      <pivotArea collapsedLevelsAreSubtotals="1" fieldPosition="0">
        <references count="1">
          <reference field="1" count="1">
            <x v="119"/>
          </reference>
        </references>
      </pivotArea>
    </format>
    <format dxfId="64">
      <pivotArea collapsedLevelsAreSubtotals="1" fieldPosition="0">
        <references count="1">
          <reference field="1" count="1">
            <x v="117"/>
          </reference>
        </references>
      </pivotArea>
    </format>
    <format dxfId="63">
      <pivotArea collapsedLevelsAreSubtotals="1" fieldPosition="0">
        <references count="1">
          <reference field="1" count="1">
            <x v="118"/>
          </reference>
        </references>
      </pivotArea>
    </format>
    <format dxfId="62">
      <pivotArea collapsedLevelsAreSubtotals="1" fieldPosition="0">
        <references count="1">
          <reference field="1" count="1">
            <x v="116"/>
          </reference>
        </references>
      </pivotArea>
    </format>
    <format dxfId="61">
      <pivotArea collapsedLevelsAreSubtotals="1" fieldPosition="0">
        <references count="1">
          <reference field="1" count="1">
            <x v="115"/>
          </reference>
        </references>
      </pivotArea>
    </format>
    <format dxfId="60">
      <pivotArea collapsedLevelsAreSubtotals="1" fieldPosition="0">
        <references count="1">
          <reference field="1" count="1">
            <x v="114"/>
          </reference>
        </references>
      </pivotArea>
    </format>
    <format dxfId="59">
      <pivotArea collapsedLevelsAreSubtotals="1" fieldPosition="0">
        <references count="1">
          <reference field="1" count="1">
            <x v="113"/>
          </reference>
        </references>
      </pivotArea>
    </format>
    <format dxfId="58">
      <pivotArea collapsedLevelsAreSubtotals="1" fieldPosition="0">
        <references count="1">
          <reference field="1" count="1">
            <x v="112"/>
          </reference>
        </references>
      </pivotArea>
    </format>
    <format dxfId="57">
      <pivotArea collapsedLevelsAreSubtotals="1" fieldPosition="0">
        <references count="1">
          <reference field="1" count="1">
            <x v="111"/>
          </reference>
        </references>
      </pivotArea>
    </format>
    <format dxfId="56">
      <pivotArea collapsedLevelsAreSubtotals="1" fieldPosition="0">
        <references count="1">
          <reference field="1" count="1">
            <x v="110"/>
          </reference>
        </references>
      </pivotArea>
    </format>
    <format dxfId="55">
      <pivotArea collapsedLevelsAreSubtotals="1" fieldPosition="0">
        <references count="1">
          <reference field="1" count="1">
            <x v="109"/>
          </reference>
        </references>
      </pivotArea>
    </format>
    <format dxfId="54">
      <pivotArea collapsedLevelsAreSubtotals="1" fieldPosition="0">
        <references count="1">
          <reference field="1" count="1">
            <x v="108"/>
          </reference>
        </references>
      </pivotArea>
    </format>
    <format dxfId="53">
      <pivotArea collapsedLevelsAreSubtotals="1" fieldPosition="0">
        <references count="1">
          <reference field="1" count="2">
            <x v="106"/>
            <x v="107"/>
          </reference>
        </references>
      </pivotArea>
    </format>
    <format dxfId="52">
      <pivotArea collapsedLevelsAreSubtotals="1" fieldPosition="0">
        <references count="1">
          <reference field="1" count="1">
            <x v="105"/>
          </reference>
        </references>
      </pivotArea>
    </format>
    <format dxfId="51">
      <pivotArea collapsedLevelsAreSubtotals="1" fieldPosition="0">
        <references count="1">
          <reference field="1" count="1">
            <x v="104"/>
          </reference>
        </references>
      </pivotArea>
    </format>
    <format dxfId="50">
      <pivotArea collapsedLevelsAreSubtotals="1" fieldPosition="0">
        <references count="1">
          <reference field="1" count="1">
            <x v="103"/>
          </reference>
        </references>
      </pivotArea>
    </format>
    <format dxfId="49">
      <pivotArea collapsedLevelsAreSubtotals="1" fieldPosition="0">
        <references count="1">
          <reference field="1" count="1">
            <x v="102"/>
          </reference>
        </references>
      </pivotArea>
    </format>
    <format dxfId="48">
      <pivotArea collapsedLevelsAreSubtotals="1" fieldPosition="0">
        <references count="1">
          <reference field="1" count="1">
            <x v="101"/>
          </reference>
        </references>
      </pivotArea>
    </format>
    <format dxfId="47">
      <pivotArea collapsedLevelsAreSubtotals="1" fieldPosition="0">
        <references count="1">
          <reference field="1" count="1">
            <x v="100"/>
          </reference>
        </references>
      </pivotArea>
    </format>
    <format dxfId="46">
      <pivotArea collapsedLevelsAreSubtotals="1" fieldPosition="0">
        <references count="1">
          <reference field="1" count="1">
            <x v="99"/>
          </reference>
        </references>
      </pivotArea>
    </format>
    <format dxfId="45">
      <pivotArea collapsedLevelsAreSubtotals="1" fieldPosition="0">
        <references count="1">
          <reference field="1" count="2">
            <x v="97"/>
            <x v="98"/>
          </reference>
        </references>
      </pivotArea>
    </format>
    <format dxfId="44">
      <pivotArea collapsedLevelsAreSubtotals="1" fieldPosition="0">
        <references count="1">
          <reference field="1" count="2">
            <x v="95"/>
            <x v="96"/>
          </reference>
        </references>
      </pivotArea>
    </format>
    <format dxfId="43">
      <pivotArea collapsedLevelsAreSubtotals="1" fieldPosition="0">
        <references count="1">
          <reference field="1" count="93">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x v="50"/>
            <x v="51"/>
            <x v="52"/>
            <x v="53"/>
            <x v="54"/>
            <x v="55"/>
            <x v="56"/>
            <x v="57"/>
            <x v="58"/>
            <x v="59"/>
            <x v="60"/>
            <x v="61"/>
            <x v="62"/>
            <x v="63"/>
            <x v="64"/>
            <x v="65"/>
            <x v="66"/>
            <x v="67"/>
            <x v="68"/>
            <x v="69"/>
            <x v="70"/>
            <x v="71"/>
            <x v="72"/>
            <x v="73"/>
            <x v="74"/>
            <x v="75"/>
            <x v="76"/>
            <x v="77"/>
            <x v="78"/>
            <x v="79"/>
            <x v="80"/>
            <x v="81"/>
            <x v="82"/>
            <x v="83"/>
            <x v="84"/>
            <x v="85"/>
            <x v="86"/>
            <x v="87"/>
            <x v="88"/>
            <x v="89"/>
            <x v="90"/>
            <x v="91"/>
            <x v="92"/>
          </reference>
        </references>
      </pivotArea>
    </format>
    <format dxfId="42">
      <pivotArea grandRow="1" outline="0" collapsedLevelsAreSubtotals="1" fieldPosition="0"/>
    </format>
    <format dxfId="41">
      <pivotArea dataOnly="0" labelOnly="1" outline="0" axis="axisValues" fieldPosition="0"/>
    </format>
    <format dxfId="40">
      <pivotArea field="1" type="button" dataOnly="0" labelOnly="1" outline="0" axis="axisRow" fieldPosition="0"/>
    </format>
    <format dxfId="39">
      <pivotArea type="all" dataOnly="0" outline="0" fieldPosition="0"/>
    </format>
    <format dxfId="38">
      <pivotArea outline="0" collapsedLevelsAreSubtotals="1" fieldPosition="0"/>
    </format>
    <format dxfId="37">
      <pivotArea field="1" type="button" dataOnly="0" labelOnly="1" outline="0" axis="axisRow" fieldPosition="0"/>
    </format>
    <format dxfId="36">
      <pivotArea dataOnly="0" labelOnly="1" fieldPosition="0">
        <references count="1">
          <reference field="1" count="10">
            <x v="5"/>
            <x v="45"/>
            <x v="63"/>
            <x v="72"/>
            <x v="95"/>
            <x v="97"/>
            <x v="119"/>
            <x v="143"/>
            <x v="144"/>
            <x v="148"/>
          </reference>
        </references>
      </pivotArea>
    </format>
    <format dxfId="35">
      <pivotArea dataOnly="0" labelOnly="1" grandRow="1" outline="0" fieldPosition="0"/>
    </format>
    <format dxfId="34">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1" count="1" selected="0">
            <x v="144"/>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AF320C-E263-4CDA-91B1-C98490B82684}" name="05_Trade_Openness"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5" rowHeaderCaption="Reporting Countries">
  <location ref="A418:B439" firstHeaderRow="1" firstDataRow="1" firstDataCol="1"/>
  <pivotFields count="11">
    <pivotField showAll="0">
      <items count="183">
        <item x="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axis="axisRow" showAll="0" measureFilter="1" sortType="descending">
      <items count="183">
        <item x="1"/>
        <item x="3"/>
        <item x="50"/>
        <item x="4"/>
        <item x="2"/>
        <item x="8"/>
        <item x="6"/>
        <item x="7"/>
        <item x="0"/>
        <item x="9"/>
        <item x="10"/>
        <item x="11"/>
        <item x="19"/>
        <item x="18"/>
        <item x="16"/>
        <item x="26"/>
        <item x="21"/>
        <item x="13"/>
        <item x="22"/>
        <item x="14"/>
        <item x="23"/>
        <item x="28"/>
        <item x="24"/>
        <item x="20"/>
        <item x="29"/>
        <item x="25"/>
        <item x="27"/>
        <item x="17"/>
        <item x="15"/>
        <item x="12"/>
        <item x="39"/>
        <item x="90"/>
        <item x="34"/>
        <item x="31"/>
        <item x="43"/>
        <item x="30"/>
        <item x="32"/>
        <item x="33"/>
        <item x="71"/>
        <item x="105"/>
        <item x="37"/>
        <item x="38"/>
        <item x="36"/>
        <item x="40"/>
        <item x="73"/>
        <item x="41"/>
        <item x="42"/>
        <item x="44"/>
        <item x="45"/>
        <item x="35"/>
        <item x="48"/>
        <item x="46"/>
        <item x="47"/>
        <item x="49"/>
        <item x="51"/>
        <item x="52"/>
        <item x="152"/>
        <item x="54"/>
        <item x="159"/>
        <item x="55"/>
        <item x="57"/>
        <item x="56"/>
        <item x="58"/>
        <item x="59"/>
        <item x="64"/>
        <item x="61"/>
        <item x="62"/>
        <item x="66"/>
        <item x="68"/>
        <item x="67"/>
        <item x="69"/>
        <item x="63"/>
        <item x="65"/>
        <item x="70"/>
        <item x="74"/>
        <item x="72"/>
        <item x="75"/>
        <item x="81"/>
        <item x="77"/>
        <item x="76"/>
        <item x="79"/>
        <item x="80"/>
        <item x="78"/>
        <item x="82"/>
        <item x="83"/>
        <item x="84"/>
        <item x="86"/>
        <item x="85"/>
        <item x="87"/>
        <item x="88"/>
        <item x="91"/>
        <item x="94"/>
        <item x="89"/>
        <item x="95"/>
        <item x="104"/>
        <item x="96"/>
        <item x="101"/>
        <item x="97"/>
        <item x="98"/>
        <item x="102"/>
        <item x="103"/>
        <item x="108"/>
        <item x="121"/>
        <item x="122"/>
        <item x="109"/>
        <item x="112"/>
        <item x="113"/>
        <item x="118"/>
        <item x="120"/>
        <item x="110"/>
        <item x="116"/>
        <item x="115"/>
        <item x="119"/>
        <item x="106"/>
        <item x="117"/>
        <item x="114"/>
        <item x="123"/>
        <item x="129"/>
        <item x="128"/>
        <item x="124"/>
        <item x="130"/>
        <item x="127"/>
        <item x="125"/>
        <item x="126"/>
        <item x="111"/>
        <item x="131"/>
        <item x="132"/>
        <item x="136"/>
        <item x="133"/>
        <item x="137"/>
        <item x="140"/>
        <item x="134"/>
        <item x="135"/>
        <item x="138"/>
        <item x="139"/>
        <item x="142"/>
        <item x="93"/>
        <item x="107"/>
        <item x="143"/>
        <item x="144"/>
        <item x="145"/>
        <item x="92"/>
        <item x="99"/>
        <item x="175"/>
        <item x="177"/>
        <item x="154"/>
        <item x="146"/>
        <item x="148"/>
        <item x="153"/>
        <item x="160"/>
        <item x="151"/>
        <item x="149"/>
        <item x="156"/>
        <item x="157"/>
        <item x="150"/>
        <item x="179"/>
        <item x="53"/>
        <item x="100"/>
        <item x="141"/>
        <item x="147"/>
        <item x="155"/>
        <item x="158"/>
        <item x="163"/>
        <item x="162"/>
        <item x="164"/>
        <item x="161"/>
        <item x="165"/>
        <item x="166"/>
        <item x="167"/>
        <item x="168"/>
        <item x="170"/>
        <item x="171"/>
        <item x="5"/>
        <item x="60"/>
        <item x="169"/>
        <item x="172"/>
        <item x="173"/>
        <item x="174"/>
        <item x="176"/>
        <item x="178"/>
        <item x="180"/>
        <item x="181"/>
        <item t="default"/>
      </items>
      <autoSortScope>
        <pivotArea dataOnly="0" outline="0" fieldPosition="0">
          <references count="1">
            <reference field="4294967294" count="1" selected="0">
              <x v="0"/>
            </reference>
          </references>
        </pivotArea>
      </autoSortScope>
    </pivotField>
    <pivotField showAll="0">
      <items count="11">
        <item x="0"/>
        <item x="1"/>
        <item x="2"/>
        <item x="3"/>
        <item x="4"/>
        <item x="5"/>
        <item x="6"/>
        <item x="7"/>
        <item x="8"/>
        <item x="9"/>
        <item t="default"/>
      </items>
    </pivotField>
    <pivotField showAll="0"/>
    <pivotField showAll="0"/>
    <pivotField showAll="0"/>
    <pivotField showAll="0"/>
    <pivotField dataField="1" showAll="0"/>
    <pivotField showAll="0"/>
    <pivotField showAll="0"/>
    <pivotField showAll="0"/>
  </pivotFields>
  <rowFields count="1">
    <field x="1"/>
  </rowFields>
  <rowItems count="21">
    <i>
      <x v="100"/>
    </i>
    <i>
      <x v="38"/>
    </i>
    <i>
      <x v="151"/>
    </i>
    <i>
      <x v="51"/>
    </i>
    <i>
      <x v="82"/>
    </i>
    <i>
      <x v="106"/>
    </i>
    <i>
      <x v="152"/>
    </i>
    <i>
      <x v="149"/>
    </i>
    <i>
      <x v="172"/>
    </i>
    <i>
      <x v="17"/>
    </i>
    <i>
      <x v="47"/>
    </i>
    <i>
      <x v="178"/>
    </i>
    <i>
      <x v="76"/>
    </i>
    <i>
      <x v="118"/>
    </i>
    <i>
      <x v="153"/>
    </i>
    <i>
      <x v="57"/>
    </i>
    <i>
      <x v="46"/>
    </i>
    <i>
      <x v="99"/>
    </i>
    <i>
      <x v="13"/>
    </i>
    <i>
      <x v="104"/>
    </i>
    <i t="grand">
      <x/>
    </i>
  </rowItems>
  <colItems count="1">
    <i/>
  </colItems>
  <dataFields count="1">
    <dataField name="Average Trade% Of GDP" fld="7" subtotal="average" baseField="1" baseItem="0"/>
  </dataFields>
  <formats count="10">
    <format dxfId="137">
      <pivotArea collapsedLevelsAreSubtotals="1" fieldPosition="0">
        <references count="1">
          <reference field="1" count="1">
            <x v="100"/>
          </reference>
        </references>
      </pivotArea>
    </format>
    <format dxfId="136">
      <pivotArea type="all" dataOnly="0" outline="0" fieldPosition="0"/>
    </format>
    <format dxfId="135">
      <pivotArea outline="0" collapsedLevelsAreSubtotals="1" fieldPosition="0"/>
    </format>
    <format dxfId="134">
      <pivotArea field="1" type="button" dataOnly="0" labelOnly="1" outline="0" axis="axisRow" fieldPosition="0"/>
    </format>
    <format dxfId="133">
      <pivotArea dataOnly="0" labelOnly="1" fieldPosition="0">
        <references count="1">
          <reference field="1" count="50">
            <x v="5"/>
            <x v="8"/>
            <x v="10"/>
            <x v="13"/>
            <x v="16"/>
            <x v="17"/>
            <x v="18"/>
            <x v="26"/>
            <x v="27"/>
            <x v="31"/>
            <x v="34"/>
            <x v="38"/>
            <x v="39"/>
            <x v="44"/>
            <x v="46"/>
            <x v="47"/>
            <x v="48"/>
            <x v="50"/>
            <x v="51"/>
            <x v="57"/>
            <x v="60"/>
            <x v="65"/>
            <x v="75"/>
            <x v="76"/>
            <x v="82"/>
            <x v="92"/>
            <x v="94"/>
            <x v="96"/>
            <x v="99"/>
            <x v="100"/>
            <x v="103"/>
            <x v="104"/>
            <x v="106"/>
            <x v="108"/>
            <x v="110"/>
            <x v="111"/>
            <x v="114"/>
            <x v="118"/>
            <x v="121"/>
            <x v="124"/>
            <x v="127"/>
            <x v="133"/>
            <x v="148"/>
            <x v="149"/>
            <x v="151"/>
            <x v="152"/>
            <x v="153"/>
            <x v="163"/>
            <x v="172"/>
            <x v="178"/>
          </reference>
        </references>
      </pivotArea>
    </format>
    <format dxfId="132">
      <pivotArea dataOnly="0" labelOnly="1" fieldPosition="0">
        <references count="1">
          <reference field="1" count="50">
            <x v="1"/>
            <x v="7"/>
            <x v="11"/>
            <x v="12"/>
            <x v="20"/>
            <x v="21"/>
            <x v="23"/>
            <x v="24"/>
            <x v="30"/>
            <x v="42"/>
            <x v="43"/>
            <x v="49"/>
            <x v="56"/>
            <x v="58"/>
            <x v="61"/>
            <x v="62"/>
            <x v="63"/>
            <x v="66"/>
            <x v="67"/>
            <x v="68"/>
            <x v="71"/>
            <x v="77"/>
            <x v="90"/>
            <x v="91"/>
            <x v="93"/>
            <x v="95"/>
            <x v="107"/>
            <x v="109"/>
            <x v="113"/>
            <x v="116"/>
            <x v="125"/>
            <x v="128"/>
            <x v="130"/>
            <x v="132"/>
            <x v="134"/>
            <x v="135"/>
            <x v="136"/>
            <x v="137"/>
            <x v="138"/>
            <x v="144"/>
            <x v="145"/>
            <x v="154"/>
            <x v="156"/>
            <x v="158"/>
            <x v="161"/>
            <x v="164"/>
            <x v="166"/>
            <x v="168"/>
            <x v="171"/>
            <x v="180"/>
          </reference>
        </references>
      </pivotArea>
    </format>
    <format dxfId="131">
      <pivotArea dataOnly="0" labelOnly="1" fieldPosition="0">
        <references count="1">
          <reference field="1" count="50">
            <x v="2"/>
            <x v="4"/>
            <x v="9"/>
            <x v="19"/>
            <x v="22"/>
            <x v="28"/>
            <x v="32"/>
            <x v="33"/>
            <x v="35"/>
            <x v="36"/>
            <x v="40"/>
            <x v="41"/>
            <x v="45"/>
            <x v="53"/>
            <x v="54"/>
            <x v="55"/>
            <x v="64"/>
            <x v="70"/>
            <x v="72"/>
            <x v="74"/>
            <x v="78"/>
            <x v="79"/>
            <x v="80"/>
            <x v="81"/>
            <x v="83"/>
            <x v="84"/>
            <x v="88"/>
            <x v="98"/>
            <x v="101"/>
            <x v="102"/>
            <x v="105"/>
            <x v="117"/>
            <x v="119"/>
            <x v="120"/>
            <x v="131"/>
            <x v="139"/>
            <x v="140"/>
            <x v="146"/>
            <x v="147"/>
            <x v="150"/>
            <x v="155"/>
            <x v="157"/>
            <x v="162"/>
            <x v="165"/>
            <x v="169"/>
            <x v="173"/>
            <x v="175"/>
            <x v="177"/>
            <x v="179"/>
            <x v="181"/>
          </reference>
        </references>
      </pivotArea>
    </format>
    <format dxfId="130">
      <pivotArea dataOnly="0" labelOnly="1" fieldPosition="0">
        <references count="1">
          <reference field="1" count="32">
            <x v="0"/>
            <x v="3"/>
            <x v="6"/>
            <x v="14"/>
            <x v="15"/>
            <x v="25"/>
            <x v="29"/>
            <x v="37"/>
            <x v="52"/>
            <x v="59"/>
            <x v="69"/>
            <x v="73"/>
            <x v="85"/>
            <x v="86"/>
            <x v="87"/>
            <x v="89"/>
            <x v="97"/>
            <x v="112"/>
            <x v="115"/>
            <x v="122"/>
            <x v="123"/>
            <x v="126"/>
            <x v="129"/>
            <x v="141"/>
            <x v="142"/>
            <x v="143"/>
            <x v="159"/>
            <x v="160"/>
            <x v="167"/>
            <x v="170"/>
            <x v="174"/>
            <x v="176"/>
          </reference>
        </references>
      </pivotArea>
    </format>
    <format dxfId="129">
      <pivotArea dataOnly="0" labelOnly="1" grandRow="1" outline="0" fieldPosition="0"/>
    </format>
    <format dxfId="12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561F2A8-286D-499B-8F7D-C059B86DBCCB}" autoFormatId="16" applyNumberFormats="0" applyBorderFormats="0" applyFontFormats="0" applyPatternFormats="0" applyAlignmentFormats="0" applyWidthHeightFormats="0">
  <queryTableRefresh nextId="23">
    <queryTableFields count="11">
      <queryTableField id="1" name="reporter_iso3" tableColumnId="1"/>
      <queryTableField id="2" name="reporter_name" tableColumnId="2"/>
      <queryTableField id="3" name="reference_year" tableColumnId="3"/>
      <queryTableField id="4" name="total_exports_usd" tableColumnId="4"/>
      <queryTableField id="5" name="gdp_current_usd" tableColumnId="5"/>
      <queryTableField id="6" name="population_total" tableColumnId="6"/>
      <queryTableField id="7" name="gdp_growth_annual_pct" tableColumnId="7"/>
      <queryTableField id="8" name="trade_pct_of_gdp" tableColumnId="8"/>
      <queryTableField id="9" name="global_export_rank" tableColumnId="9"/>
      <queryTableField id="10" name="previous_year_exports" tableColumnId="10"/>
      <queryTableField id="11" name="yoy_export_growth_pct"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orter_iso3" xr10:uid="{B573AA93-B639-4153-BA1C-CFAC43BDE768}" sourceName="reporter_iso3">
  <pivotTables>
    <pivotTable tabId="3" name="07_Country_Exonomic_Survey"/>
    <pivotTable tabId="3" name="01_Total_Exports_by_Year"/>
    <pivotTable tabId="3" name="02_Top_Exporting_Countries"/>
    <pivotTable tabId="3" name="03_GDP_VS_Exports"/>
    <pivotTable tabId="3" name="04_GDP_Growth"/>
    <pivotTable tabId="3" name="05_Trade_Openness"/>
    <pivotTable tabId="3" name="06_Export_Growth"/>
  </pivotTables>
  <data>
    <tabular pivotCacheId="327199164">
      <items count="182">
        <i x="106" s="1"/>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ference_year" xr10:uid="{17EAB6A2-F5E8-4F1D-8DAC-921C9DE09896}" sourceName="reference_year">
  <pivotTables>
    <pivotTable tabId="3" name="07_Country_Exonomic_Survey"/>
    <pivotTable tabId="3" name="01_Total_Exports_by_Year"/>
    <pivotTable tabId="3" name="02_Top_Exporting_Countries"/>
    <pivotTable tabId="3" name="03_GDP_VS_Exports"/>
    <pivotTable tabId="3" name="04_GDP_Growth"/>
    <pivotTable tabId="3" name="05_Trade_Openness"/>
    <pivotTable tabId="3" name="06_Export_Growth"/>
  </pivotTables>
  <data>
    <tabular pivotCacheId="327199164">
      <items count="10">
        <i x="0" s="1"/>
        <i x="1" s="1"/>
        <i x="2" s="1"/>
        <i x="3" s="1"/>
        <i x="4" s="1"/>
        <i x="5" s="1"/>
        <i x="6" s="1"/>
        <i x="7" s="1"/>
        <i x="8" s="1"/>
        <i x="9"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er_iso3" xr10:uid="{B006F754-1E5E-4D58-A7EB-91B52399D0E4}" cache="Slicer_reporter_iso3" caption="reporter_iso3" startItem="68" rowHeight="234950"/>
  <slicer name="reference_year" xr10:uid="{CB75B3BB-F436-434F-86C5-44DDB7552786}" cache="Slicer_reference_year" caption="reference_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orter_iso3 1" xr10:uid="{BD92B8FF-CB84-4D3F-A13F-4E92C5C22173}" cache="Slicer_reporter_iso3" caption="Reporter_ISO" startItem="70" columnCount="2" style="My Slicer" rowHeight="324000"/>
  <slicer name="reference_year 1" xr10:uid="{49C467CE-D49C-46A9-83A9-3A0AF6D6A79B}" cache="Slicer_reference_year" caption="Reference_Year" style="My Slicer"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E3897A5-EA97-4D69-BAF7-7FB3D36C345C}" name="Trade_Data_Table" displayName="Trade_Data_Table" ref="A1:K1630" tableType="queryTable" totalsRowShown="0" headerRowDxfId="150">
  <autoFilter ref="A1:K1630" xr:uid="{0E3897A5-EA97-4D69-BAF7-7FB3D36C345C}"/>
  <tableColumns count="11">
    <tableColumn id="1" xr3:uid="{628A01E8-3871-4A76-A224-7B4DA26B3A5B}" uniqueName="1" name="reporter_iso3" queryTableFieldId="1" dataDxfId="149"/>
    <tableColumn id="2" xr3:uid="{E65AF11D-A506-4F12-B45B-B7343E4B7529}" uniqueName="2" name="reporter_name" queryTableFieldId="2" dataDxfId="148"/>
    <tableColumn id="3" xr3:uid="{CCC54CEA-D86A-4F8C-859C-C50E003E2634}" uniqueName="3" name="reference_year" queryTableFieldId="3"/>
    <tableColumn id="4" xr3:uid="{01A39C40-C9B8-45AB-AE71-F2C04B2ADAE2}" uniqueName="4" name="total_exports_usd" queryTableFieldId="4"/>
    <tableColumn id="5" xr3:uid="{EDEFC14B-88A1-4CB6-89C2-B38A5DC790C0}" uniqueName="5" name="gdp_current_usd" queryTableFieldId="5"/>
    <tableColumn id="6" xr3:uid="{658F95BF-AD82-4D39-8F85-6A461552E097}" uniqueName="6" name="population_total" queryTableFieldId="6"/>
    <tableColumn id="7" xr3:uid="{B5C62EF5-2A4B-491F-A081-2FB1AF90FF54}" uniqueName="7" name="gdp_growth_annual_pct" queryTableFieldId="7"/>
    <tableColumn id="8" xr3:uid="{228B9EC8-4A00-414E-AEE1-E995AFE5EA22}" uniqueName="8" name="trade_pct_of_gdp" queryTableFieldId="8"/>
    <tableColumn id="9" xr3:uid="{1D3B19A5-3D89-46FC-B6A3-7566A315750F}" uniqueName="9" name="global_export_rank" queryTableFieldId="9"/>
    <tableColumn id="10" xr3:uid="{B993858C-66FA-468C-A5E9-9CA23897A07D}" uniqueName="10" name="previous_year_exports" queryTableFieldId="10"/>
    <tableColumn id="11" xr3:uid="{E567712B-9E69-447C-AC49-B40D89D6B1E3}" uniqueName="11" name="yoy_export_growth_pct" queryTableFieldId="11"/>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DA0078-5A52-4342-A2E8-126DFD833997}" name="Table2" displayName="Table2" ref="A4:C12" headerRowDxfId="147" dataDxfId="145" totalsRowDxfId="143" headerRowBorderDxfId="146" tableBorderDxfId="144">
  <autoFilter ref="A4:C12" xr:uid="{07DA0078-5A52-4342-A2E8-126DFD833997}">
    <filterColumn colId="0" hiddenButton="1"/>
    <filterColumn colId="1" hiddenButton="1"/>
    <filterColumn colId="2" hiddenButton="1"/>
  </autoFilter>
  <tableColumns count="3">
    <tableColumn id="1" xr3:uid="{1BE14D61-EA0A-41C5-B596-ECF407DE5CD7}" name="Checks" totalsRowLabel="Total" dataDxfId="142" totalsRowDxfId="141"/>
    <tableColumn id="2" xr3:uid="{80A8ABB2-63DD-4DB7-B902-9647B559F062}" name="Result" totalsRowFunction="count" dataDxfId="140">
      <calculatedColumnFormula>ROWS(Trade_Data_Table[reporter_iso3])</calculatedColumnFormula>
    </tableColumn>
    <tableColumn id="3" xr3:uid="{ED40FF05-D78D-40B2-B5B3-E5EE54659B7F}" name="Status" dataDxfId="139" totalsRowDxfId="138"/>
  </tableColumns>
  <tableStyleInfo showFirstColumn="0" showLastColumn="0" showRowStripes="1" showColumnStripes="0"/>
</table>
</file>

<file path=xl/theme/theme1.xml><?xml version="1.0" encoding="utf-8"?>
<a:theme xmlns:a="http://schemas.openxmlformats.org/drawingml/2006/main" name="Office Theme">
  <a:themeElements>
    <a:clrScheme name="Blue Warm">
      <a:dk1>
        <a:sysClr val="windowText" lastClr="000000"/>
      </a:dk1>
      <a:lt1>
        <a:sysClr val="window" lastClr="FFFFFF"/>
      </a:lt1>
      <a:dk2>
        <a:srgbClr val="242852"/>
      </a:dk2>
      <a:lt2>
        <a:srgbClr val="ACCBF9"/>
      </a:lt2>
      <a:accent1>
        <a:srgbClr val="4A66AC"/>
      </a:accent1>
      <a:accent2>
        <a:srgbClr val="629DD1"/>
      </a:accent2>
      <a:accent3>
        <a:srgbClr val="297FD5"/>
      </a:accent3>
      <a:accent4>
        <a:srgbClr val="7F8FA9"/>
      </a:accent4>
      <a:accent5>
        <a:srgbClr val="5AA2AE"/>
      </a:accent5>
      <a:accent6>
        <a:srgbClr val="9D90A0"/>
      </a:accent6>
      <a:hlink>
        <a:srgbClr val="9454C3"/>
      </a:hlink>
      <a:folHlink>
        <a:srgbClr val="3EBBF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F53BF-07A2-4348-B581-8CB511F7BC66}">
  <sheetPr>
    <tabColor theme="4" tint="-0.249977111117893"/>
  </sheetPr>
  <dimension ref="A1:K1630"/>
  <sheetViews>
    <sheetView workbookViewId="0">
      <pane ySplit="1" topLeftCell="A2" activePane="bottomLeft" state="frozen"/>
      <selection pane="bottomLeft" sqref="A1:K1630"/>
    </sheetView>
  </sheetViews>
  <sheetFormatPr defaultColWidth="20.33203125" defaultRowHeight="14.4" x14ac:dyDescent="0.3"/>
  <cols>
    <col min="7" max="7" width="28.5546875" customWidth="1"/>
  </cols>
  <sheetData>
    <row r="1" spans="1:11" s="2" customFormat="1" x14ac:dyDescent="0.3">
      <c r="A1" s="1" t="s">
        <v>0</v>
      </c>
      <c r="B1" s="1" t="s">
        <v>1</v>
      </c>
      <c r="C1" s="1" t="s">
        <v>2</v>
      </c>
      <c r="D1" s="1" t="s">
        <v>3</v>
      </c>
      <c r="E1" s="1" t="s">
        <v>4</v>
      </c>
      <c r="F1" s="1" t="s">
        <v>5</v>
      </c>
      <c r="G1" s="1" t="s">
        <v>6</v>
      </c>
      <c r="H1" s="1" t="s">
        <v>7</v>
      </c>
      <c r="I1" s="1" t="s">
        <v>8</v>
      </c>
      <c r="J1" s="1" t="s">
        <v>9</v>
      </c>
      <c r="K1" s="1" t="s">
        <v>10</v>
      </c>
    </row>
    <row r="2" spans="1:11" x14ac:dyDescent="0.3">
      <c r="A2" t="s">
        <v>11</v>
      </c>
      <c r="B2" t="s">
        <v>12</v>
      </c>
      <c r="C2">
        <v>2015</v>
      </c>
      <c r="D2">
        <v>159764410</v>
      </c>
      <c r="E2">
        <v>2962906704</v>
      </c>
      <c r="F2">
        <v>107906</v>
      </c>
      <c r="G2">
        <v>3.6114790659999998</v>
      </c>
      <c r="H2">
        <v>140.49300109999999</v>
      </c>
      <c r="I2">
        <v>157</v>
      </c>
    </row>
    <row r="3" spans="1:11" x14ac:dyDescent="0.3">
      <c r="A3" t="s">
        <v>11</v>
      </c>
      <c r="B3" t="s">
        <v>12</v>
      </c>
      <c r="C3">
        <v>2016</v>
      </c>
      <c r="D3">
        <v>190792982.44</v>
      </c>
      <c r="E3">
        <v>2983637430</v>
      </c>
      <c r="F3">
        <v>108727</v>
      </c>
      <c r="G3">
        <v>1.234335374</v>
      </c>
      <c r="H3">
        <v>136.8872633</v>
      </c>
      <c r="I3">
        <v>157</v>
      </c>
      <c r="J3">
        <v>159764410</v>
      </c>
      <c r="K3">
        <v>19.420000000000002</v>
      </c>
    </row>
    <row r="4" spans="1:11" x14ac:dyDescent="0.3">
      <c r="A4" t="s">
        <v>11</v>
      </c>
      <c r="B4" t="s">
        <v>12</v>
      </c>
      <c r="C4">
        <v>2017</v>
      </c>
      <c r="D4">
        <v>177666674.76099998</v>
      </c>
      <c r="E4">
        <v>3092427933</v>
      </c>
      <c r="F4">
        <v>108735</v>
      </c>
      <c r="G4">
        <v>3.4934298529999999</v>
      </c>
      <c r="H4">
        <v>138.7166201</v>
      </c>
      <c r="I4">
        <v>159</v>
      </c>
      <c r="J4">
        <v>190792982.44</v>
      </c>
      <c r="K4">
        <v>-6.88</v>
      </c>
    </row>
    <row r="5" spans="1:11" x14ac:dyDescent="0.3">
      <c r="A5" t="s">
        <v>11</v>
      </c>
      <c r="B5" t="s">
        <v>12</v>
      </c>
      <c r="C5">
        <v>2018</v>
      </c>
      <c r="D5">
        <v>138940748.62699997</v>
      </c>
      <c r="E5">
        <v>3276187709</v>
      </c>
      <c r="F5">
        <v>108908</v>
      </c>
      <c r="G5">
        <v>3.2124711189999999</v>
      </c>
      <c r="H5">
        <v>138.82497219999999</v>
      </c>
      <c r="I5">
        <v>156</v>
      </c>
      <c r="J5">
        <v>177666674.76099998</v>
      </c>
      <c r="K5">
        <v>-21.8</v>
      </c>
    </row>
    <row r="6" spans="1:11" x14ac:dyDescent="0.3">
      <c r="A6" t="s">
        <v>11</v>
      </c>
      <c r="B6" t="s">
        <v>12</v>
      </c>
      <c r="C6">
        <v>2019</v>
      </c>
      <c r="D6">
        <v>157285878.76499999</v>
      </c>
      <c r="E6">
        <v>3347561739</v>
      </c>
      <c r="F6">
        <v>109203</v>
      </c>
      <c r="G6">
        <v>1.2291440890000001</v>
      </c>
      <c r="H6">
        <v>137.92324930000001</v>
      </c>
      <c r="I6">
        <v>154</v>
      </c>
      <c r="J6">
        <v>138940748.62699997</v>
      </c>
      <c r="K6">
        <v>13.2</v>
      </c>
    </row>
    <row r="7" spans="1:11" x14ac:dyDescent="0.3">
      <c r="A7" t="s">
        <v>11</v>
      </c>
      <c r="B7" t="s">
        <v>12</v>
      </c>
      <c r="C7">
        <v>2020</v>
      </c>
      <c r="D7">
        <v>131859450.52899998</v>
      </c>
      <c r="E7">
        <v>2461056053</v>
      </c>
      <c r="F7">
        <v>108587</v>
      </c>
      <c r="G7">
        <v>-23.940059269999999</v>
      </c>
      <c r="H7">
        <v>123.2405037</v>
      </c>
      <c r="I7">
        <v>149</v>
      </c>
      <c r="J7">
        <v>157285878.76499999</v>
      </c>
      <c r="K7">
        <v>-16.170000000000002</v>
      </c>
    </row>
    <row r="8" spans="1:11" x14ac:dyDescent="0.3">
      <c r="A8" t="s">
        <v>11</v>
      </c>
      <c r="B8" t="s">
        <v>12</v>
      </c>
      <c r="C8">
        <v>2021</v>
      </c>
      <c r="D8">
        <v>176694015.38599998</v>
      </c>
      <c r="E8">
        <v>2889305034</v>
      </c>
      <c r="F8">
        <v>107700</v>
      </c>
      <c r="G8">
        <v>14.833691979999999</v>
      </c>
      <c r="H8">
        <v>139.51090260000001</v>
      </c>
      <c r="I8">
        <v>149</v>
      </c>
      <c r="J8">
        <v>131859450.52899998</v>
      </c>
      <c r="K8">
        <v>34</v>
      </c>
    </row>
    <row r="9" spans="1:11" x14ac:dyDescent="0.3">
      <c r="A9" t="s">
        <v>11</v>
      </c>
      <c r="B9" t="s">
        <v>12</v>
      </c>
      <c r="C9">
        <v>2022</v>
      </c>
      <c r="D9">
        <v>209593573.58200002</v>
      </c>
      <c r="E9">
        <v>3326671315</v>
      </c>
      <c r="F9">
        <v>107310</v>
      </c>
      <c r="G9">
        <v>10.607960759999999</v>
      </c>
      <c r="H9">
        <v>160.55814100000001</v>
      </c>
      <c r="I9">
        <v>148</v>
      </c>
      <c r="J9">
        <v>176694015.38599998</v>
      </c>
      <c r="K9">
        <v>18.62</v>
      </c>
    </row>
    <row r="10" spans="1:11" x14ac:dyDescent="0.3">
      <c r="A10" t="s">
        <v>11</v>
      </c>
      <c r="B10" t="s">
        <v>12</v>
      </c>
      <c r="C10">
        <v>2023</v>
      </c>
      <c r="D10">
        <v>222009827.03600001</v>
      </c>
      <c r="E10">
        <v>3746573413</v>
      </c>
      <c r="F10">
        <v>107359</v>
      </c>
      <c r="G10">
        <v>9.5163602229999995</v>
      </c>
      <c r="H10">
        <v>153.7191583</v>
      </c>
      <c r="I10">
        <v>146</v>
      </c>
      <c r="J10">
        <v>209593573.58200002</v>
      </c>
      <c r="K10">
        <v>5.92</v>
      </c>
    </row>
    <row r="11" spans="1:11" x14ac:dyDescent="0.3">
      <c r="A11" t="s">
        <v>13</v>
      </c>
      <c r="B11" t="s">
        <v>14</v>
      </c>
      <c r="C11">
        <v>2015</v>
      </c>
      <c r="D11">
        <v>1142809936</v>
      </c>
      <c r="E11">
        <v>19134221645</v>
      </c>
      <c r="F11">
        <v>33831764</v>
      </c>
      <c r="G11">
        <v>1.4513146610000001</v>
      </c>
      <c r="I11">
        <v>139</v>
      </c>
    </row>
    <row r="12" spans="1:11" x14ac:dyDescent="0.3">
      <c r="A12" t="s">
        <v>13</v>
      </c>
      <c r="B12" t="s">
        <v>14</v>
      </c>
      <c r="C12">
        <v>2016</v>
      </c>
      <c r="D12">
        <v>1192910671</v>
      </c>
      <c r="E12">
        <v>18116572395</v>
      </c>
      <c r="F12">
        <v>34700612</v>
      </c>
      <c r="G12">
        <v>2.2603142030000001</v>
      </c>
      <c r="I12">
        <v>140</v>
      </c>
      <c r="J12">
        <v>1142809936</v>
      </c>
      <c r="K12">
        <v>4.38</v>
      </c>
    </row>
    <row r="13" spans="1:11" x14ac:dyDescent="0.3">
      <c r="A13" t="s">
        <v>13</v>
      </c>
      <c r="B13" t="s">
        <v>14</v>
      </c>
      <c r="C13">
        <v>2017</v>
      </c>
      <c r="D13">
        <v>1663853543.54</v>
      </c>
      <c r="E13">
        <v>18753456498</v>
      </c>
      <c r="F13">
        <v>35688935</v>
      </c>
      <c r="G13">
        <v>2.6470032030000001</v>
      </c>
      <c r="I13">
        <v>138</v>
      </c>
      <c r="J13">
        <v>1192910671</v>
      </c>
      <c r="K13">
        <v>39.479999999999997</v>
      </c>
    </row>
    <row r="14" spans="1:11" x14ac:dyDescent="0.3">
      <c r="A14" t="s">
        <v>13</v>
      </c>
      <c r="B14" t="s">
        <v>14</v>
      </c>
      <c r="C14">
        <v>2018</v>
      </c>
      <c r="D14">
        <v>1769008992.7400007</v>
      </c>
      <c r="E14">
        <v>18053222687</v>
      </c>
      <c r="F14">
        <v>36743039</v>
      </c>
      <c r="G14">
        <v>1.189228129</v>
      </c>
      <c r="I14">
        <v>135</v>
      </c>
      <c r="J14">
        <v>1663853543.54</v>
      </c>
      <c r="K14">
        <v>6.32</v>
      </c>
    </row>
    <row r="15" spans="1:11" x14ac:dyDescent="0.3">
      <c r="A15" t="s">
        <v>13</v>
      </c>
      <c r="B15" t="s">
        <v>14</v>
      </c>
      <c r="C15">
        <v>2019</v>
      </c>
      <c r="D15">
        <v>1740977024.9199996</v>
      </c>
      <c r="E15">
        <v>18799444490</v>
      </c>
      <c r="F15">
        <v>37856121</v>
      </c>
      <c r="G15">
        <v>3.9116034160000002</v>
      </c>
      <c r="I15">
        <v>136</v>
      </c>
      <c r="J15">
        <v>1769008992.7400007</v>
      </c>
      <c r="K15">
        <v>-1.58</v>
      </c>
    </row>
    <row r="16" spans="1:11" x14ac:dyDescent="0.3">
      <c r="A16" t="s">
        <v>15</v>
      </c>
      <c r="B16" t="s">
        <v>16</v>
      </c>
      <c r="C16">
        <v>2015</v>
      </c>
      <c r="D16">
        <v>67849874956.620018</v>
      </c>
      <c r="E16">
        <v>103000000000</v>
      </c>
      <c r="F16">
        <v>28157798</v>
      </c>
      <c r="G16">
        <v>0.76317771099999998</v>
      </c>
      <c r="H16">
        <v>54.979380880000001</v>
      </c>
      <c r="I16">
        <v>54</v>
      </c>
    </row>
    <row r="17" spans="1:11" x14ac:dyDescent="0.3">
      <c r="A17" t="s">
        <v>15</v>
      </c>
      <c r="B17" t="s">
        <v>16</v>
      </c>
      <c r="C17">
        <v>2016</v>
      </c>
      <c r="D17">
        <v>56114999044.780014</v>
      </c>
      <c r="E17">
        <v>60770049747</v>
      </c>
      <c r="F17">
        <v>29183070</v>
      </c>
      <c r="G17">
        <v>-0.233076955</v>
      </c>
      <c r="H17">
        <v>46.325613060000002</v>
      </c>
      <c r="I17">
        <v>55</v>
      </c>
      <c r="J17">
        <v>67849874956.620018</v>
      </c>
      <c r="K17">
        <v>-17.3</v>
      </c>
    </row>
    <row r="18" spans="1:11" x14ac:dyDescent="0.3">
      <c r="A18" t="s">
        <v>15</v>
      </c>
      <c r="B18" t="s">
        <v>16</v>
      </c>
      <c r="C18">
        <v>2017</v>
      </c>
      <c r="D18">
        <v>83365332635.699966</v>
      </c>
      <c r="E18">
        <v>85629598654</v>
      </c>
      <c r="F18">
        <v>30234839</v>
      </c>
      <c r="G18">
        <v>-0.16468865699999999</v>
      </c>
      <c r="H18">
        <v>44.996325319999997</v>
      </c>
      <c r="I18">
        <v>49</v>
      </c>
      <c r="J18">
        <v>56114999044.780014</v>
      </c>
      <c r="K18">
        <v>48.56</v>
      </c>
    </row>
    <row r="19" spans="1:11" x14ac:dyDescent="0.3">
      <c r="A19" t="s">
        <v>15</v>
      </c>
      <c r="B19" t="s">
        <v>16</v>
      </c>
      <c r="C19">
        <v>2018</v>
      </c>
      <c r="D19">
        <v>81329437629.91893</v>
      </c>
      <c r="E19">
        <v>90506061877</v>
      </c>
      <c r="F19">
        <v>31297155</v>
      </c>
      <c r="G19">
        <v>-0.506697544</v>
      </c>
      <c r="H19">
        <v>58.269895390000002</v>
      </c>
      <c r="I19">
        <v>51</v>
      </c>
      <c r="J19">
        <v>83365332635.699966</v>
      </c>
      <c r="K19">
        <v>-2.44</v>
      </c>
    </row>
    <row r="20" spans="1:11" x14ac:dyDescent="0.3">
      <c r="A20" t="s">
        <v>15</v>
      </c>
      <c r="B20" t="s">
        <v>16</v>
      </c>
      <c r="C20">
        <v>2019</v>
      </c>
      <c r="D20">
        <v>70864909717.669067</v>
      </c>
      <c r="E20">
        <v>81193813808</v>
      </c>
      <c r="F20">
        <v>32375632</v>
      </c>
      <c r="G20">
        <v>-1.055234145</v>
      </c>
      <c r="H20">
        <v>60.371306869999998</v>
      </c>
      <c r="I20">
        <v>54</v>
      </c>
      <c r="J20">
        <v>81329437629.91893</v>
      </c>
      <c r="K20">
        <v>-12.87</v>
      </c>
    </row>
    <row r="21" spans="1:11" x14ac:dyDescent="0.3">
      <c r="A21" t="s">
        <v>15</v>
      </c>
      <c r="B21" t="s">
        <v>16</v>
      </c>
      <c r="C21">
        <v>2020</v>
      </c>
      <c r="D21">
        <v>44008635280.555</v>
      </c>
      <c r="E21">
        <v>58512033806</v>
      </c>
      <c r="F21">
        <v>33451132</v>
      </c>
      <c r="G21">
        <v>-5.2734912830000003</v>
      </c>
      <c r="H21">
        <v>54.660403070000001</v>
      </c>
      <c r="I21">
        <v>60</v>
      </c>
      <c r="J21">
        <v>70864909717.669067</v>
      </c>
      <c r="K21">
        <v>-37.9</v>
      </c>
    </row>
    <row r="22" spans="1:11" x14ac:dyDescent="0.3">
      <c r="A22" t="s">
        <v>15</v>
      </c>
      <c r="B22" t="s">
        <v>16</v>
      </c>
      <c r="C22">
        <v>2021</v>
      </c>
      <c r="D22">
        <v>68944323913.666977</v>
      </c>
      <c r="E22">
        <v>78283923544</v>
      </c>
      <c r="F22">
        <v>34532429</v>
      </c>
      <c r="G22">
        <v>1.090583699</v>
      </c>
      <c r="H22">
        <v>62.528770530000003</v>
      </c>
      <c r="I22">
        <v>59</v>
      </c>
      <c r="J22">
        <v>44008635280.555</v>
      </c>
      <c r="K22">
        <v>56.66</v>
      </c>
    </row>
    <row r="23" spans="1:11" x14ac:dyDescent="0.3">
      <c r="A23" t="s">
        <v>15</v>
      </c>
      <c r="B23" t="s">
        <v>16</v>
      </c>
      <c r="C23">
        <v>2022</v>
      </c>
      <c r="D23">
        <v>102549903423.29498</v>
      </c>
      <c r="E23">
        <v>128000000000</v>
      </c>
      <c r="F23">
        <v>35635029</v>
      </c>
      <c r="G23">
        <v>3.5574920670000001</v>
      </c>
      <c r="H23">
        <v>56.538072229999997</v>
      </c>
      <c r="I23">
        <v>52</v>
      </c>
      <c r="J23">
        <v>68944323913.666977</v>
      </c>
      <c r="K23">
        <v>48.74</v>
      </c>
    </row>
    <row r="24" spans="1:11" x14ac:dyDescent="0.3">
      <c r="A24" t="s">
        <v>15</v>
      </c>
      <c r="B24" t="s">
        <v>16</v>
      </c>
      <c r="C24">
        <v>2023</v>
      </c>
      <c r="D24">
        <v>77463173150.095993</v>
      </c>
      <c r="E24">
        <v>106000000000</v>
      </c>
      <c r="F24">
        <v>36749906</v>
      </c>
      <c r="G24">
        <v>1.3201658709999999</v>
      </c>
      <c r="H24">
        <v>53.607012650000001</v>
      </c>
      <c r="I24">
        <v>55</v>
      </c>
      <c r="J24">
        <v>102549903423.29498</v>
      </c>
      <c r="K24">
        <v>-24.46</v>
      </c>
    </row>
    <row r="25" spans="1:11" x14ac:dyDescent="0.3">
      <c r="A25" t="s">
        <v>15</v>
      </c>
      <c r="B25" t="s">
        <v>16</v>
      </c>
      <c r="C25">
        <v>2024</v>
      </c>
      <c r="D25">
        <v>78743268793.103989</v>
      </c>
      <c r="E25">
        <v>103000000000</v>
      </c>
      <c r="F25">
        <v>37885849</v>
      </c>
      <c r="G25">
        <v>4.9526786039999999</v>
      </c>
      <c r="H25">
        <v>49.848950670000001</v>
      </c>
      <c r="I25">
        <v>55</v>
      </c>
      <c r="J25">
        <v>77463173150.095993</v>
      </c>
      <c r="K25">
        <v>1.65</v>
      </c>
    </row>
    <row r="26" spans="1:11" x14ac:dyDescent="0.3">
      <c r="A26" t="s">
        <v>17</v>
      </c>
      <c r="B26" t="s">
        <v>18</v>
      </c>
      <c r="C26">
        <v>2015</v>
      </c>
      <c r="D26">
        <v>3859314063</v>
      </c>
      <c r="E26">
        <v>11470171827</v>
      </c>
      <c r="F26">
        <v>2731293</v>
      </c>
      <c r="G26">
        <v>2.2277040750000001</v>
      </c>
      <c r="H26">
        <v>71.279447660000002</v>
      </c>
      <c r="I26">
        <v>118</v>
      </c>
    </row>
    <row r="27" spans="1:11" x14ac:dyDescent="0.3">
      <c r="A27" t="s">
        <v>17</v>
      </c>
      <c r="B27" t="s">
        <v>18</v>
      </c>
      <c r="C27">
        <v>2016</v>
      </c>
      <c r="D27">
        <v>3924234833</v>
      </c>
      <c r="E27">
        <v>11988668785</v>
      </c>
      <c r="F27">
        <v>2689469</v>
      </c>
      <c r="G27">
        <v>3.9089355139999999</v>
      </c>
      <c r="H27">
        <v>74.014450449999998</v>
      </c>
      <c r="I27">
        <v>122</v>
      </c>
      <c r="J27">
        <v>3859314063</v>
      </c>
      <c r="K27">
        <v>1.68</v>
      </c>
    </row>
    <row r="28" spans="1:11" x14ac:dyDescent="0.3">
      <c r="A28" t="s">
        <v>17</v>
      </c>
      <c r="B28" t="s">
        <v>18</v>
      </c>
      <c r="C28">
        <v>2017</v>
      </c>
      <c r="D28">
        <v>4602681931.3390017</v>
      </c>
      <c r="E28">
        <v>13258268436</v>
      </c>
      <c r="F28">
        <v>2648285</v>
      </c>
      <c r="G28">
        <v>3.2831759329999999</v>
      </c>
      <c r="H28">
        <v>76.787381789999998</v>
      </c>
      <c r="I28">
        <v>120</v>
      </c>
      <c r="J28">
        <v>3924234833</v>
      </c>
      <c r="K28">
        <v>17.29</v>
      </c>
    </row>
    <row r="29" spans="1:11" x14ac:dyDescent="0.3">
      <c r="A29" t="s">
        <v>17</v>
      </c>
      <c r="B29" t="s">
        <v>18</v>
      </c>
      <c r="C29">
        <v>2018</v>
      </c>
      <c r="D29">
        <v>5751719557.5349932</v>
      </c>
      <c r="E29">
        <v>15379508330</v>
      </c>
      <c r="F29">
        <v>2607733</v>
      </c>
      <c r="G29">
        <v>3.6714192809999999</v>
      </c>
      <c r="H29">
        <v>75.69407837</v>
      </c>
      <c r="I29">
        <v>115</v>
      </c>
      <c r="J29">
        <v>4602681931.3390017</v>
      </c>
      <c r="K29">
        <v>24.96</v>
      </c>
    </row>
    <row r="30" spans="1:11" x14ac:dyDescent="0.3">
      <c r="A30" t="s">
        <v>17</v>
      </c>
      <c r="B30" t="s">
        <v>18</v>
      </c>
      <c r="C30">
        <v>2019</v>
      </c>
      <c r="D30">
        <v>5438857416.0799971</v>
      </c>
      <c r="E30">
        <v>15585111614</v>
      </c>
      <c r="F30">
        <v>2567801</v>
      </c>
      <c r="G30">
        <v>2.0625779020000001</v>
      </c>
      <c r="H30">
        <v>75.382128929999993</v>
      </c>
      <c r="I30">
        <v>115</v>
      </c>
      <c r="J30">
        <v>5751719557.5349932</v>
      </c>
      <c r="K30">
        <v>-5.44</v>
      </c>
    </row>
    <row r="31" spans="1:11" x14ac:dyDescent="0.3">
      <c r="A31" t="s">
        <v>17</v>
      </c>
      <c r="B31" t="s">
        <v>18</v>
      </c>
      <c r="C31">
        <v>2020</v>
      </c>
      <c r="D31">
        <v>4831264670.8390017</v>
      </c>
      <c r="E31">
        <v>15241458745</v>
      </c>
      <c r="F31">
        <v>2528480</v>
      </c>
      <c r="G31">
        <v>-3.313756369</v>
      </c>
      <c r="H31">
        <v>59.520699440000001</v>
      </c>
      <c r="I31">
        <v>116</v>
      </c>
      <c r="J31">
        <v>5438857416.0799971</v>
      </c>
      <c r="K31">
        <v>-11.17</v>
      </c>
    </row>
    <row r="32" spans="1:11" x14ac:dyDescent="0.3">
      <c r="A32" t="s">
        <v>17</v>
      </c>
      <c r="B32" t="s">
        <v>18</v>
      </c>
      <c r="C32">
        <v>2021</v>
      </c>
      <c r="D32">
        <v>7124594471.7460012</v>
      </c>
      <c r="E32">
        <v>18031989573</v>
      </c>
      <c r="F32">
        <v>2489762</v>
      </c>
      <c r="G32">
        <v>8.9695761909999998</v>
      </c>
      <c r="H32">
        <v>75.590404090000007</v>
      </c>
      <c r="I32">
        <v>113</v>
      </c>
      <c r="J32">
        <v>4831264670.8390017</v>
      </c>
      <c r="K32">
        <v>47.47</v>
      </c>
    </row>
    <row r="33" spans="1:11" x14ac:dyDescent="0.3">
      <c r="A33" t="s">
        <v>17</v>
      </c>
      <c r="B33" t="s">
        <v>18</v>
      </c>
      <c r="C33">
        <v>2022</v>
      </c>
      <c r="D33">
        <v>8612469494.4840012</v>
      </c>
      <c r="E33">
        <v>19017247014</v>
      </c>
      <c r="F33">
        <v>2451636</v>
      </c>
      <c r="G33">
        <v>4.8268006229999996</v>
      </c>
      <c r="H33">
        <v>84.698043589999997</v>
      </c>
      <c r="I33">
        <v>109</v>
      </c>
      <c r="J33">
        <v>7124594471.7460012</v>
      </c>
      <c r="K33">
        <v>20.88</v>
      </c>
    </row>
    <row r="34" spans="1:11" x14ac:dyDescent="0.3">
      <c r="A34" t="s">
        <v>17</v>
      </c>
      <c r="B34" t="s">
        <v>18</v>
      </c>
      <c r="C34">
        <v>2023</v>
      </c>
      <c r="D34">
        <v>8749714424.9109993</v>
      </c>
      <c r="E34">
        <v>23491242727</v>
      </c>
      <c r="F34">
        <v>2411658</v>
      </c>
      <c r="G34">
        <v>4.015417169</v>
      </c>
      <c r="H34">
        <v>82.3524934</v>
      </c>
      <c r="I34">
        <v>110</v>
      </c>
      <c r="J34">
        <v>8612469494.4840012</v>
      </c>
      <c r="K34">
        <v>1.59</v>
      </c>
    </row>
    <row r="35" spans="1:11" x14ac:dyDescent="0.3">
      <c r="A35" t="s">
        <v>17</v>
      </c>
      <c r="B35" t="s">
        <v>18</v>
      </c>
      <c r="C35">
        <v>2024</v>
      </c>
      <c r="D35">
        <v>8002308177.2769976</v>
      </c>
      <c r="E35">
        <v>27037474263</v>
      </c>
      <c r="F35">
        <v>2377128</v>
      </c>
      <c r="G35">
        <v>4.045928451</v>
      </c>
      <c r="H35">
        <v>79.45463608</v>
      </c>
      <c r="I35">
        <v>100</v>
      </c>
      <c r="J35">
        <v>8749714424.9109993</v>
      </c>
      <c r="K35">
        <v>-8.5399999999999991</v>
      </c>
    </row>
    <row r="36" spans="1:11" x14ac:dyDescent="0.3">
      <c r="A36" t="s">
        <v>19</v>
      </c>
      <c r="B36" t="s">
        <v>20</v>
      </c>
      <c r="C36">
        <v>2015</v>
      </c>
      <c r="D36">
        <v>179003870.31999999</v>
      </c>
      <c r="E36">
        <v>2789881259</v>
      </c>
      <c r="F36">
        <v>72174</v>
      </c>
      <c r="G36">
        <v>1.434140395</v>
      </c>
      <c r="I36">
        <v>155</v>
      </c>
    </row>
    <row r="37" spans="1:11" x14ac:dyDescent="0.3">
      <c r="A37" t="s">
        <v>19</v>
      </c>
      <c r="B37" t="s">
        <v>20</v>
      </c>
      <c r="C37">
        <v>2016</v>
      </c>
      <c r="D37">
        <v>192734619.27800009</v>
      </c>
      <c r="E37">
        <v>2896610480</v>
      </c>
      <c r="F37">
        <v>72181</v>
      </c>
      <c r="G37">
        <v>3.7096780699999998</v>
      </c>
      <c r="I37">
        <v>156</v>
      </c>
      <c r="J37">
        <v>179003870.31999999</v>
      </c>
      <c r="K37">
        <v>7.67</v>
      </c>
    </row>
    <row r="38" spans="1:11" x14ac:dyDescent="0.3">
      <c r="A38" t="s">
        <v>19</v>
      </c>
      <c r="B38" t="s">
        <v>20</v>
      </c>
      <c r="C38">
        <v>2017</v>
      </c>
      <c r="D38">
        <v>235959812.54099995</v>
      </c>
      <c r="E38">
        <v>3000162081</v>
      </c>
      <c r="F38">
        <v>73763</v>
      </c>
      <c r="G38">
        <v>0.34607188999999999</v>
      </c>
      <c r="I38">
        <v>156</v>
      </c>
      <c r="J38">
        <v>192734619.27800009</v>
      </c>
      <c r="K38">
        <v>22.43</v>
      </c>
    </row>
    <row r="39" spans="1:11" x14ac:dyDescent="0.3">
      <c r="A39" t="s">
        <v>19</v>
      </c>
      <c r="B39" t="s">
        <v>20</v>
      </c>
      <c r="C39">
        <v>2018</v>
      </c>
      <c r="D39">
        <v>258670728.37299997</v>
      </c>
      <c r="E39">
        <v>3218419897</v>
      </c>
      <c r="F39">
        <v>75162</v>
      </c>
      <c r="G39">
        <v>1.5887654899999999</v>
      </c>
      <c r="I39">
        <v>152</v>
      </c>
      <c r="J39">
        <v>235959812.54099995</v>
      </c>
      <c r="K39">
        <v>9.6199999999999992</v>
      </c>
    </row>
    <row r="40" spans="1:11" x14ac:dyDescent="0.3">
      <c r="A40" t="s">
        <v>19</v>
      </c>
      <c r="B40" t="s">
        <v>20</v>
      </c>
      <c r="C40">
        <v>2019</v>
      </c>
      <c r="D40">
        <v>250303147.56799999</v>
      </c>
      <c r="E40">
        <v>3155149348</v>
      </c>
      <c r="F40">
        <v>76474</v>
      </c>
      <c r="G40">
        <v>2.0155476380000001</v>
      </c>
      <c r="I40">
        <v>150</v>
      </c>
      <c r="J40">
        <v>258670728.37299997</v>
      </c>
      <c r="K40">
        <v>-3.23</v>
      </c>
    </row>
    <row r="41" spans="1:11" x14ac:dyDescent="0.3">
      <c r="A41" t="s">
        <v>19</v>
      </c>
      <c r="B41" t="s">
        <v>20</v>
      </c>
      <c r="C41">
        <v>2020</v>
      </c>
      <c r="D41">
        <v>333562178.65099984</v>
      </c>
      <c r="E41">
        <v>2891001149</v>
      </c>
      <c r="F41">
        <v>77380</v>
      </c>
      <c r="G41">
        <v>-11.18393994</v>
      </c>
      <c r="I41">
        <v>144</v>
      </c>
      <c r="J41">
        <v>250303147.56799999</v>
      </c>
      <c r="K41">
        <v>33.26</v>
      </c>
    </row>
    <row r="42" spans="1:11" x14ac:dyDescent="0.3">
      <c r="A42" t="s">
        <v>19</v>
      </c>
      <c r="B42" t="s">
        <v>20</v>
      </c>
      <c r="C42">
        <v>2021</v>
      </c>
      <c r="D42">
        <v>327948635.7809999</v>
      </c>
      <c r="E42">
        <v>3324647529</v>
      </c>
      <c r="F42">
        <v>78364</v>
      </c>
      <c r="G42">
        <v>8.2867787899999996</v>
      </c>
      <c r="I42">
        <v>146</v>
      </c>
      <c r="J42">
        <v>333562178.65099984</v>
      </c>
      <c r="K42">
        <v>-1.68</v>
      </c>
    </row>
    <row r="43" spans="1:11" x14ac:dyDescent="0.3">
      <c r="A43" t="s">
        <v>19</v>
      </c>
      <c r="B43" t="s">
        <v>20</v>
      </c>
      <c r="C43">
        <v>2022</v>
      </c>
      <c r="D43">
        <v>772285991.35999954</v>
      </c>
      <c r="E43">
        <v>3380612573</v>
      </c>
      <c r="F43">
        <v>79705</v>
      </c>
      <c r="G43">
        <v>9.5646122560000002</v>
      </c>
      <c r="I43">
        <v>141</v>
      </c>
      <c r="J43">
        <v>327948635.7809999</v>
      </c>
      <c r="K43">
        <v>135.49</v>
      </c>
    </row>
    <row r="44" spans="1:11" x14ac:dyDescent="0.3">
      <c r="A44" t="s">
        <v>19</v>
      </c>
      <c r="B44" t="s">
        <v>20</v>
      </c>
      <c r="C44">
        <v>2023</v>
      </c>
      <c r="D44">
        <v>504730210.10700017</v>
      </c>
      <c r="E44">
        <v>3785067332</v>
      </c>
      <c r="F44">
        <v>80856</v>
      </c>
      <c r="G44">
        <v>2.5835548099999999</v>
      </c>
      <c r="I44">
        <v>140</v>
      </c>
      <c r="J44">
        <v>772285991.35999954</v>
      </c>
      <c r="K44">
        <v>-34.64</v>
      </c>
    </row>
    <row r="45" spans="1:11" x14ac:dyDescent="0.3">
      <c r="A45" t="s">
        <v>21</v>
      </c>
      <c r="B45" t="s">
        <v>22</v>
      </c>
      <c r="C45">
        <v>2015</v>
      </c>
      <c r="D45">
        <v>600957295633.65967</v>
      </c>
      <c r="E45">
        <v>382000000000</v>
      </c>
      <c r="F45">
        <v>8505237</v>
      </c>
      <c r="G45">
        <v>7.0876662269999997</v>
      </c>
      <c r="H45">
        <v>164.28614289999999</v>
      </c>
      <c r="I45">
        <v>14</v>
      </c>
    </row>
    <row r="46" spans="1:11" x14ac:dyDescent="0.3">
      <c r="A46" t="s">
        <v>21</v>
      </c>
      <c r="B46" t="s">
        <v>22</v>
      </c>
      <c r="C46">
        <v>2016</v>
      </c>
      <c r="D46">
        <v>590093382297.34131</v>
      </c>
      <c r="E46">
        <v>382000000000</v>
      </c>
      <c r="F46">
        <v>8935095</v>
      </c>
      <c r="G46">
        <v>5.6579014719999998</v>
      </c>
      <c r="H46">
        <v>165.3949662</v>
      </c>
      <c r="I46">
        <v>14</v>
      </c>
      <c r="J46">
        <v>600957295633.65967</v>
      </c>
      <c r="K46">
        <v>-1.81</v>
      </c>
    </row>
    <row r="47" spans="1:11" x14ac:dyDescent="0.3">
      <c r="A47" t="s">
        <v>21</v>
      </c>
      <c r="B47" t="s">
        <v>22</v>
      </c>
      <c r="C47">
        <v>2017</v>
      </c>
      <c r="D47">
        <v>627198724205.90002</v>
      </c>
      <c r="E47">
        <v>403000000000</v>
      </c>
      <c r="F47">
        <v>9223225</v>
      </c>
      <c r="G47">
        <v>-1.0613711450000001</v>
      </c>
      <c r="H47">
        <v>165.4765237</v>
      </c>
      <c r="I47">
        <v>14</v>
      </c>
      <c r="J47">
        <v>590093382297.34131</v>
      </c>
      <c r="K47">
        <v>6.29</v>
      </c>
    </row>
    <row r="48" spans="1:11" x14ac:dyDescent="0.3">
      <c r="A48" t="s">
        <v>21</v>
      </c>
      <c r="B48" t="s">
        <v>22</v>
      </c>
      <c r="C48">
        <v>2018</v>
      </c>
      <c r="D48">
        <v>775928544123.76611</v>
      </c>
      <c r="E48">
        <v>441000000000</v>
      </c>
      <c r="F48">
        <v>9346701</v>
      </c>
      <c r="G48">
        <v>1.53720634</v>
      </c>
      <c r="H48">
        <v>154.74704220000001</v>
      </c>
      <c r="I48">
        <v>14</v>
      </c>
      <c r="J48">
        <v>627198724205.90002</v>
      </c>
      <c r="K48">
        <v>23.71</v>
      </c>
    </row>
    <row r="49" spans="1:11" x14ac:dyDescent="0.3">
      <c r="A49" t="s">
        <v>21</v>
      </c>
      <c r="B49" t="s">
        <v>22</v>
      </c>
      <c r="C49">
        <v>2019</v>
      </c>
      <c r="D49">
        <v>778855987807.91125</v>
      </c>
      <c r="E49">
        <v>434000000000</v>
      </c>
      <c r="F49">
        <v>9445785</v>
      </c>
      <c r="G49">
        <v>1.271291205</v>
      </c>
      <c r="H49">
        <v>163.822149</v>
      </c>
      <c r="I49">
        <v>14</v>
      </c>
      <c r="J49">
        <v>775928544123.76611</v>
      </c>
      <c r="K49">
        <v>0.38</v>
      </c>
    </row>
    <row r="50" spans="1:11" x14ac:dyDescent="0.3">
      <c r="A50" t="s">
        <v>21</v>
      </c>
      <c r="B50" t="s">
        <v>22</v>
      </c>
      <c r="C50">
        <v>2020</v>
      </c>
      <c r="D50">
        <v>670593815739.45508</v>
      </c>
      <c r="E50">
        <v>357000000000</v>
      </c>
      <c r="F50">
        <v>9401038</v>
      </c>
      <c r="G50">
        <v>-8.6934336380000001</v>
      </c>
      <c r="H50">
        <v>181.2919402</v>
      </c>
      <c r="I50">
        <v>14</v>
      </c>
      <c r="J50">
        <v>778855987807.91125</v>
      </c>
      <c r="K50">
        <v>-13.9</v>
      </c>
    </row>
    <row r="51" spans="1:11" x14ac:dyDescent="0.3">
      <c r="A51" t="s">
        <v>21</v>
      </c>
      <c r="B51" t="s">
        <v>22</v>
      </c>
      <c r="C51">
        <v>2021</v>
      </c>
      <c r="D51">
        <v>850319593007.12451</v>
      </c>
      <c r="E51">
        <v>422000000000</v>
      </c>
      <c r="F51">
        <v>9575152</v>
      </c>
      <c r="G51">
        <v>4.552801401</v>
      </c>
      <c r="H51">
        <v>182.9094011</v>
      </c>
      <c r="I51">
        <v>14</v>
      </c>
      <c r="J51">
        <v>670593815739.45508</v>
      </c>
      <c r="K51">
        <v>26.8</v>
      </c>
    </row>
    <row r="52" spans="1:11" x14ac:dyDescent="0.3">
      <c r="A52" t="s">
        <v>21</v>
      </c>
      <c r="B52" t="s">
        <v>22</v>
      </c>
      <c r="C52">
        <v>2022</v>
      </c>
      <c r="D52">
        <v>1031242378098.2057</v>
      </c>
      <c r="E52">
        <v>511000000000</v>
      </c>
      <c r="F52">
        <v>10074977</v>
      </c>
      <c r="G52">
        <v>7.514524143</v>
      </c>
      <c r="H52">
        <v>185.74166059999999</v>
      </c>
      <c r="I52">
        <v>12</v>
      </c>
      <c r="J52">
        <v>850319593007.12451</v>
      </c>
      <c r="K52">
        <v>21.28</v>
      </c>
    </row>
    <row r="53" spans="1:11" x14ac:dyDescent="0.3">
      <c r="A53" t="s">
        <v>21</v>
      </c>
      <c r="B53" t="s">
        <v>22</v>
      </c>
      <c r="C53">
        <v>2023</v>
      </c>
      <c r="D53">
        <v>1140490767169.064</v>
      </c>
      <c r="E53">
        <v>523000000000</v>
      </c>
      <c r="F53">
        <v>10483751</v>
      </c>
      <c r="G53">
        <v>4.3011364849999998</v>
      </c>
      <c r="H53">
        <v>199.04495009999999</v>
      </c>
      <c r="I53">
        <v>10</v>
      </c>
      <c r="J53">
        <v>1031242378098.2057</v>
      </c>
      <c r="K53">
        <v>10.59</v>
      </c>
    </row>
    <row r="54" spans="1:11" x14ac:dyDescent="0.3">
      <c r="A54" t="s">
        <v>23</v>
      </c>
      <c r="B54" t="s">
        <v>24</v>
      </c>
      <c r="C54">
        <v>2015</v>
      </c>
      <c r="D54">
        <v>113567905007.36002</v>
      </c>
      <c r="E54">
        <v>595000000000</v>
      </c>
      <c r="F54">
        <v>43477012</v>
      </c>
      <c r="G54">
        <v>2.731159828</v>
      </c>
      <c r="H54">
        <v>22.486226089999999</v>
      </c>
      <c r="I54">
        <v>42</v>
      </c>
    </row>
    <row r="55" spans="1:11" x14ac:dyDescent="0.3">
      <c r="A55" t="s">
        <v>23</v>
      </c>
      <c r="B55" t="s">
        <v>24</v>
      </c>
      <c r="C55">
        <v>2016</v>
      </c>
      <c r="D55">
        <v>115758692478.53995</v>
      </c>
      <c r="E55">
        <v>558000000000</v>
      </c>
      <c r="F55">
        <v>43900313</v>
      </c>
      <c r="G55">
        <v>-2.0803278440000001</v>
      </c>
      <c r="H55">
        <v>26.093887850000002</v>
      </c>
      <c r="I55">
        <v>39</v>
      </c>
      <c r="J55">
        <v>113567905007.36002</v>
      </c>
      <c r="K55">
        <v>1.93</v>
      </c>
    </row>
    <row r="56" spans="1:11" x14ac:dyDescent="0.3">
      <c r="A56" t="s">
        <v>23</v>
      </c>
      <c r="B56" t="s">
        <v>24</v>
      </c>
      <c r="C56">
        <v>2017</v>
      </c>
      <c r="D56">
        <v>116768389938.5601</v>
      </c>
      <c r="E56">
        <v>644000000000</v>
      </c>
      <c r="F56">
        <v>44288894</v>
      </c>
      <c r="G56">
        <v>2.8185029780000002</v>
      </c>
      <c r="H56">
        <v>25.289601139999998</v>
      </c>
      <c r="I56">
        <v>43</v>
      </c>
      <c r="J56">
        <v>115758692478.53995</v>
      </c>
      <c r="K56">
        <v>0.87</v>
      </c>
    </row>
    <row r="57" spans="1:11" x14ac:dyDescent="0.3">
      <c r="A57" t="s">
        <v>23</v>
      </c>
      <c r="B57" t="s">
        <v>24</v>
      </c>
      <c r="C57">
        <v>2018</v>
      </c>
      <c r="D57">
        <v>123118814723.07994</v>
      </c>
      <c r="E57">
        <v>525000000000</v>
      </c>
      <c r="F57">
        <v>44654882</v>
      </c>
      <c r="G57">
        <v>-2.617396463</v>
      </c>
      <c r="H57">
        <v>30.76253595</v>
      </c>
      <c r="I57">
        <v>45</v>
      </c>
      <c r="J57">
        <v>116768389938.5601</v>
      </c>
      <c r="K57">
        <v>5.44</v>
      </c>
    </row>
    <row r="58" spans="1:11" x14ac:dyDescent="0.3">
      <c r="A58" t="s">
        <v>23</v>
      </c>
      <c r="B58" t="s">
        <v>24</v>
      </c>
      <c r="C58">
        <v>2019</v>
      </c>
      <c r="D58">
        <v>130230653247.31996</v>
      </c>
      <c r="E58">
        <v>448000000000</v>
      </c>
      <c r="F58">
        <v>44973465</v>
      </c>
      <c r="G58">
        <v>-2.0008610029999998</v>
      </c>
      <c r="H58">
        <v>32.630615050000003</v>
      </c>
      <c r="I58">
        <v>41</v>
      </c>
      <c r="J58">
        <v>123118814723.07994</v>
      </c>
      <c r="K58">
        <v>5.78</v>
      </c>
    </row>
    <row r="59" spans="1:11" x14ac:dyDescent="0.3">
      <c r="A59" t="s">
        <v>23</v>
      </c>
      <c r="B59" t="s">
        <v>24</v>
      </c>
      <c r="C59">
        <v>2020</v>
      </c>
      <c r="D59">
        <v>109767644891.40004</v>
      </c>
      <c r="E59">
        <v>386000000000</v>
      </c>
      <c r="F59">
        <v>45191965</v>
      </c>
      <c r="G59">
        <v>-9.9004848140000004</v>
      </c>
      <c r="H59">
        <v>30.203698809999999</v>
      </c>
      <c r="I59">
        <v>40</v>
      </c>
      <c r="J59">
        <v>130230653247.31996</v>
      </c>
      <c r="K59">
        <v>-15.71</v>
      </c>
    </row>
    <row r="60" spans="1:11" x14ac:dyDescent="0.3">
      <c r="A60" t="s">
        <v>23</v>
      </c>
      <c r="B60" t="s">
        <v>24</v>
      </c>
      <c r="C60">
        <v>2021</v>
      </c>
      <c r="D60">
        <v>155868629973.15994</v>
      </c>
      <c r="E60">
        <v>487000000000</v>
      </c>
      <c r="F60">
        <v>45312281</v>
      </c>
      <c r="G60">
        <v>10.44181199</v>
      </c>
      <c r="H60">
        <v>33.078689570000002</v>
      </c>
      <c r="I60">
        <v>39</v>
      </c>
      <c r="J60">
        <v>109767644891.40004</v>
      </c>
      <c r="K60">
        <v>42</v>
      </c>
    </row>
    <row r="61" spans="1:11" x14ac:dyDescent="0.3">
      <c r="A61" t="s">
        <v>23</v>
      </c>
      <c r="B61" t="s">
        <v>24</v>
      </c>
      <c r="C61">
        <v>2022</v>
      </c>
      <c r="D61">
        <v>176891437676.63995</v>
      </c>
      <c r="E61">
        <v>634000000000</v>
      </c>
      <c r="F61">
        <v>45407904</v>
      </c>
      <c r="G61">
        <v>6.0207453749999997</v>
      </c>
      <c r="H61">
        <v>31.580179260000001</v>
      </c>
      <c r="I61">
        <v>38</v>
      </c>
      <c r="J61">
        <v>155868629973.15994</v>
      </c>
      <c r="K61">
        <v>13.49</v>
      </c>
    </row>
    <row r="62" spans="1:11" x14ac:dyDescent="0.3">
      <c r="A62" t="s">
        <v>23</v>
      </c>
      <c r="B62" t="s">
        <v>24</v>
      </c>
      <c r="C62">
        <v>2023</v>
      </c>
      <c r="D62">
        <v>133577031972.70006</v>
      </c>
      <c r="E62">
        <v>649000000000</v>
      </c>
      <c r="F62">
        <v>45538401</v>
      </c>
      <c r="G62">
        <v>-1.85578803</v>
      </c>
      <c r="H62">
        <v>26.676951249999998</v>
      </c>
      <c r="I62">
        <v>42</v>
      </c>
      <c r="J62">
        <v>176891437676.63995</v>
      </c>
      <c r="K62">
        <v>-24.49</v>
      </c>
    </row>
    <row r="63" spans="1:11" x14ac:dyDescent="0.3">
      <c r="A63" t="s">
        <v>23</v>
      </c>
      <c r="B63" t="s">
        <v>24</v>
      </c>
      <c r="C63">
        <v>2024</v>
      </c>
      <c r="D63">
        <v>159406413444.49988</v>
      </c>
      <c r="E63">
        <v>638000000000</v>
      </c>
      <c r="F63">
        <v>45696159</v>
      </c>
      <c r="G63">
        <v>-1.342930722</v>
      </c>
      <c r="H63">
        <v>27.929760850000001</v>
      </c>
      <c r="I63">
        <v>38</v>
      </c>
      <c r="J63">
        <v>133577031972.70006</v>
      </c>
      <c r="K63">
        <v>19.34</v>
      </c>
    </row>
    <row r="64" spans="1:11" x14ac:dyDescent="0.3">
      <c r="A64" t="s">
        <v>25</v>
      </c>
      <c r="B64" t="s">
        <v>26</v>
      </c>
      <c r="C64">
        <v>2015</v>
      </c>
      <c r="D64">
        <v>2965334702</v>
      </c>
      <c r="E64">
        <v>10553337518</v>
      </c>
      <c r="F64">
        <v>3004600</v>
      </c>
      <c r="G64">
        <v>3.1999999990000001</v>
      </c>
      <c r="H64">
        <v>71.68207434</v>
      </c>
      <c r="I64">
        <v>123</v>
      </c>
    </row>
    <row r="65" spans="1:11" x14ac:dyDescent="0.3">
      <c r="A65" t="s">
        <v>25</v>
      </c>
      <c r="B65" t="s">
        <v>26</v>
      </c>
      <c r="C65">
        <v>2016</v>
      </c>
      <c r="D65">
        <v>3615579027</v>
      </c>
      <c r="E65">
        <v>10546136236</v>
      </c>
      <c r="F65">
        <v>2992300</v>
      </c>
      <c r="G65">
        <v>0.2</v>
      </c>
      <c r="H65">
        <v>76.077967459999996</v>
      </c>
      <c r="I65">
        <v>123</v>
      </c>
      <c r="J65">
        <v>2965334702</v>
      </c>
      <c r="K65">
        <v>21.93</v>
      </c>
    </row>
    <row r="66" spans="1:11" x14ac:dyDescent="0.3">
      <c r="A66" t="s">
        <v>25</v>
      </c>
      <c r="B66" t="s">
        <v>26</v>
      </c>
      <c r="C66">
        <v>2017</v>
      </c>
      <c r="D66">
        <v>4289925939.1599998</v>
      </c>
      <c r="E66">
        <v>11527458709</v>
      </c>
      <c r="F66">
        <v>2979400</v>
      </c>
      <c r="G66">
        <v>7.5000000020000002</v>
      </c>
      <c r="H66">
        <v>87.202376540000003</v>
      </c>
      <c r="I66">
        <v>121</v>
      </c>
      <c r="J66">
        <v>3615579027</v>
      </c>
      <c r="K66">
        <v>18.649999999999999</v>
      </c>
    </row>
    <row r="67" spans="1:11" x14ac:dyDescent="0.3">
      <c r="A67" t="s">
        <v>25</v>
      </c>
      <c r="B67" t="s">
        <v>26</v>
      </c>
      <c r="C67">
        <v>2018</v>
      </c>
      <c r="D67">
        <v>4766827599.4759998</v>
      </c>
      <c r="E67">
        <v>12457940695</v>
      </c>
      <c r="F67">
        <v>2969000</v>
      </c>
      <c r="G67">
        <v>5.2</v>
      </c>
      <c r="H67">
        <v>92.47310702</v>
      </c>
      <c r="I67">
        <v>117</v>
      </c>
      <c r="J67">
        <v>4289925939.1599998</v>
      </c>
      <c r="K67">
        <v>11.12</v>
      </c>
    </row>
    <row r="68" spans="1:11" x14ac:dyDescent="0.3">
      <c r="A68" t="s">
        <v>25</v>
      </c>
      <c r="B68" t="s">
        <v>26</v>
      </c>
      <c r="C68">
        <v>2019</v>
      </c>
      <c r="D68">
        <v>5237274891.0599995</v>
      </c>
      <c r="E68">
        <v>13619290539</v>
      </c>
      <c r="F68">
        <v>2962500</v>
      </c>
      <c r="G68">
        <v>7.5999999989999996</v>
      </c>
      <c r="H68">
        <v>97.847004870000006</v>
      </c>
      <c r="I68">
        <v>118</v>
      </c>
      <c r="J68">
        <v>4766827599.4759998</v>
      </c>
      <c r="K68">
        <v>9.8699999999999992</v>
      </c>
    </row>
    <row r="69" spans="1:11" x14ac:dyDescent="0.3">
      <c r="A69" t="s">
        <v>25</v>
      </c>
      <c r="B69" t="s">
        <v>26</v>
      </c>
      <c r="C69">
        <v>2020</v>
      </c>
      <c r="D69">
        <v>4664164306.2099972</v>
      </c>
      <c r="E69">
        <v>12641698583</v>
      </c>
      <c r="F69">
        <v>2961500</v>
      </c>
      <c r="G69">
        <v>-7.1999999990000001</v>
      </c>
      <c r="H69">
        <v>70.121357140000001</v>
      </c>
      <c r="I69">
        <v>117</v>
      </c>
      <c r="J69">
        <v>5237274891.0599995</v>
      </c>
      <c r="K69">
        <v>-10.94</v>
      </c>
    </row>
    <row r="70" spans="1:11" x14ac:dyDescent="0.3">
      <c r="A70" t="s">
        <v>25</v>
      </c>
      <c r="B70" t="s">
        <v>26</v>
      </c>
      <c r="C70">
        <v>2021</v>
      </c>
      <c r="D70">
        <v>5929600404.1600027</v>
      </c>
      <c r="E70">
        <v>13878908629</v>
      </c>
      <c r="F70">
        <v>2962300</v>
      </c>
      <c r="G70">
        <v>5.8000000009999999</v>
      </c>
      <c r="H70">
        <v>79.24890576</v>
      </c>
      <c r="I70">
        <v>118</v>
      </c>
      <c r="J70">
        <v>4664164306.2099972</v>
      </c>
      <c r="K70">
        <v>27.13</v>
      </c>
    </row>
    <row r="71" spans="1:11" x14ac:dyDescent="0.3">
      <c r="A71" t="s">
        <v>25</v>
      </c>
      <c r="B71" t="s">
        <v>26</v>
      </c>
      <c r="C71">
        <v>2022</v>
      </c>
      <c r="D71">
        <v>10731958521.420004</v>
      </c>
      <c r="E71">
        <v>19513506553</v>
      </c>
      <c r="F71">
        <v>2969200</v>
      </c>
      <c r="G71">
        <v>12.6</v>
      </c>
      <c r="H71">
        <v>103.87862920000001</v>
      </c>
      <c r="I71">
        <v>104</v>
      </c>
      <c r="J71">
        <v>5929600404.1600027</v>
      </c>
      <c r="K71">
        <v>80.989999999999995</v>
      </c>
    </row>
    <row r="72" spans="1:11" x14ac:dyDescent="0.3">
      <c r="A72" t="s">
        <v>25</v>
      </c>
      <c r="B72" t="s">
        <v>26</v>
      </c>
      <c r="C72">
        <v>2023</v>
      </c>
      <c r="D72">
        <v>17016082751.859995</v>
      </c>
      <c r="E72">
        <v>24185982216</v>
      </c>
      <c r="F72">
        <v>2964300</v>
      </c>
      <c r="G72">
        <v>8.3000000000000007</v>
      </c>
      <c r="H72">
        <v>123.4187501</v>
      </c>
      <c r="I72">
        <v>89</v>
      </c>
      <c r="J72">
        <v>10731958521.420004</v>
      </c>
      <c r="K72">
        <v>58.56</v>
      </c>
    </row>
    <row r="73" spans="1:11" x14ac:dyDescent="0.3">
      <c r="A73" t="s">
        <v>25</v>
      </c>
      <c r="B73" t="s">
        <v>26</v>
      </c>
      <c r="C73">
        <v>2024</v>
      </c>
      <c r="D73">
        <v>26145304789.907997</v>
      </c>
      <c r="E73">
        <v>25955275380</v>
      </c>
      <c r="F73">
        <v>3033500</v>
      </c>
      <c r="G73">
        <v>5.9</v>
      </c>
      <c r="H73">
        <v>150.0647266</v>
      </c>
      <c r="I73">
        <v>72</v>
      </c>
      <c r="J73">
        <v>17016082751.859995</v>
      </c>
      <c r="K73">
        <v>53.65</v>
      </c>
    </row>
    <row r="74" spans="1:11" x14ac:dyDescent="0.3">
      <c r="A74" t="s">
        <v>27</v>
      </c>
      <c r="B74" t="s">
        <v>28</v>
      </c>
      <c r="C74">
        <v>2015</v>
      </c>
      <c r="D74">
        <v>52091083</v>
      </c>
      <c r="E74">
        <v>1437485185</v>
      </c>
      <c r="F74">
        <v>89409</v>
      </c>
      <c r="G74">
        <v>1.4216199759999999</v>
      </c>
      <c r="H74">
        <v>130.07154990000001</v>
      </c>
      <c r="I74">
        <v>163</v>
      </c>
    </row>
    <row r="75" spans="1:11" x14ac:dyDescent="0.3">
      <c r="A75" t="s">
        <v>27</v>
      </c>
      <c r="B75" t="s">
        <v>28</v>
      </c>
      <c r="C75">
        <v>2016</v>
      </c>
      <c r="D75">
        <v>122086508</v>
      </c>
      <c r="E75">
        <v>1489603704</v>
      </c>
      <c r="F75">
        <v>89969</v>
      </c>
      <c r="G75">
        <v>4.1203675439999996</v>
      </c>
      <c r="H75">
        <v>132.0259179</v>
      </c>
      <c r="I75">
        <v>159</v>
      </c>
      <c r="J75">
        <v>52091083</v>
      </c>
      <c r="K75">
        <v>134.37</v>
      </c>
    </row>
    <row r="76" spans="1:11" x14ac:dyDescent="0.3">
      <c r="A76" t="s">
        <v>27</v>
      </c>
      <c r="B76" t="s">
        <v>28</v>
      </c>
      <c r="C76">
        <v>2017</v>
      </c>
      <c r="D76">
        <v>124781205.426</v>
      </c>
      <c r="E76">
        <v>1534855556</v>
      </c>
      <c r="F76">
        <v>90468</v>
      </c>
      <c r="G76">
        <v>2.71272658</v>
      </c>
      <c r="H76">
        <v>127.6643236</v>
      </c>
      <c r="I76">
        <v>160</v>
      </c>
      <c r="J76">
        <v>122086508</v>
      </c>
      <c r="K76">
        <v>2.21</v>
      </c>
    </row>
    <row r="77" spans="1:11" x14ac:dyDescent="0.3">
      <c r="A77" t="s">
        <v>27</v>
      </c>
      <c r="B77" t="s">
        <v>28</v>
      </c>
      <c r="C77">
        <v>2018</v>
      </c>
      <c r="D77">
        <v>51682163.117000028</v>
      </c>
      <c r="E77">
        <v>1661529630</v>
      </c>
      <c r="F77">
        <v>90926</v>
      </c>
      <c r="G77">
        <v>6.7120048719999996</v>
      </c>
      <c r="H77">
        <v>130.6551527</v>
      </c>
      <c r="I77">
        <v>162</v>
      </c>
      <c r="J77">
        <v>124781205.426</v>
      </c>
      <c r="K77">
        <v>-58.58</v>
      </c>
    </row>
    <row r="78" spans="1:11" x14ac:dyDescent="0.3">
      <c r="A78" t="s">
        <v>27</v>
      </c>
      <c r="B78" t="s">
        <v>28</v>
      </c>
      <c r="C78">
        <v>2019</v>
      </c>
      <c r="D78">
        <v>74800236.808000013</v>
      </c>
      <c r="E78">
        <v>1726448148</v>
      </c>
      <c r="F78">
        <v>91364</v>
      </c>
      <c r="G78">
        <v>3.1722219370000002</v>
      </c>
      <c r="H78">
        <v>137.53778360000001</v>
      </c>
      <c r="I78">
        <v>159</v>
      </c>
      <c r="J78">
        <v>51682163.117000028</v>
      </c>
      <c r="K78">
        <v>44.73</v>
      </c>
    </row>
    <row r="79" spans="1:11" x14ac:dyDescent="0.3">
      <c r="A79" t="s">
        <v>27</v>
      </c>
      <c r="B79" t="s">
        <v>28</v>
      </c>
      <c r="C79">
        <v>2020</v>
      </c>
      <c r="D79">
        <v>44398849.264999993</v>
      </c>
      <c r="E79">
        <v>1411637037</v>
      </c>
      <c r="F79">
        <v>91846</v>
      </c>
      <c r="G79">
        <v>-18.868776520000001</v>
      </c>
      <c r="H79">
        <v>94.289529889999997</v>
      </c>
      <c r="I79">
        <v>155</v>
      </c>
      <c r="J79">
        <v>74800236.808000013</v>
      </c>
      <c r="K79">
        <v>-40.64</v>
      </c>
    </row>
    <row r="80" spans="1:11" x14ac:dyDescent="0.3">
      <c r="A80" t="s">
        <v>27</v>
      </c>
      <c r="B80" t="s">
        <v>28</v>
      </c>
      <c r="C80">
        <v>2021</v>
      </c>
      <c r="D80">
        <v>38294574.265000001</v>
      </c>
      <c r="E80">
        <v>1602125926</v>
      </c>
      <c r="F80">
        <v>92349</v>
      </c>
      <c r="G80">
        <v>8.1728631119999999</v>
      </c>
      <c r="H80">
        <v>101.0749606</v>
      </c>
      <c r="I80">
        <v>158</v>
      </c>
      <c r="J80">
        <v>44398849.264999993</v>
      </c>
      <c r="K80">
        <v>-13.75</v>
      </c>
    </row>
    <row r="81" spans="1:11" x14ac:dyDescent="0.3">
      <c r="A81" t="s">
        <v>27</v>
      </c>
      <c r="B81" t="s">
        <v>28</v>
      </c>
      <c r="C81">
        <v>2022</v>
      </c>
      <c r="D81">
        <v>43752792.081</v>
      </c>
      <c r="E81">
        <v>1857114815</v>
      </c>
      <c r="F81">
        <v>92840</v>
      </c>
      <c r="G81">
        <v>8.4977634230000003</v>
      </c>
      <c r="H81">
        <v>118.3025841</v>
      </c>
      <c r="I81">
        <v>159</v>
      </c>
      <c r="J81">
        <v>38294574.265000001</v>
      </c>
      <c r="K81">
        <v>14.25</v>
      </c>
    </row>
    <row r="82" spans="1:11" x14ac:dyDescent="0.3">
      <c r="A82" t="s">
        <v>27</v>
      </c>
      <c r="B82" t="s">
        <v>28</v>
      </c>
      <c r="C82">
        <v>2023</v>
      </c>
      <c r="D82">
        <v>60993748.46100001</v>
      </c>
      <c r="E82">
        <v>2054096296</v>
      </c>
      <c r="F82">
        <v>93316</v>
      </c>
      <c r="G82">
        <v>3.8655016010000001</v>
      </c>
      <c r="I82">
        <v>152</v>
      </c>
      <c r="J82">
        <v>43752792.081</v>
      </c>
      <c r="K82">
        <v>39.409999999999997</v>
      </c>
    </row>
    <row r="83" spans="1:11" x14ac:dyDescent="0.3">
      <c r="A83" t="s">
        <v>27</v>
      </c>
      <c r="B83" t="s">
        <v>28</v>
      </c>
      <c r="C83">
        <v>2024</v>
      </c>
      <c r="D83">
        <v>66723742.784999996</v>
      </c>
      <c r="E83">
        <v>2162366667</v>
      </c>
      <c r="F83">
        <v>93772</v>
      </c>
      <c r="G83">
        <v>2.5404419389999999</v>
      </c>
      <c r="I83">
        <v>130</v>
      </c>
      <c r="J83">
        <v>60993748.46100001</v>
      </c>
      <c r="K83">
        <v>9.39</v>
      </c>
    </row>
    <row r="84" spans="1:11" x14ac:dyDescent="0.3">
      <c r="A84" t="s">
        <v>29</v>
      </c>
      <c r="B84" t="s">
        <v>30</v>
      </c>
      <c r="C84">
        <v>2015</v>
      </c>
      <c r="D84">
        <v>375584302945</v>
      </c>
      <c r="E84">
        <v>1360000000000</v>
      </c>
      <c r="F84">
        <v>23815995</v>
      </c>
      <c r="G84">
        <v>2.1643478059999999</v>
      </c>
      <c r="H84">
        <v>41.494750689999996</v>
      </c>
      <c r="I84">
        <v>22</v>
      </c>
    </row>
    <row r="85" spans="1:11" x14ac:dyDescent="0.3">
      <c r="A85" t="s">
        <v>29</v>
      </c>
      <c r="B85" t="s">
        <v>30</v>
      </c>
      <c r="C85">
        <v>2016</v>
      </c>
      <c r="D85">
        <v>379259949125</v>
      </c>
      <c r="E85">
        <v>1210000000000</v>
      </c>
      <c r="F85">
        <v>24190907</v>
      </c>
      <c r="G85">
        <v>2.7556406550000001</v>
      </c>
      <c r="H85">
        <v>40.81340222</v>
      </c>
      <c r="I85">
        <v>20</v>
      </c>
      <c r="J85">
        <v>375584302945</v>
      </c>
      <c r="K85">
        <v>0.98</v>
      </c>
    </row>
    <row r="86" spans="1:11" x14ac:dyDescent="0.3">
      <c r="A86" t="s">
        <v>29</v>
      </c>
      <c r="B86" t="s">
        <v>30</v>
      </c>
      <c r="C86">
        <v>2017</v>
      </c>
      <c r="D86">
        <v>461073473187.71313</v>
      </c>
      <c r="E86">
        <v>1330000000000</v>
      </c>
      <c r="F86">
        <v>24592588</v>
      </c>
      <c r="G86">
        <v>2.2933103020000001</v>
      </c>
      <c r="H86">
        <v>42.03541353</v>
      </c>
      <c r="I86">
        <v>19</v>
      </c>
      <c r="J86">
        <v>379259949125</v>
      </c>
      <c r="K86">
        <v>21.57</v>
      </c>
    </row>
    <row r="87" spans="1:11" x14ac:dyDescent="0.3">
      <c r="A87" t="s">
        <v>29</v>
      </c>
      <c r="B87" t="s">
        <v>30</v>
      </c>
      <c r="C87">
        <v>2018</v>
      </c>
      <c r="D87">
        <v>513130524751.18402</v>
      </c>
      <c r="E87">
        <v>1430000000000</v>
      </c>
      <c r="F87">
        <v>24963258</v>
      </c>
      <c r="G87">
        <v>2.8741703950000002</v>
      </c>
      <c r="H87">
        <v>43.573225360000002</v>
      </c>
      <c r="I87">
        <v>20</v>
      </c>
      <c r="J87">
        <v>461073473187.71313</v>
      </c>
      <c r="K87">
        <v>11.29</v>
      </c>
    </row>
    <row r="88" spans="1:11" x14ac:dyDescent="0.3">
      <c r="A88" t="s">
        <v>29</v>
      </c>
      <c r="B88" t="s">
        <v>30</v>
      </c>
      <c r="C88">
        <v>2019</v>
      </c>
      <c r="D88">
        <v>540521671739.53729</v>
      </c>
      <c r="E88">
        <v>1400000000000</v>
      </c>
      <c r="F88">
        <v>25334826</v>
      </c>
      <c r="G88">
        <v>2.194017036</v>
      </c>
      <c r="H88">
        <v>46.001682709999997</v>
      </c>
      <c r="I88">
        <v>18</v>
      </c>
      <c r="J88">
        <v>513130524751.18402</v>
      </c>
      <c r="K88">
        <v>5.34</v>
      </c>
    </row>
    <row r="89" spans="1:11" x14ac:dyDescent="0.3">
      <c r="A89" t="s">
        <v>29</v>
      </c>
      <c r="B89" t="s">
        <v>30</v>
      </c>
      <c r="C89">
        <v>2020</v>
      </c>
      <c r="D89">
        <v>494318691883.13483</v>
      </c>
      <c r="E89">
        <v>1330000000000</v>
      </c>
      <c r="F89">
        <v>25649248</v>
      </c>
      <c r="G89">
        <v>-0.13353190400000001</v>
      </c>
      <c r="H89">
        <v>44.499564100000001</v>
      </c>
      <c r="I89">
        <v>20</v>
      </c>
      <c r="J89">
        <v>540521671739.53729</v>
      </c>
      <c r="K89">
        <v>-8.5500000000000007</v>
      </c>
    </row>
    <row r="90" spans="1:11" x14ac:dyDescent="0.3">
      <c r="A90" t="s">
        <v>29</v>
      </c>
      <c r="B90" t="s">
        <v>30</v>
      </c>
      <c r="C90">
        <v>2021</v>
      </c>
      <c r="D90">
        <v>684072206539.68127</v>
      </c>
      <c r="E90">
        <v>1560000000000</v>
      </c>
      <c r="F90">
        <v>25685412</v>
      </c>
      <c r="G90">
        <v>2.0069484430000002</v>
      </c>
      <c r="H90">
        <v>40.202235940000001</v>
      </c>
      <c r="I90">
        <v>18</v>
      </c>
      <c r="J90">
        <v>494318691883.13483</v>
      </c>
      <c r="K90">
        <v>38.39</v>
      </c>
    </row>
    <row r="91" spans="1:11" x14ac:dyDescent="0.3">
      <c r="A91" t="s">
        <v>29</v>
      </c>
      <c r="B91" t="s">
        <v>30</v>
      </c>
      <c r="C91">
        <v>2022</v>
      </c>
      <c r="D91">
        <v>820505668958.08533</v>
      </c>
      <c r="E91">
        <v>1700000000000</v>
      </c>
      <c r="F91">
        <v>26018721</v>
      </c>
      <c r="G91">
        <v>4.2530455920000003</v>
      </c>
      <c r="H91">
        <v>45.694641879999999</v>
      </c>
      <c r="I91">
        <v>18</v>
      </c>
      <c r="J91">
        <v>684072206539.68127</v>
      </c>
      <c r="K91">
        <v>19.940000000000001</v>
      </c>
    </row>
    <row r="92" spans="1:11" x14ac:dyDescent="0.3">
      <c r="A92" t="s">
        <v>29</v>
      </c>
      <c r="B92" t="s">
        <v>30</v>
      </c>
      <c r="C92">
        <v>2023</v>
      </c>
      <c r="D92">
        <v>738470248318.10388</v>
      </c>
      <c r="E92">
        <v>1730000000000</v>
      </c>
      <c r="F92">
        <v>26659922</v>
      </c>
      <c r="G92">
        <v>3.5838210080000001</v>
      </c>
      <c r="H92">
        <v>49.044339319999999</v>
      </c>
      <c r="I92">
        <v>18</v>
      </c>
      <c r="J92">
        <v>820505668958.08533</v>
      </c>
      <c r="K92">
        <v>-10</v>
      </c>
    </row>
    <row r="93" spans="1:11" x14ac:dyDescent="0.3">
      <c r="A93" t="s">
        <v>29</v>
      </c>
      <c r="B93" t="s">
        <v>30</v>
      </c>
      <c r="C93">
        <v>2024</v>
      </c>
      <c r="D93">
        <v>681709703481.33838</v>
      </c>
      <c r="E93">
        <v>1760000000000</v>
      </c>
      <c r="F93">
        <v>27194286</v>
      </c>
      <c r="G93">
        <v>1.3734077339999999</v>
      </c>
      <c r="H93">
        <v>47.145381110000002</v>
      </c>
      <c r="I93">
        <v>17</v>
      </c>
      <c r="J93">
        <v>738470248318.10388</v>
      </c>
      <c r="K93">
        <v>-7.69</v>
      </c>
    </row>
    <row r="94" spans="1:11" x14ac:dyDescent="0.3">
      <c r="A94" t="s">
        <v>31</v>
      </c>
      <c r="B94" t="s">
        <v>32</v>
      </c>
      <c r="C94">
        <v>2015</v>
      </c>
      <c r="D94">
        <v>290551060630.03107</v>
      </c>
      <c r="E94">
        <v>380000000000</v>
      </c>
      <c r="F94">
        <v>8642699</v>
      </c>
      <c r="G94">
        <v>1.3035233180000001</v>
      </c>
      <c r="H94">
        <v>103.1175817</v>
      </c>
      <c r="I94">
        <v>28</v>
      </c>
    </row>
    <row r="95" spans="1:11" x14ac:dyDescent="0.3">
      <c r="A95" t="s">
        <v>31</v>
      </c>
      <c r="B95" t="s">
        <v>32</v>
      </c>
      <c r="C95">
        <v>2016</v>
      </c>
      <c r="D95">
        <v>289401380431.47498</v>
      </c>
      <c r="E95">
        <v>394000000000</v>
      </c>
      <c r="F95">
        <v>8736668</v>
      </c>
      <c r="G95">
        <v>2.117219645</v>
      </c>
      <c r="H95">
        <v>101.5734946</v>
      </c>
      <c r="I95">
        <v>27</v>
      </c>
      <c r="J95">
        <v>290551060630.03107</v>
      </c>
      <c r="K95">
        <v>-0.4</v>
      </c>
    </row>
    <row r="96" spans="1:11" x14ac:dyDescent="0.3">
      <c r="A96" t="s">
        <v>31</v>
      </c>
      <c r="B96" t="s">
        <v>32</v>
      </c>
      <c r="C96">
        <v>2017</v>
      </c>
      <c r="D96">
        <v>319941061605.8703</v>
      </c>
      <c r="E96">
        <v>415000000000</v>
      </c>
      <c r="F96">
        <v>8797566</v>
      </c>
      <c r="G96">
        <v>2.2722499200000001</v>
      </c>
      <c r="H96">
        <v>105.5560668</v>
      </c>
      <c r="I96">
        <v>28</v>
      </c>
      <c r="J96">
        <v>289401380431.47498</v>
      </c>
      <c r="K96">
        <v>10.55</v>
      </c>
    </row>
    <row r="97" spans="1:11" x14ac:dyDescent="0.3">
      <c r="A97" t="s">
        <v>31</v>
      </c>
      <c r="B97" t="s">
        <v>32</v>
      </c>
      <c r="C97">
        <v>2018</v>
      </c>
      <c r="D97">
        <v>353983941240.39197</v>
      </c>
      <c r="E97">
        <v>453000000000</v>
      </c>
      <c r="F97">
        <v>8840521</v>
      </c>
      <c r="G97">
        <v>2.4842211409999999</v>
      </c>
      <c r="H97">
        <v>108.37797</v>
      </c>
      <c r="I97">
        <v>28</v>
      </c>
      <c r="J97">
        <v>319941061605.8703</v>
      </c>
      <c r="K97">
        <v>10.64</v>
      </c>
    </row>
    <row r="98" spans="1:11" x14ac:dyDescent="0.3">
      <c r="A98" t="s">
        <v>31</v>
      </c>
      <c r="B98" t="s">
        <v>32</v>
      </c>
      <c r="C98">
        <v>2019</v>
      </c>
      <c r="D98">
        <v>343064109924.63361</v>
      </c>
      <c r="E98">
        <v>443000000000</v>
      </c>
      <c r="F98">
        <v>8879920</v>
      </c>
      <c r="G98">
        <v>1.7549761960000001</v>
      </c>
      <c r="H98">
        <v>108.2072849</v>
      </c>
      <c r="I98">
        <v>27</v>
      </c>
      <c r="J98">
        <v>353983941240.39197</v>
      </c>
      <c r="K98">
        <v>-3.08</v>
      </c>
    </row>
    <row r="99" spans="1:11" x14ac:dyDescent="0.3">
      <c r="A99" t="s">
        <v>31</v>
      </c>
      <c r="B99" t="s">
        <v>32</v>
      </c>
      <c r="C99">
        <v>2020</v>
      </c>
      <c r="D99">
        <v>324290258034.66895</v>
      </c>
      <c r="E99">
        <v>434000000000</v>
      </c>
      <c r="F99">
        <v>8916864</v>
      </c>
      <c r="G99">
        <v>-6.3182550920000002</v>
      </c>
      <c r="H99">
        <v>99.948214109999995</v>
      </c>
      <c r="I99">
        <v>29</v>
      </c>
      <c r="J99">
        <v>343064109924.63361</v>
      </c>
      <c r="K99">
        <v>-5.47</v>
      </c>
    </row>
    <row r="100" spans="1:11" x14ac:dyDescent="0.3">
      <c r="A100" t="s">
        <v>31</v>
      </c>
      <c r="B100" t="s">
        <v>32</v>
      </c>
      <c r="C100">
        <v>2021</v>
      </c>
      <c r="D100">
        <v>389406491898.9176</v>
      </c>
      <c r="E100">
        <v>480000000000</v>
      </c>
      <c r="F100">
        <v>8955797</v>
      </c>
      <c r="G100">
        <v>4.9230917170000001</v>
      </c>
      <c r="H100">
        <v>111.0329321</v>
      </c>
      <c r="I100">
        <v>29</v>
      </c>
      <c r="J100">
        <v>324290258034.66895</v>
      </c>
      <c r="K100">
        <v>20.079999999999998</v>
      </c>
    </row>
    <row r="101" spans="1:11" x14ac:dyDescent="0.3">
      <c r="A101" t="s">
        <v>31</v>
      </c>
      <c r="B101" t="s">
        <v>32</v>
      </c>
      <c r="C101">
        <v>2022</v>
      </c>
      <c r="D101">
        <v>407506494692.28363</v>
      </c>
      <c r="E101">
        <v>473000000000</v>
      </c>
      <c r="F101">
        <v>9041851</v>
      </c>
      <c r="G101">
        <v>5.3309637939999996</v>
      </c>
      <c r="H101">
        <v>123.5795787</v>
      </c>
      <c r="I101">
        <v>28</v>
      </c>
      <c r="J101">
        <v>389406491898.9176</v>
      </c>
      <c r="K101">
        <v>4.6500000000000004</v>
      </c>
    </row>
    <row r="102" spans="1:11" x14ac:dyDescent="0.3">
      <c r="A102" t="s">
        <v>31</v>
      </c>
      <c r="B102" t="s">
        <v>32</v>
      </c>
      <c r="C102">
        <v>2023</v>
      </c>
      <c r="D102">
        <v>432353178940.35016</v>
      </c>
      <c r="E102">
        <v>517000000000</v>
      </c>
      <c r="F102">
        <v>9131761</v>
      </c>
      <c r="G102">
        <v>-0.78624428899999999</v>
      </c>
      <c r="H102">
        <v>115.1529148</v>
      </c>
      <c r="I102">
        <v>27</v>
      </c>
      <c r="J102">
        <v>407506494692.28363</v>
      </c>
      <c r="K102">
        <v>6.1</v>
      </c>
    </row>
    <row r="103" spans="1:11" x14ac:dyDescent="0.3">
      <c r="A103" t="s">
        <v>31</v>
      </c>
      <c r="B103" t="s">
        <v>32</v>
      </c>
      <c r="C103">
        <v>2024</v>
      </c>
      <c r="D103">
        <v>412845541096.75604</v>
      </c>
      <c r="E103">
        <v>535000000000</v>
      </c>
      <c r="F103">
        <v>9177982</v>
      </c>
      <c r="G103">
        <v>-0.65908957300000004</v>
      </c>
      <c r="H103">
        <v>108.8257778</v>
      </c>
      <c r="I103">
        <v>26</v>
      </c>
      <c r="J103">
        <v>432353178940.35016</v>
      </c>
      <c r="K103">
        <v>-4.51</v>
      </c>
    </row>
    <row r="104" spans="1:11" x14ac:dyDescent="0.3">
      <c r="A104" t="s">
        <v>33</v>
      </c>
      <c r="B104" t="s">
        <v>34</v>
      </c>
      <c r="C104">
        <v>2015</v>
      </c>
      <c r="D104">
        <v>25292587353.580006</v>
      </c>
      <c r="E104">
        <v>53076235355</v>
      </c>
      <c r="F104">
        <v>9649341</v>
      </c>
      <c r="G104">
        <v>1.049546412</v>
      </c>
      <c r="H104">
        <v>72.601507909999995</v>
      </c>
      <c r="I104">
        <v>71</v>
      </c>
    </row>
    <row r="105" spans="1:11" x14ac:dyDescent="0.3">
      <c r="A105" t="s">
        <v>33</v>
      </c>
      <c r="B105" t="s">
        <v>34</v>
      </c>
      <c r="C105">
        <v>2016</v>
      </c>
      <c r="D105">
        <v>26761637133.420002</v>
      </c>
      <c r="E105">
        <v>37866996883</v>
      </c>
      <c r="F105">
        <v>9757812</v>
      </c>
      <c r="G105">
        <v>-3.0635984230000002</v>
      </c>
      <c r="H105">
        <v>90.077318730000002</v>
      </c>
      <c r="I105">
        <v>70</v>
      </c>
      <c r="J105">
        <v>25292587353.580006</v>
      </c>
      <c r="K105">
        <v>5.81</v>
      </c>
    </row>
    <row r="106" spans="1:11" x14ac:dyDescent="0.3">
      <c r="A106" t="s">
        <v>33</v>
      </c>
      <c r="B106" t="s">
        <v>34</v>
      </c>
      <c r="C106">
        <v>2017</v>
      </c>
      <c r="D106">
        <v>30612036608.880001</v>
      </c>
      <c r="E106">
        <v>40866627352</v>
      </c>
      <c r="F106">
        <v>9854033</v>
      </c>
      <c r="G106">
        <v>0.15361466200000001</v>
      </c>
      <c r="H106">
        <v>90.402315680000001</v>
      </c>
      <c r="I106">
        <v>68</v>
      </c>
      <c r="J106">
        <v>26761637133.420002</v>
      </c>
      <c r="K106">
        <v>14.39</v>
      </c>
    </row>
    <row r="107" spans="1:11" x14ac:dyDescent="0.3">
      <c r="A107" t="s">
        <v>33</v>
      </c>
      <c r="B107" t="s">
        <v>34</v>
      </c>
      <c r="C107">
        <v>2018</v>
      </c>
      <c r="D107">
        <v>38978136407.639984</v>
      </c>
      <c r="E107">
        <v>47112470052</v>
      </c>
      <c r="F107">
        <v>9939771</v>
      </c>
      <c r="G107">
        <v>1.500401672</v>
      </c>
      <c r="H107">
        <v>91.672576539999994</v>
      </c>
      <c r="I107">
        <v>65</v>
      </c>
      <c r="J107">
        <v>30612036608.880001</v>
      </c>
      <c r="K107">
        <v>27.33</v>
      </c>
    </row>
    <row r="108" spans="1:11" x14ac:dyDescent="0.3">
      <c r="A108" t="s">
        <v>33</v>
      </c>
      <c r="B108" t="s">
        <v>34</v>
      </c>
      <c r="C108">
        <v>2019</v>
      </c>
      <c r="D108">
        <v>39270405201.459976</v>
      </c>
      <c r="E108">
        <v>48174235294</v>
      </c>
      <c r="F108">
        <v>10024283</v>
      </c>
      <c r="G108">
        <v>2.479808792</v>
      </c>
      <c r="H108">
        <v>85.81814541</v>
      </c>
      <c r="I108">
        <v>63</v>
      </c>
      <c r="J108">
        <v>38978136407.639984</v>
      </c>
      <c r="K108">
        <v>0.75</v>
      </c>
    </row>
    <row r="109" spans="1:11" x14ac:dyDescent="0.3">
      <c r="A109" t="s">
        <v>33</v>
      </c>
      <c r="B109" t="s">
        <v>34</v>
      </c>
      <c r="C109">
        <v>2020</v>
      </c>
      <c r="D109">
        <v>27465274526.460007</v>
      </c>
      <c r="E109">
        <v>42693000000</v>
      </c>
      <c r="F109">
        <v>10093121</v>
      </c>
      <c r="G109">
        <v>-4.1989606530000003</v>
      </c>
      <c r="H109">
        <v>72.017867649999999</v>
      </c>
      <c r="I109">
        <v>70</v>
      </c>
      <c r="J109">
        <v>39270405201.459976</v>
      </c>
      <c r="K109">
        <v>-30.06</v>
      </c>
    </row>
    <row r="110" spans="1:11" x14ac:dyDescent="0.3">
      <c r="A110" t="s">
        <v>33</v>
      </c>
      <c r="B110" t="s">
        <v>34</v>
      </c>
      <c r="C110">
        <v>2021</v>
      </c>
      <c r="D110">
        <v>44415949569.88002</v>
      </c>
      <c r="E110">
        <v>54825411765</v>
      </c>
      <c r="F110">
        <v>10137750</v>
      </c>
      <c r="G110">
        <v>5.6164402720000002</v>
      </c>
      <c r="H110">
        <v>76.286865689999999</v>
      </c>
      <c r="I110">
        <v>64</v>
      </c>
      <c r="J110">
        <v>27465274526.460007</v>
      </c>
      <c r="K110">
        <v>61.72</v>
      </c>
    </row>
    <row r="111" spans="1:11" x14ac:dyDescent="0.3">
      <c r="A111" t="s">
        <v>33</v>
      </c>
      <c r="B111" t="s">
        <v>34</v>
      </c>
      <c r="C111">
        <v>2022</v>
      </c>
      <c r="D111">
        <v>76292861462.160019</v>
      </c>
      <c r="E111">
        <v>78807470588</v>
      </c>
      <c r="F111">
        <v>10141756</v>
      </c>
      <c r="G111">
        <v>4.7146803320000004</v>
      </c>
      <c r="H111">
        <v>86.982273250000006</v>
      </c>
      <c r="I111">
        <v>58</v>
      </c>
      <c r="J111">
        <v>44415949569.88002</v>
      </c>
      <c r="K111">
        <v>71.77</v>
      </c>
    </row>
    <row r="112" spans="1:11" x14ac:dyDescent="0.3">
      <c r="A112" t="s">
        <v>33</v>
      </c>
      <c r="B112" t="s">
        <v>34</v>
      </c>
      <c r="C112">
        <v>2023</v>
      </c>
      <c r="D112">
        <v>67797109710.560036</v>
      </c>
      <c r="E112">
        <v>72428470588</v>
      </c>
      <c r="F112">
        <v>10153958</v>
      </c>
      <c r="G112">
        <v>1.3544774909999999</v>
      </c>
      <c r="H112">
        <v>83.535886120000001</v>
      </c>
      <c r="I112">
        <v>57</v>
      </c>
      <c r="J112">
        <v>76292861462.160019</v>
      </c>
      <c r="K112">
        <v>-11.14</v>
      </c>
    </row>
    <row r="113" spans="1:11" x14ac:dyDescent="0.3">
      <c r="A113" t="s">
        <v>33</v>
      </c>
      <c r="B113" t="s">
        <v>34</v>
      </c>
      <c r="C113">
        <v>2024</v>
      </c>
      <c r="D113">
        <v>53108113529.560036</v>
      </c>
      <c r="E113">
        <v>74426000000</v>
      </c>
      <c r="F113">
        <v>10202830</v>
      </c>
      <c r="G113">
        <v>4.1580680040000004</v>
      </c>
      <c r="H113">
        <v>82.567524629999994</v>
      </c>
      <c r="I113">
        <v>60</v>
      </c>
      <c r="J113">
        <v>67797109710.560036</v>
      </c>
      <c r="K113">
        <v>-21.67</v>
      </c>
    </row>
    <row r="114" spans="1:11" x14ac:dyDescent="0.3">
      <c r="A114" t="s">
        <v>35</v>
      </c>
      <c r="B114" t="s">
        <v>36</v>
      </c>
      <c r="C114">
        <v>2015</v>
      </c>
      <c r="D114">
        <v>227581406</v>
      </c>
      <c r="E114">
        <v>2810532912</v>
      </c>
      <c r="F114">
        <v>11047580</v>
      </c>
      <c r="G114">
        <v>-0.40452559500000002</v>
      </c>
      <c r="I114">
        <v>152</v>
      </c>
    </row>
    <row r="115" spans="1:11" x14ac:dyDescent="0.3">
      <c r="A115" t="s">
        <v>35</v>
      </c>
      <c r="B115" t="s">
        <v>36</v>
      </c>
      <c r="C115">
        <v>2016</v>
      </c>
      <c r="D115">
        <v>246111639</v>
      </c>
      <c r="E115">
        <v>2618093125</v>
      </c>
      <c r="F115">
        <v>11239451</v>
      </c>
      <c r="G115">
        <v>3.2001747040000001</v>
      </c>
      <c r="I115">
        <v>154</v>
      </c>
      <c r="J115">
        <v>227581406</v>
      </c>
      <c r="K115">
        <v>8.14</v>
      </c>
    </row>
    <row r="116" spans="1:11" x14ac:dyDescent="0.3">
      <c r="A116" t="s">
        <v>35</v>
      </c>
      <c r="B116" t="s">
        <v>36</v>
      </c>
      <c r="C116">
        <v>2017</v>
      </c>
      <c r="D116">
        <v>298812875.00199997</v>
      </c>
      <c r="E116">
        <v>2831362208</v>
      </c>
      <c r="F116">
        <v>11506762</v>
      </c>
      <c r="G116">
        <v>3.831857571</v>
      </c>
      <c r="I116">
        <v>154</v>
      </c>
      <c r="J116">
        <v>246111639</v>
      </c>
      <c r="K116">
        <v>21.41</v>
      </c>
    </row>
    <row r="117" spans="1:11" x14ac:dyDescent="0.3">
      <c r="A117" t="s">
        <v>35</v>
      </c>
      <c r="B117" t="s">
        <v>36</v>
      </c>
      <c r="C117">
        <v>2018</v>
      </c>
      <c r="D117">
        <v>360408746.60600001</v>
      </c>
      <c r="E117">
        <v>2913411408</v>
      </c>
      <c r="F117">
        <v>11859446</v>
      </c>
      <c r="G117">
        <v>5.3422447320000002</v>
      </c>
      <c r="I117">
        <v>150</v>
      </c>
      <c r="J117">
        <v>298812875.00199997</v>
      </c>
      <c r="K117">
        <v>20.61</v>
      </c>
    </row>
    <row r="118" spans="1:11" x14ac:dyDescent="0.3">
      <c r="A118" t="s">
        <v>35</v>
      </c>
      <c r="B118" t="s">
        <v>36</v>
      </c>
      <c r="C118">
        <v>2019</v>
      </c>
      <c r="D118">
        <v>361701387.80500001</v>
      </c>
      <c r="E118">
        <v>2871555326</v>
      </c>
      <c r="F118">
        <v>12255336</v>
      </c>
      <c r="G118">
        <v>4.4593420239999997</v>
      </c>
      <c r="I118">
        <v>147</v>
      </c>
      <c r="J118">
        <v>360408746.60600001</v>
      </c>
      <c r="K118">
        <v>0.36</v>
      </c>
    </row>
    <row r="119" spans="1:11" x14ac:dyDescent="0.3">
      <c r="A119" t="s">
        <v>35</v>
      </c>
      <c r="B119" t="s">
        <v>36</v>
      </c>
      <c r="C119">
        <v>2020</v>
      </c>
      <c r="D119">
        <v>322871655.66999996</v>
      </c>
      <c r="E119">
        <v>3188355944</v>
      </c>
      <c r="F119">
        <v>12617036</v>
      </c>
      <c r="G119">
        <v>0.30644381199999998</v>
      </c>
      <c r="I119">
        <v>146</v>
      </c>
      <c r="J119">
        <v>361701387.80500001</v>
      </c>
      <c r="K119">
        <v>-10.74</v>
      </c>
    </row>
    <row r="120" spans="1:11" x14ac:dyDescent="0.3">
      <c r="A120" t="s">
        <v>35</v>
      </c>
      <c r="B120" t="s">
        <v>36</v>
      </c>
      <c r="C120">
        <v>2021</v>
      </c>
      <c r="D120">
        <v>327312953.35099989</v>
      </c>
      <c r="E120">
        <v>3425127991</v>
      </c>
      <c r="F120">
        <v>12965481</v>
      </c>
      <c r="G120">
        <v>3.2370747940000002</v>
      </c>
      <c r="I120">
        <v>147</v>
      </c>
      <c r="J120">
        <v>322871655.66999996</v>
      </c>
      <c r="K120">
        <v>1.38</v>
      </c>
    </row>
    <row r="121" spans="1:11" x14ac:dyDescent="0.3">
      <c r="A121" t="s">
        <v>35</v>
      </c>
      <c r="B121" t="s">
        <v>36</v>
      </c>
      <c r="C121">
        <v>2022</v>
      </c>
      <c r="D121">
        <v>415737337.06999987</v>
      </c>
      <c r="E121">
        <v>4020736757</v>
      </c>
      <c r="F121">
        <v>13321097</v>
      </c>
      <c r="G121">
        <v>2.3177012239999999</v>
      </c>
      <c r="I121">
        <v>144</v>
      </c>
      <c r="J121">
        <v>327312953.35099989</v>
      </c>
      <c r="K121">
        <v>27.02</v>
      </c>
    </row>
    <row r="122" spans="1:11" x14ac:dyDescent="0.3">
      <c r="A122" t="s">
        <v>35</v>
      </c>
      <c r="B122" t="s">
        <v>36</v>
      </c>
      <c r="C122">
        <v>2023</v>
      </c>
      <c r="D122">
        <v>434948522.32000011</v>
      </c>
      <c r="E122">
        <v>3419558408</v>
      </c>
      <c r="F122">
        <v>13689450</v>
      </c>
      <c r="G122">
        <v>3.254768973</v>
      </c>
      <c r="I122">
        <v>141</v>
      </c>
      <c r="J122">
        <v>415737337.06999987</v>
      </c>
      <c r="K122">
        <v>4.62</v>
      </c>
    </row>
    <row r="123" spans="1:11" x14ac:dyDescent="0.3">
      <c r="A123" t="s">
        <v>37</v>
      </c>
      <c r="B123" t="s">
        <v>38</v>
      </c>
      <c r="C123">
        <v>2015</v>
      </c>
      <c r="D123">
        <v>506821411985.3111</v>
      </c>
      <c r="E123">
        <v>461000000000</v>
      </c>
      <c r="F123">
        <v>11274196</v>
      </c>
      <c r="G123">
        <v>1.4741643369999999</v>
      </c>
      <c r="H123">
        <v>155.068682</v>
      </c>
      <c r="I123">
        <v>17</v>
      </c>
    </row>
    <row r="124" spans="1:11" x14ac:dyDescent="0.3">
      <c r="A124" t="s">
        <v>37</v>
      </c>
      <c r="B124" t="s">
        <v>38</v>
      </c>
      <c r="C124">
        <v>2016</v>
      </c>
      <c r="D124">
        <v>542463833143.37567</v>
      </c>
      <c r="E124">
        <v>474000000000</v>
      </c>
      <c r="F124">
        <v>11331422</v>
      </c>
      <c r="G124">
        <v>1.1935027300000001</v>
      </c>
      <c r="H124">
        <v>159.05769660000001</v>
      </c>
      <c r="I124">
        <v>16</v>
      </c>
      <c r="J124">
        <v>506821411985.3111</v>
      </c>
      <c r="K124">
        <v>7.03</v>
      </c>
    </row>
    <row r="125" spans="1:11" x14ac:dyDescent="0.3">
      <c r="A125" t="s">
        <v>37</v>
      </c>
      <c r="B125" t="s">
        <v>38</v>
      </c>
      <c r="C125">
        <v>2017</v>
      </c>
      <c r="D125">
        <v>593113044060.73792</v>
      </c>
      <c r="E125">
        <v>501000000000</v>
      </c>
      <c r="F125">
        <v>11375158</v>
      </c>
      <c r="G125">
        <v>1.4744676160000001</v>
      </c>
      <c r="H125">
        <v>166.90407819999999</v>
      </c>
      <c r="I125">
        <v>16</v>
      </c>
      <c r="J125">
        <v>542463833143.37567</v>
      </c>
      <c r="K125">
        <v>9.34</v>
      </c>
    </row>
    <row r="126" spans="1:11" x14ac:dyDescent="0.3">
      <c r="A126" t="s">
        <v>37</v>
      </c>
      <c r="B126" t="s">
        <v>38</v>
      </c>
      <c r="C126">
        <v>2018</v>
      </c>
      <c r="D126">
        <v>646756877520.07776</v>
      </c>
      <c r="E126">
        <v>543000000000</v>
      </c>
      <c r="F126">
        <v>11427054</v>
      </c>
      <c r="G126">
        <v>1.877968474</v>
      </c>
      <c r="H126">
        <v>168.27769290000001</v>
      </c>
      <c r="I126">
        <v>16</v>
      </c>
      <c r="J126">
        <v>593113044060.73792</v>
      </c>
      <c r="K126">
        <v>9.0399999999999991</v>
      </c>
    </row>
    <row r="127" spans="1:11" x14ac:dyDescent="0.3">
      <c r="A127" t="s">
        <v>37</v>
      </c>
      <c r="B127" t="s">
        <v>38</v>
      </c>
      <c r="C127">
        <v>2019</v>
      </c>
      <c r="D127">
        <v>623593623895.896</v>
      </c>
      <c r="E127">
        <v>537000000000</v>
      </c>
      <c r="F127">
        <v>11488980</v>
      </c>
      <c r="G127">
        <v>2.442890045</v>
      </c>
      <c r="H127">
        <v>165.46547889999999</v>
      </c>
      <c r="I127">
        <v>17</v>
      </c>
      <c r="J127">
        <v>646756877520.07776</v>
      </c>
      <c r="K127">
        <v>-3.58</v>
      </c>
    </row>
    <row r="128" spans="1:11" x14ac:dyDescent="0.3">
      <c r="A128" t="s">
        <v>37</v>
      </c>
      <c r="B128" t="s">
        <v>38</v>
      </c>
      <c r="C128">
        <v>2020</v>
      </c>
      <c r="D128">
        <v>590287523687.02795</v>
      </c>
      <c r="E128">
        <v>530000000000</v>
      </c>
      <c r="F128">
        <v>11538604</v>
      </c>
      <c r="G128">
        <v>-4.7929839080000001</v>
      </c>
      <c r="H128">
        <v>156.95012130000001</v>
      </c>
      <c r="I128">
        <v>16</v>
      </c>
      <c r="J128">
        <v>623593623895.896</v>
      </c>
      <c r="K128">
        <v>-5.34</v>
      </c>
    </row>
    <row r="129" spans="1:11" x14ac:dyDescent="0.3">
      <c r="A129" t="s">
        <v>37</v>
      </c>
      <c r="B129" t="s">
        <v>38</v>
      </c>
      <c r="C129">
        <v>2021</v>
      </c>
      <c r="D129">
        <v>771960809334.0603</v>
      </c>
      <c r="E129">
        <v>599000000000</v>
      </c>
      <c r="F129">
        <v>11586195</v>
      </c>
      <c r="G129">
        <v>6.2544568649999999</v>
      </c>
      <c r="H129">
        <v>177.38191219999999</v>
      </c>
      <c r="I129">
        <v>17</v>
      </c>
      <c r="J129">
        <v>590287523687.02795</v>
      </c>
      <c r="K129">
        <v>30.78</v>
      </c>
    </row>
    <row r="130" spans="1:11" x14ac:dyDescent="0.3">
      <c r="A130" t="s">
        <v>37</v>
      </c>
      <c r="B130" t="s">
        <v>38</v>
      </c>
      <c r="C130">
        <v>2022</v>
      </c>
      <c r="D130">
        <v>910805415982.07434</v>
      </c>
      <c r="E130">
        <v>591000000000</v>
      </c>
      <c r="F130">
        <v>11680210</v>
      </c>
      <c r="G130">
        <v>4.0246085279999999</v>
      </c>
      <c r="H130">
        <v>191.05341809999999</v>
      </c>
      <c r="I130">
        <v>14</v>
      </c>
      <c r="J130">
        <v>771960809334.0603</v>
      </c>
      <c r="K130">
        <v>17.989999999999998</v>
      </c>
    </row>
    <row r="131" spans="1:11" x14ac:dyDescent="0.3">
      <c r="A131" t="s">
        <v>37</v>
      </c>
      <c r="B131" t="s">
        <v>38</v>
      </c>
      <c r="C131">
        <v>2023</v>
      </c>
      <c r="D131">
        <v>794615916124.75244</v>
      </c>
      <c r="E131">
        <v>651000000000</v>
      </c>
      <c r="F131">
        <v>11779946</v>
      </c>
      <c r="G131">
        <v>1.5612553950000001</v>
      </c>
      <c r="H131">
        <v>165.98744070000001</v>
      </c>
      <c r="I131">
        <v>16</v>
      </c>
      <c r="J131">
        <v>910805415982.07434</v>
      </c>
      <c r="K131">
        <v>-12.76</v>
      </c>
    </row>
    <row r="132" spans="1:11" x14ac:dyDescent="0.3">
      <c r="A132" t="s">
        <v>37</v>
      </c>
      <c r="B132" t="s">
        <v>38</v>
      </c>
      <c r="C132">
        <v>2024</v>
      </c>
      <c r="D132">
        <v>728263937691.57922</v>
      </c>
      <c r="E132">
        <v>671000000000</v>
      </c>
      <c r="F132">
        <v>11858610</v>
      </c>
      <c r="G132">
        <v>1.097753838</v>
      </c>
      <c r="H132">
        <v>159.0234811</v>
      </c>
      <c r="I132">
        <v>16</v>
      </c>
      <c r="J132">
        <v>794615916124.75244</v>
      </c>
      <c r="K132">
        <v>-8.35</v>
      </c>
    </row>
    <row r="133" spans="1:11" x14ac:dyDescent="0.3">
      <c r="A133" t="s">
        <v>39</v>
      </c>
      <c r="B133" t="s">
        <v>40</v>
      </c>
      <c r="C133">
        <v>2015</v>
      </c>
      <c r="D133">
        <v>1250004768.9319999</v>
      </c>
      <c r="E133">
        <v>11388160997</v>
      </c>
      <c r="F133">
        <v>11360681</v>
      </c>
      <c r="G133">
        <v>1.7781510599999999</v>
      </c>
      <c r="H133">
        <v>56.756313179999999</v>
      </c>
      <c r="I133">
        <v>136</v>
      </c>
    </row>
    <row r="134" spans="1:11" x14ac:dyDescent="0.3">
      <c r="A134" t="s">
        <v>39</v>
      </c>
      <c r="B134" t="s">
        <v>40</v>
      </c>
      <c r="C134">
        <v>2016</v>
      </c>
      <c r="D134">
        <v>817485305.60000002</v>
      </c>
      <c r="E134">
        <v>11821065853</v>
      </c>
      <c r="F134">
        <v>11697842</v>
      </c>
      <c r="G134">
        <v>3.3396734260000001</v>
      </c>
      <c r="H134">
        <v>58.986928339999999</v>
      </c>
      <c r="I134">
        <v>146</v>
      </c>
      <c r="J134">
        <v>1250004768.9319999</v>
      </c>
      <c r="K134">
        <v>-34.6</v>
      </c>
    </row>
    <row r="135" spans="1:11" x14ac:dyDescent="0.3">
      <c r="A135" t="s">
        <v>39</v>
      </c>
      <c r="B135" t="s">
        <v>40</v>
      </c>
      <c r="C135">
        <v>2017</v>
      </c>
      <c r="D135">
        <v>1483978188.1450009</v>
      </c>
      <c r="E135">
        <v>12701655837</v>
      </c>
      <c r="F135">
        <v>12039780</v>
      </c>
      <c r="G135">
        <v>5.6715619520000002</v>
      </c>
      <c r="H135">
        <v>61.476596960000002</v>
      </c>
      <c r="I135">
        <v>139</v>
      </c>
      <c r="J135">
        <v>817485305.60000002</v>
      </c>
      <c r="K135">
        <v>81.53</v>
      </c>
    </row>
    <row r="136" spans="1:11" x14ac:dyDescent="0.3">
      <c r="A136" t="s">
        <v>39</v>
      </c>
      <c r="B136" t="s">
        <v>40</v>
      </c>
      <c r="C136">
        <v>2018</v>
      </c>
      <c r="D136">
        <v>1901911395.4860005</v>
      </c>
      <c r="E136">
        <v>14262408090</v>
      </c>
      <c r="F136">
        <v>12383347</v>
      </c>
      <c r="G136">
        <v>6.6972536219999999</v>
      </c>
      <c r="H136">
        <v>61.79519449</v>
      </c>
      <c r="I136">
        <v>133</v>
      </c>
      <c r="J136">
        <v>1483978188.1450009</v>
      </c>
      <c r="K136">
        <v>28.16</v>
      </c>
    </row>
    <row r="137" spans="1:11" x14ac:dyDescent="0.3">
      <c r="A137" t="s">
        <v>39</v>
      </c>
      <c r="B137" t="s">
        <v>40</v>
      </c>
      <c r="C137">
        <v>2019</v>
      </c>
      <c r="D137">
        <v>1701326515.7870004</v>
      </c>
      <c r="E137">
        <v>14391686313</v>
      </c>
      <c r="F137">
        <v>12726755</v>
      </c>
      <c r="G137">
        <v>6.8656866279999997</v>
      </c>
      <c r="H137">
        <v>63.681332310000002</v>
      </c>
      <c r="I137">
        <v>137</v>
      </c>
      <c r="J137">
        <v>1901911395.4860005</v>
      </c>
      <c r="K137">
        <v>-10.55</v>
      </c>
    </row>
    <row r="138" spans="1:11" x14ac:dyDescent="0.3">
      <c r="A138" t="s">
        <v>39</v>
      </c>
      <c r="B138" t="s">
        <v>40</v>
      </c>
      <c r="C138">
        <v>2020</v>
      </c>
      <c r="D138">
        <v>1692119845.0689995</v>
      </c>
      <c r="E138">
        <v>15686741884</v>
      </c>
      <c r="F138">
        <v>13070169</v>
      </c>
      <c r="G138">
        <v>3.8487923999999998</v>
      </c>
      <c r="H138">
        <v>44.833233380000003</v>
      </c>
      <c r="I138">
        <v>131</v>
      </c>
      <c r="J138">
        <v>1701326515.7870004</v>
      </c>
      <c r="K138">
        <v>-0.54</v>
      </c>
    </row>
    <row r="139" spans="1:11" x14ac:dyDescent="0.3">
      <c r="A139" t="s">
        <v>39</v>
      </c>
      <c r="B139" t="s">
        <v>40</v>
      </c>
      <c r="C139">
        <v>2021</v>
      </c>
      <c r="D139">
        <v>2051088508.5159996</v>
      </c>
      <c r="E139">
        <v>17687623530</v>
      </c>
      <c r="F139">
        <v>13413417</v>
      </c>
      <c r="G139">
        <v>7.1554516460000004</v>
      </c>
      <c r="H139">
        <v>48.054860830000003</v>
      </c>
      <c r="I139">
        <v>133</v>
      </c>
      <c r="J139">
        <v>1692119845.0689995</v>
      </c>
      <c r="K139">
        <v>21.21</v>
      </c>
    </row>
    <row r="140" spans="1:11" x14ac:dyDescent="0.3">
      <c r="A140" t="s">
        <v>39</v>
      </c>
      <c r="B140" t="s">
        <v>40</v>
      </c>
      <c r="C140">
        <v>2022</v>
      </c>
      <c r="D140">
        <v>1798369112.21</v>
      </c>
      <c r="E140">
        <v>17425405091</v>
      </c>
      <c r="F140">
        <v>13759501</v>
      </c>
      <c r="G140">
        <v>6.2529470539999998</v>
      </c>
      <c r="H140">
        <v>44.38159289</v>
      </c>
      <c r="I140">
        <v>133</v>
      </c>
      <c r="J140">
        <v>2051088508.5159996</v>
      </c>
      <c r="K140">
        <v>-12.32</v>
      </c>
    </row>
    <row r="141" spans="1:11" x14ac:dyDescent="0.3">
      <c r="A141" t="s">
        <v>39</v>
      </c>
      <c r="B141" t="s">
        <v>40</v>
      </c>
      <c r="C141">
        <v>2023</v>
      </c>
      <c r="D141">
        <v>2104421827.0849991</v>
      </c>
      <c r="E141">
        <v>19673291004</v>
      </c>
      <c r="F141">
        <v>14111034</v>
      </c>
      <c r="G141">
        <v>6.3527773850000004</v>
      </c>
      <c r="H141">
        <v>44.663130819999999</v>
      </c>
      <c r="I141">
        <v>128</v>
      </c>
      <c r="J141">
        <v>1798369112.21</v>
      </c>
      <c r="K141">
        <v>17.02</v>
      </c>
    </row>
    <row r="142" spans="1:11" x14ac:dyDescent="0.3">
      <c r="A142" t="s">
        <v>39</v>
      </c>
      <c r="B142" t="s">
        <v>40</v>
      </c>
      <c r="C142">
        <v>2024</v>
      </c>
      <c r="D142">
        <v>2225668533.9739995</v>
      </c>
      <c r="E142">
        <v>21482643706</v>
      </c>
      <c r="F142">
        <v>14462724</v>
      </c>
      <c r="G142">
        <v>7.4531156620000001</v>
      </c>
      <c r="H142">
        <v>40.639802240000002</v>
      </c>
      <c r="I142">
        <v>111</v>
      </c>
      <c r="J142">
        <v>2104421827.0849991</v>
      </c>
      <c r="K142">
        <v>5.76</v>
      </c>
    </row>
    <row r="143" spans="1:11" x14ac:dyDescent="0.3">
      <c r="A143" t="s">
        <v>41</v>
      </c>
      <c r="B143" t="s">
        <v>42</v>
      </c>
      <c r="C143">
        <v>2015</v>
      </c>
      <c r="D143">
        <v>4433966728.7990007</v>
      </c>
      <c r="E143">
        <v>11832159316</v>
      </c>
      <c r="F143">
        <v>18777487</v>
      </c>
      <c r="G143">
        <v>3.9212287940000001</v>
      </c>
      <c r="H143">
        <v>59.089181310000001</v>
      </c>
      <c r="I143">
        <v>113</v>
      </c>
    </row>
    <row r="144" spans="1:11" x14ac:dyDescent="0.3">
      <c r="A144" t="s">
        <v>41</v>
      </c>
      <c r="B144" t="s">
        <v>42</v>
      </c>
      <c r="C144">
        <v>2016</v>
      </c>
      <c r="D144">
        <v>5040024676</v>
      </c>
      <c r="E144">
        <v>12833363045</v>
      </c>
      <c r="F144">
        <v>19334856</v>
      </c>
      <c r="G144">
        <v>5.9579767080000003</v>
      </c>
      <c r="H144">
        <v>57.893172800000002</v>
      </c>
      <c r="I144">
        <v>112</v>
      </c>
      <c r="J144">
        <v>4433966728.7990007</v>
      </c>
      <c r="K144">
        <v>13.67</v>
      </c>
    </row>
    <row r="145" spans="1:11" x14ac:dyDescent="0.3">
      <c r="A145" t="s">
        <v>41</v>
      </c>
      <c r="B145" t="s">
        <v>42</v>
      </c>
      <c r="C145">
        <v>2017</v>
      </c>
      <c r="D145">
        <v>5818740236.4820004</v>
      </c>
      <c r="E145">
        <v>14106955615</v>
      </c>
      <c r="F145">
        <v>19894407</v>
      </c>
      <c r="G145">
        <v>6.2034894109999996</v>
      </c>
      <c r="H145">
        <v>59.268780200000002</v>
      </c>
      <c r="I145">
        <v>114</v>
      </c>
      <c r="J145">
        <v>5040024676</v>
      </c>
      <c r="K145">
        <v>15.45</v>
      </c>
    </row>
    <row r="146" spans="1:11" x14ac:dyDescent="0.3">
      <c r="A146" t="s">
        <v>41</v>
      </c>
      <c r="B146" t="s">
        <v>42</v>
      </c>
      <c r="C146">
        <v>2018</v>
      </c>
      <c r="D146">
        <v>6535149089.099</v>
      </c>
      <c r="E146">
        <v>15890066221</v>
      </c>
      <c r="F146">
        <v>20438288</v>
      </c>
      <c r="G146">
        <v>6.604569068</v>
      </c>
      <c r="H146">
        <v>60.59562562</v>
      </c>
      <c r="I146">
        <v>112</v>
      </c>
      <c r="J146">
        <v>5818740236.4820004</v>
      </c>
      <c r="K146">
        <v>12.31</v>
      </c>
    </row>
    <row r="147" spans="1:11" x14ac:dyDescent="0.3">
      <c r="A147" t="s">
        <v>41</v>
      </c>
      <c r="B147" t="s">
        <v>42</v>
      </c>
      <c r="C147">
        <v>2019</v>
      </c>
      <c r="D147">
        <v>6522209653.6329985</v>
      </c>
      <c r="E147">
        <v>16032813503</v>
      </c>
      <c r="F147">
        <v>20961952</v>
      </c>
      <c r="G147">
        <v>5.8892049709999998</v>
      </c>
      <c r="H147">
        <v>60.408692879999997</v>
      </c>
      <c r="I147">
        <v>112</v>
      </c>
      <c r="J147">
        <v>6535149089.099</v>
      </c>
      <c r="K147">
        <v>-0.2</v>
      </c>
    </row>
    <row r="148" spans="1:11" x14ac:dyDescent="0.3">
      <c r="A148" t="s">
        <v>41</v>
      </c>
      <c r="B148" t="s">
        <v>42</v>
      </c>
      <c r="C148">
        <v>2020</v>
      </c>
      <c r="D148">
        <v>8749263689.4949989</v>
      </c>
      <c r="E148">
        <v>17725010533</v>
      </c>
      <c r="F148">
        <v>21478690</v>
      </c>
      <c r="G148">
        <v>2.0107726239999999</v>
      </c>
      <c r="H148">
        <v>60.739778639999997</v>
      </c>
      <c r="I148">
        <v>102</v>
      </c>
      <c r="J148">
        <v>6522209653.6329985</v>
      </c>
      <c r="K148">
        <v>34.15</v>
      </c>
    </row>
    <row r="149" spans="1:11" x14ac:dyDescent="0.3">
      <c r="A149" t="s">
        <v>41</v>
      </c>
      <c r="B149" t="s">
        <v>42</v>
      </c>
      <c r="C149">
        <v>2021</v>
      </c>
      <c r="D149">
        <v>10120055917.900993</v>
      </c>
      <c r="E149">
        <v>19697516284</v>
      </c>
      <c r="F149">
        <v>21995243</v>
      </c>
      <c r="G149">
        <v>6.9425249259999999</v>
      </c>
      <c r="H149">
        <v>62.420358659999998</v>
      </c>
      <c r="I149">
        <v>102</v>
      </c>
      <c r="J149">
        <v>8749263689.4949989</v>
      </c>
      <c r="K149">
        <v>15.67</v>
      </c>
    </row>
    <row r="150" spans="1:11" x14ac:dyDescent="0.3">
      <c r="A150" t="s">
        <v>41</v>
      </c>
      <c r="B150" t="s">
        <v>42</v>
      </c>
      <c r="C150">
        <v>2022</v>
      </c>
      <c r="D150">
        <v>9112052293.8880043</v>
      </c>
      <c r="E150">
        <v>18622421395</v>
      </c>
      <c r="F150">
        <v>22509038</v>
      </c>
      <c r="G150">
        <v>1.626732582</v>
      </c>
      <c r="H150">
        <v>67.520290130000006</v>
      </c>
      <c r="I150">
        <v>106</v>
      </c>
      <c r="J150">
        <v>10120055917.900993</v>
      </c>
      <c r="K150">
        <v>-9.9600000000000009</v>
      </c>
    </row>
    <row r="151" spans="1:11" x14ac:dyDescent="0.3">
      <c r="A151" t="s">
        <v>41</v>
      </c>
      <c r="B151" t="s">
        <v>42</v>
      </c>
      <c r="C151">
        <v>2023</v>
      </c>
      <c r="D151">
        <v>8917514274.4349957</v>
      </c>
      <c r="E151">
        <v>20106062972</v>
      </c>
      <c r="F151">
        <v>23025776</v>
      </c>
      <c r="G151">
        <v>3.0002741579999999</v>
      </c>
      <c r="H151">
        <v>63.153043590000003</v>
      </c>
      <c r="I151">
        <v>109</v>
      </c>
      <c r="J151">
        <v>9112052293.8880043</v>
      </c>
      <c r="K151">
        <v>-2.13</v>
      </c>
    </row>
    <row r="152" spans="1:11" x14ac:dyDescent="0.3">
      <c r="A152" t="s">
        <v>41</v>
      </c>
      <c r="B152" t="s">
        <v>42</v>
      </c>
      <c r="C152">
        <v>2024</v>
      </c>
      <c r="D152">
        <v>11284639393.181004</v>
      </c>
      <c r="E152">
        <v>23136514856</v>
      </c>
      <c r="F152">
        <v>23548781</v>
      </c>
      <c r="G152">
        <v>4.8339581020000004</v>
      </c>
      <c r="H152">
        <v>60.492898850000003</v>
      </c>
      <c r="I152">
        <v>96</v>
      </c>
      <c r="J152">
        <v>8917514274.4349957</v>
      </c>
      <c r="K152">
        <v>26.54</v>
      </c>
    </row>
    <row r="153" spans="1:11" x14ac:dyDescent="0.3">
      <c r="A153" t="s">
        <v>43</v>
      </c>
      <c r="B153" t="s">
        <v>44</v>
      </c>
      <c r="C153">
        <v>2015</v>
      </c>
      <c r="D153">
        <v>63468324834</v>
      </c>
      <c r="E153">
        <v>195000000000</v>
      </c>
      <c r="F153">
        <v>159383179</v>
      </c>
      <c r="G153">
        <v>6.5526398779999999</v>
      </c>
      <c r="H153">
        <v>42.085996309999999</v>
      </c>
      <c r="I153">
        <v>55</v>
      </c>
    </row>
    <row r="154" spans="1:11" x14ac:dyDescent="0.3">
      <c r="A154" t="s">
        <v>43</v>
      </c>
      <c r="B154" t="s">
        <v>44</v>
      </c>
      <c r="C154">
        <v>2016</v>
      </c>
      <c r="D154">
        <v>69505742249.897018</v>
      </c>
      <c r="E154">
        <v>265000000000</v>
      </c>
      <c r="F154">
        <v>160811932</v>
      </c>
      <c r="G154">
        <v>7.1134782129999996</v>
      </c>
      <c r="H154">
        <v>31.334150130000001</v>
      </c>
      <c r="I154">
        <v>49</v>
      </c>
      <c r="J154">
        <v>63468324834</v>
      </c>
      <c r="K154">
        <v>9.51</v>
      </c>
    </row>
    <row r="155" spans="1:11" x14ac:dyDescent="0.3">
      <c r="A155" t="s">
        <v>43</v>
      </c>
      <c r="B155" t="s">
        <v>44</v>
      </c>
      <c r="C155">
        <v>2017</v>
      </c>
      <c r="D155">
        <v>79348618954.317001</v>
      </c>
      <c r="E155">
        <v>294000000000</v>
      </c>
      <c r="F155">
        <v>162186147</v>
      </c>
      <c r="G155">
        <v>6.590249998</v>
      </c>
      <c r="H155">
        <v>29.999730670000002</v>
      </c>
      <c r="I155">
        <v>50</v>
      </c>
      <c r="J155">
        <v>69505742249.897018</v>
      </c>
      <c r="K155">
        <v>14.16</v>
      </c>
    </row>
    <row r="156" spans="1:11" x14ac:dyDescent="0.3">
      <c r="A156" t="s">
        <v>43</v>
      </c>
      <c r="B156" t="s">
        <v>44</v>
      </c>
      <c r="C156">
        <v>2018</v>
      </c>
      <c r="D156">
        <v>80131442768.216064</v>
      </c>
      <c r="E156">
        <v>321000000000</v>
      </c>
      <c r="F156">
        <v>163523103</v>
      </c>
      <c r="G156">
        <v>7.3194126300000004</v>
      </c>
      <c r="H156">
        <v>32.514631719999997</v>
      </c>
      <c r="I156">
        <v>52</v>
      </c>
      <c r="J156">
        <v>79348618954.317001</v>
      </c>
      <c r="K156">
        <v>0.99</v>
      </c>
    </row>
    <row r="157" spans="1:11" x14ac:dyDescent="0.3">
      <c r="A157" t="s">
        <v>45</v>
      </c>
      <c r="B157" t="s">
        <v>46</v>
      </c>
      <c r="C157">
        <v>2015</v>
      </c>
      <c r="D157">
        <v>51557491885</v>
      </c>
      <c r="E157">
        <v>50768512173</v>
      </c>
      <c r="F157">
        <v>6984225</v>
      </c>
      <c r="G157">
        <v>3.3975535200000002</v>
      </c>
      <c r="H157">
        <v>126.7366523</v>
      </c>
      <c r="I157">
        <v>59</v>
      </c>
    </row>
    <row r="158" spans="1:11" x14ac:dyDescent="0.3">
      <c r="A158" t="s">
        <v>45</v>
      </c>
      <c r="B158" t="s">
        <v>46</v>
      </c>
      <c r="C158">
        <v>2016</v>
      </c>
      <c r="D158">
        <v>53376365818.75296</v>
      </c>
      <c r="E158">
        <v>53932152154</v>
      </c>
      <c r="F158">
        <v>6894139</v>
      </c>
      <c r="G158">
        <v>3.0266282009999999</v>
      </c>
      <c r="H158">
        <v>122.8055191</v>
      </c>
      <c r="I158">
        <v>58</v>
      </c>
      <c r="J158">
        <v>51557491885</v>
      </c>
      <c r="K158">
        <v>3.53</v>
      </c>
    </row>
    <row r="159" spans="1:11" x14ac:dyDescent="0.3">
      <c r="A159" t="s">
        <v>45</v>
      </c>
      <c r="B159" t="s">
        <v>46</v>
      </c>
      <c r="C159">
        <v>2017</v>
      </c>
      <c r="D159">
        <v>63176836552.317032</v>
      </c>
      <c r="E159">
        <v>59170671046</v>
      </c>
      <c r="F159">
        <v>6803468</v>
      </c>
      <c r="G159">
        <v>2.7459273780000002</v>
      </c>
      <c r="H159">
        <v>129.63443380000001</v>
      </c>
      <c r="I159">
        <v>57</v>
      </c>
      <c r="J159">
        <v>53376365818.75296</v>
      </c>
      <c r="K159">
        <v>18.36</v>
      </c>
    </row>
    <row r="160" spans="1:11" x14ac:dyDescent="0.3">
      <c r="A160" t="s">
        <v>45</v>
      </c>
      <c r="B160" t="s">
        <v>46</v>
      </c>
      <c r="C160">
        <v>2018</v>
      </c>
      <c r="D160">
        <v>67574287979.520027</v>
      </c>
      <c r="E160">
        <v>66100606677</v>
      </c>
      <c r="F160">
        <v>6710798</v>
      </c>
      <c r="G160">
        <v>2.3301505420000002</v>
      </c>
      <c r="H160">
        <v>129.1665022</v>
      </c>
      <c r="I160">
        <v>56</v>
      </c>
      <c r="J160">
        <v>63176836552.317032</v>
      </c>
      <c r="K160">
        <v>6.96</v>
      </c>
    </row>
    <row r="161" spans="1:11" x14ac:dyDescent="0.3">
      <c r="A161" t="s">
        <v>45</v>
      </c>
      <c r="B161" t="s">
        <v>46</v>
      </c>
      <c r="C161">
        <v>2019</v>
      </c>
      <c r="D161">
        <v>66908896098.797012</v>
      </c>
      <c r="E161">
        <v>68511235459</v>
      </c>
      <c r="F161">
        <v>6616726</v>
      </c>
      <c r="G161">
        <v>3.793319646</v>
      </c>
      <c r="H161">
        <v>125.2604151</v>
      </c>
      <c r="I161">
        <v>55</v>
      </c>
      <c r="J161">
        <v>67574287979.520027</v>
      </c>
      <c r="K161">
        <v>-0.98</v>
      </c>
    </row>
    <row r="162" spans="1:11" x14ac:dyDescent="0.3">
      <c r="A162" t="s">
        <v>45</v>
      </c>
      <c r="B162" t="s">
        <v>46</v>
      </c>
      <c r="C162">
        <v>2020</v>
      </c>
      <c r="D162">
        <v>63829407766.993996</v>
      </c>
      <c r="E162">
        <v>70490478088</v>
      </c>
      <c r="F162">
        <v>6550696</v>
      </c>
      <c r="G162">
        <v>-3.1332354310000001</v>
      </c>
      <c r="H162">
        <v>110.4239031</v>
      </c>
      <c r="I162">
        <v>54</v>
      </c>
      <c r="J162">
        <v>66908896098.797012</v>
      </c>
      <c r="K162">
        <v>-4.5999999999999996</v>
      </c>
    </row>
    <row r="163" spans="1:11" x14ac:dyDescent="0.3">
      <c r="A163" t="s">
        <v>45</v>
      </c>
      <c r="B163" t="s">
        <v>46</v>
      </c>
      <c r="C163">
        <v>2021</v>
      </c>
      <c r="D163">
        <v>82741713374.588989</v>
      </c>
      <c r="E163">
        <v>84378926047</v>
      </c>
      <c r="F163">
        <v>6507301</v>
      </c>
      <c r="G163">
        <v>7.8281731069999996</v>
      </c>
      <c r="H163">
        <v>121.214091</v>
      </c>
      <c r="I163">
        <v>55</v>
      </c>
      <c r="J163">
        <v>63829407766.993996</v>
      </c>
      <c r="K163">
        <v>29.63</v>
      </c>
    </row>
    <row r="164" spans="1:11" x14ac:dyDescent="0.3">
      <c r="A164" t="s">
        <v>45</v>
      </c>
      <c r="B164" t="s">
        <v>46</v>
      </c>
      <c r="C164">
        <v>2022</v>
      </c>
      <c r="D164">
        <v>100500565715.09807</v>
      </c>
      <c r="E164">
        <v>90510784778</v>
      </c>
      <c r="F164">
        <v>6465097</v>
      </c>
      <c r="G164">
        <v>4.0838639810000004</v>
      </c>
      <c r="H164">
        <v>138.84487279999999</v>
      </c>
      <c r="I164">
        <v>53</v>
      </c>
      <c r="J164">
        <v>82741713374.588989</v>
      </c>
      <c r="K164">
        <v>21.46</v>
      </c>
    </row>
    <row r="165" spans="1:11" x14ac:dyDescent="0.3">
      <c r="A165" t="s">
        <v>45</v>
      </c>
      <c r="B165" t="s">
        <v>46</v>
      </c>
      <c r="C165">
        <v>2023</v>
      </c>
      <c r="D165">
        <v>95801113660.749954</v>
      </c>
      <c r="E165">
        <v>102000000000</v>
      </c>
      <c r="F165">
        <v>6446596</v>
      </c>
      <c r="G165">
        <v>1.6815107579999999</v>
      </c>
      <c r="H165">
        <v>119.89950589999999</v>
      </c>
      <c r="I165">
        <v>50</v>
      </c>
      <c r="J165">
        <v>100500565715.09807</v>
      </c>
      <c r="K165">
        <v>-4.68</v>
      </c>
    </row>
    <row r="166" spans="1:11" x14ac:dyDescent="0.3">
      <c r="A166" t="s">
        <v>45</v>
      </c>
      <c r="B166" t="s">
        <v>46</v>
      </c>
      <c r="C166">
        <v>2024</v>
      </c>
      <c r="D166">
        <v>93294486588.622025</v>
      </c>
      <c r="E166">
        <v>113000000000</v>
      </c>
      <c r="F166">
        <v>6441421</v>
      </c>
      <c r="G166">
        <v>3.3870896199999998</v>
      </c>
      <c r="H166">
        <v>110.2263177</v>
      </c>
      <c r="I166">
        <v>50</v>
      </c>
      <c r="J166">
        <v>95801113660.749954</v>
      </c>
      <c r="K166">
        <v>-2.62</v>
      </c>
    </row>
    <row r="167" spans="1:11" x14ac:dyDescent="0.3">
      <c r="A167" t="s">
        <v>47</v>
      </c>
      <c r="B167" t="s">
        <v>48</v>
      </c>
      <c r="C167">
        <v>2015</v>
      </c>
      <c r="D167">
        <v>27764341337.101009</v>
      </c>
      <c r="E167">
        <v>32523297872</v>
      </c>
      <c r="F167">
        <v>1370322</v>
      </c>
      <c r="G167">
        <v>2.5078720529999998</v>
      </c>
      <c r="H167">
        <v>147.9160602</v>
      </c>
      <c r="I167">
        <v>67</v>
      </c>
    </row>
    <row r="168" spans="1:11" x14ac:dyDescent="0.3">
      <c r="A168" t="s">
        <v>47</v>
      </c>
      <c r="B168" t="s">
        <v>48</v>
      </c>
      <c r="C168">
        <v>2016</v>
      </c>
      <c r="D168">
        <v>21091777928.511002</v>
      </c>
      <c r="E168">
        <v>33884680851</v>
      </c>
      <c r="F168">
        <v>1423726</v>
      </c>
      <c r="G168">
        <v>3.8149932739999999</v>
      </c>
      <c r="H168">
        <v>132.82299789999999</v>
      </c>
      <c r="I168">
        <v>78</v>
      </c>
      <c r="J168">
        <v>27764341337.101009</v>
      </c>
      <c r="K168">
        <v>-24.03</v>
      </c>
    </row>
    <row r="169" spans="1:11" x14ac:dyDescent="0.3">
      <c r="A169" t="s">
        <v>47</v>
      </c>
      <c r="B169" t="s">
        <v>48</v>
      </c>
      <c r="C169">
        <v>2017</v>
      </c>
      <c r="D169">
        <v>24970718453.988003</v>
      </c>
      <c r="E169">
        <v>37204813830</v>
      </c>
      <c r="F169">
        <v>1501116</v>
      </c>
      <c r="G169">
        <v>4.9538353409999996</v>
      </c>
      <c r="H169">
        <v>136.4292398</v>
      </c>
      <c r="I169">
        <v>73</v>
      </c>
      <c r="J169">
        <v>21091777928.511002</v>
      </c>
      <c r="K169">
        <v>18.39</v>
      </c>
    </row>
    <row r="170" spans="1:11" x14ac:dyDescent="0.3">
      <c r="A170" t="s">
        <v>47</v>
      </c>
      <c r="B170" t="s">
        <v>48</v>
      </c>
      <c r="C170">
        <v>2018</v>
      </c>
      <c r="D170">
        <v>28695474988.337006</v>
      </c>
      <c r="E170">
        <v>39567978723</v>
      </c>
      <c r="F170">
        <v>1503091</v>
      </c>
      <c r="G170">
        <v>2.0525886500000001</v>
      </c>
      <c r="H170">
        <v>144.07537260000001</v>
      </c>
      <c r="I170">
        <v>74</v>
      </c>
      <c r="J170">
        <v>24970718453.988003</v>
      </c>
      <c r="K170">
        <v>14.92</v>
      </c>
    </row>
    <row r="171" spans="1:11" x14ac:dyDescent="0.3">
      <c r="A171" t="s">
        <v>47</v>
      </c>
      <c r="B171" t="s">
        <v>48</v>
      </c>
      <c r="C171">
        <v>2019</v>
      </c>
      <c r="D171">
        <v>28334526270.146004</v>
      </c>
      <c r="E171">
        <v>40446808511</v>
      </c>
      <c r="F171">
        <v>1483756</v>
      </c>
      <c r="G171">
        <v>2.0528777439999999</v>
      </c>
      <c r="H171">
        <v>135.4175434</v>
      </c>
      <c r="I171">
        <v>74</v>
      </c>
      <c r="J171">
        <v>28695474988.337006</v>
      </c>
      <c r="K171">
        <v>-1.26</v>
      </c>
    </row>
    <row r="172" spans="1:11" x14ac:dyDescent="0.3">
      <c r="A172" t="s">
        <v>47</v>
      </c>
      <c r="B172" t="s">
        <v>48</v>
      </c>
      <c r="C172">
        <v>2020</v>
      </c>
      <c r="D172">
        <v>23118464886.099991</v>
      </c>
      <c r="E172">
        <v>35837632979</v>
      </c>
      <c r="F172">
        <v>1472204</v>
      </c>
      <c r="G172">
        <v>-5.9113629520000002</v>
      </c>
      <c r="H172">
        <v>135.46098499999999</v>
      </c>
      <c r="I172">
        <v>75</v>
      </c>
      <c r="J172">
        <v>28334526270.146004</v>
      </c>
      <c r="K172">
        <v>-18.41</v>
      </c>
    </row>
    <row r="173" spans="1:11" x14ac:dyDescent="0.3">
      <c r="A173" t="s">
        <v>47</v>
      </c>
      <c r="B173" t="s">
        <v>48</v>
      </c>
      <c r="C173">
        <v>2021</v>
      </c>
      <c r="D173">
        <v>36397947599.988998</v>
      </c>
      <c r="E173">
        <v>40840212766</v>
      </c>
      <c r="F173">
        <v>1504365</v>
      </c>
      <c r="G173">
        <v>4.3500409170000003</v>
      </c>
      <c r="H173">
        <v>153.7993165</v>
      </c>
      <c r="I173">
        <v>68</v>
      </c>
      <c r="J173">
        <v>23118464886.099991</v>
      </c>
      <c r="K173">
        <v>57.44</v>
      </c>
    </row>
    <row r="174" spans="1:11" x14ac:dyDescent="0.3">
      <c r="A174" t="s">
        <v>47</v>
      </c>
      <c r="B174" t="s">
        <v>48</v>
      </c>
      <c r="C174">
        <v>2022</v>
      </c>
      <c r="D174">
        <v>44504366578.53701</v>
      </c>
      <c r="E174">
        <v>46458191489</v>
      </c>
      <c r="F174">
        <v>1524693</v>
      </c>
      <c r="G174">
        <v>6.1801612549999998</v>
      </c>
      <c r="H174">
        <v>167.1412412</v>
      </c>
      <c r="I174">
        <v>66</v>
      </c>
      <c r="J174">
        <v>36397947599.988998</v>
      </c>
      <c r="K174">
        <v>22.27</v>
      </c>
    </row>
    <row r="175" spans="1:11" x14ac:dyDescent="0.3">
      <c r="A175" t="s">
        <v>47</v>
      </c>
      <c r="B175" t="s">
        <v>48</v>
      </c>
      <c r="C175">
        <v>2023</v>
      </c>
      <c r="D175">
        <v>24813855518.866005</v>
      </c>
      <c r="E175">
        <v>46192260638</v>
      </c>
      <c r="F175">
        <v>1577059</v>
      </c>
      <c r="G175">
        <v>3.8781161480000002</v>
      </c>
      <c r="H175">
        <v>157.44785469999999</v>
      </c>
      <c r="I175">
        <v>76</v>
      </c>
      <c r="J175">
        <v>44504366578.53701</v>
      </c>
      <c r="K175">
        <v>-44.24</v>
      </c>
    </row>
    <row r="176" spans="1:11" x14ac:dyDescent="0.3">
      <c r="A176" t="s">
        <v>47</v>
      </c>
      <c r="B176" t="s">
        <v>48</v>
      </c>
      <c r="C176">
        <v>2024</v>
      </c>
      <c r="D176">
        <v>24905450825.860996</v>
      </c>
      <c r="E176">
        <v>47210732713</v>
      </c>
      <c r="F176">
        <v>1588670</v>
      </c>
      <c r="G176">
        <v>2.897105432</v>
      </c>
      <c r="H176">
        <v>157.48086939999999</v>
      </c>
      <c r="I176">
        <v>74</v>
      </c>
      <c r="J176">
        <v>24813855518.866005</v>
      </c>
      <c r="K176">
        <v>0.37</v>
      </c>
    </row>
    <row r="177" spans="1:11" x14ac:dyDescent="0.3">
      <c r="A177" t="s">
        <v>49</v>
      </c>
      <c r="B177" t="s">
        <v>50</v>
      </c>
      <c r="C177">
        <v>2015</v>
      </c>
      <c r="D177">
        <v>885562750</v>
      </c>
      <c r="E177">
        <v>11837600000</v>
      </c>
      <c r="F177">
        <v>385346</v>
      </c>
      <c r="G177">
        <v>0.99741167500000005</v>
      </c>
      <c r="H177">
        <v>69.677975270000005</v>
      </c>
      <c r="I177">
        <v>143</v>
      </c>
    </row>
    <row r="178" spans="1:11" x14ac:dyDescent="0.3">
      <c r="A178" t="s">
        <v>49</v>
      </c>
      <c r="B178" t="s">
        <v>50</v>
      </c>
      <c r="C178">
        <v>2016</v>
      </c>
      <c r="D178">
        <v>805424844</v>
      </c>
      <c r="E178">
        <v>11880900000</v>
      </c>
      <c r="F178">
        <v>388055</v>
      </c>
      <c r="G178">
        <v>-1.1565081129999999</v>
      </c>
      <c r="H178">
        <v>67.21292158</v>
      </c>
      <c r="I178">
        <v>147</v>
      </c>
      <c r="J178">
        <v>885562750</v>
      </c>
      <c r="K178">
        <v>-9.0500000000000007</v>
      </c>
    </row>
    <row r="179" spans="1:11" x14ac:dyDescent="0.3">
      <c r="A179" t="s">
        <v>49</v>
      </c>
      <c r="B179" t="s">
        <v>50</v>
      </c>
      <c r="C179">
        <v>2017</v>
      </c>
      <c r="D179">
        <v>946644554.26000011</v>
      </c>
      <c r="E179">
        <v>12446900000</v>
      </c>
      <c r="F179">
        <v>390485</v>
      </c>
      <c r="G179">
        <v>3.3713988459999999</v>
      </c>
      <c r="H179">
        <v>68.33428404</v>
      </c>
      <c r="I179">
        <v>145</v>
      </c>
      <c r="J179">
        <v>805424844</v>
      </c>
      <c r="K179">
        <v>17.53</v>
      </c>
    </row>
    <row r="180" spans="1:11" x14ac:dyDescent="0.3">
      <c r="A180" t="s">
        <v>49</v>
      </c>
      <c r="B180" t="s">
        <v>50</v>
      </c>
      <c r="C180">
        <v>2018</v>
      </c>
      <c r="D180">
        <v>1048385844.4800003</v>
      </c>
      <c r="E180">
        <v>12819200000</v>
      </c>
      <c r="F180">
        <v>392717</v>
      </c>
      <c r="G180">
        <v>2.3979551080000001</v>
      </c>
      <c r="H180">
        <v>72.154268599999995</v>
      </c>
      <c r="I180">
        <v>142</v>
      </c>
      <c r="J180">
        <v>946644554.26000011</v>
      </c>
      <c r="K180">
        <v>10.75</v>
      </c>
    </row>
    <row r="181" spans="1:11" x14ac:dyDescent="0.3">
      <c r="A181" t="s">
        <v>49</v>
      </c>
      <c r="B181" t="s">
        <v>50</v>
      </c>
      <c r="C181">
        <v>2019</v>
      </c>
      <c r="D181">
        <v>1074537119.6159997</v>
      </c>
      <c r="E181">
        <v>13277000000</v>
      </c>
      <c r="F181">
        <v>394675</v>
      </c>
      <c r="G181">
        <v>-0.83858587100000004</v>
      </c>
      <c r="H181">
        <v>68.786623480000003</v>
      </c>
      <c r="I181">
        <v>140</v>
      </c>
      <c r="J181">
        <v>1048385844.4800003</v>
      </c>
      <c r="K181">
        <v>2.4900000000000002</v>
      </c>
    </row>
    <row r="182" spans="1:11" x14ac:dyDescent="0.3">
      <c r="A182" t="s">
        <v>49</v>
      </c>
      <c r="B182" t="s">
        <v>50</v>
      </c>
      <c r="C182">
        <v>2020</v>
      </c>
      <c r="D182">
        <v>678519692</v>
      </c>
      <c r="E182">
        <v>10363200000</v>
      </c>
      <c r="F182">
        <v>395863</v>
      </c>
      <c r="G182">
        <v>-20.08936649</v>
      </c>
      <c r="H182">
        <v>53.420758069999998</v>
      </c>
      <c r="I182">
        <v>140</v>
      </c>
      <c r="J182">
        <v>1074537119.6159997</v>
      </c>
      <c r="K182">
        <v>-36.85</v>
      </c>
    </row>
    <row r="183" spans="1:11" x14ac:dyDescent="0.3">
      <c r="A183" t="s">
        <v>49</v>
      </c>
      <c r="B183" t="s">
        <v>50</v>
      </c>
      <c r="C183">
        <v>2021</v>
      </c>
      <c r="D183">
        <v>1086847568</v>
      </c>
      <c r="E183">
        <v>12037000000</v>
      </c>
      <c r="F183">
        <v>396373</v>
      </c>
      <c r="G183">
        <v>17.586138999999999</v>
      </c>
      <c r="H183">
        <v>65.932541330000006</v>
      </c>
      <c r="I183">
        <v>139</v>
      </c>
      <c r="J183">
        <v>678519692</v>
      </c>
      <c r="K183">
        <v>60.18</v>
      </c>
    </row>
    <row r="184" spans="1:11" x14ac:dyDescent="0.3">
      <c r="A184" t="s">
        <v>49</v>
      </c>
      <c r="B184" t="s">
        <v>50</v>
      </c>
      <c r="C184">
        <v>2022</v>
      </c>
      <c r="D184">
        <v>1148473024</v>
      </c>
      <c r="E184">
        <v>13896800000</v>
      </c>
      <c r="F184">
        <v>397538</v>
      </c>
      <c r="G184">
        <v>10.87790094</v>
      </c>
      <c r="H184">
        <v>75.982960109999993</v>
      </c>
      <c r="I184">
        <v>136</v>
      </c>
      <c r="J184">
        <v>1086847568</v>
      </c>
      <c r="K184">
        <v>5.67</v>
      </c>
    </row>
    <row r="185" spans="1:11" x14ac:dyDescent="0.3">
      <c r="A185" t="s">
        <v>49</v>
      </c>
      <c r="B185" t="s">
        <v>50</v>
      </c>
      <c r="C185">
        <v>2023</v>
      </c>
      <c r="D185">
        <v>1401203162</v>
      </c>
      <c r="E185">
        <v>15271300000</v>
      </c>
      <c r="F185">
        <v>399440</v>
      </c>
      <c r="G185">
        <v>3.0482418060000001</v>
      </c>
      <c r="H185">
        <v>76.54947516</v>
      </c>
      <c r="I185">
        <v>132</v>
      </c>
      <c r="J185">
        <v>1148473024</v>
      </c>
      <c r="K185">
        <v>22.01</v>
      </c>
    </row>
    <row r="186" spans="1:11" x14ac:dyDescent="0.3">
      <c r="A186" t="s">
        <v>49</v>
      </c>
      <c r="B186" t="s">
        <v>50</v>
      </c>
      <c r="C186">
        <v>2024</v>
      </c>
      <c r="D186">
        <v>1888653136</v>
      </c>
      <c r="E186">
        <v>15832800000</v>
      </c>
      <c r="F186">
        <v>401283</v>
      </c>
      <c r="G186">
        <v>3.3786655329999999</v>
      </c>
      <c r="H186">
        <v>79.242458690000007</v>
      </c>
      <c r="I186">
        <v>116</v>
      </c>
      <c r="J186">
        <v>1401203162</v>
      </c>
      <c r="K186">
        <v>34.79</v>
      </c>
    </row>
    <row r="187" spans="1:11" x14ac:dyDescent="0.3">
      <c r="A187" t="s">
        <v>51</v>
      </c>
      <c r="B187" t="s">
        <v>52</v>
      </c>
      <c r="C187">
        <v>2015</v>
      </c>
      <c r="D187">
        <v>10198371528</v>
      </c>
      <c r="E187">
        <v>16404348361</v>
      </c>
      <c r="F187">
        <v>3518541</v>
      </c>
      <c r="G187">
        <v>4.2841301610000002</v>
      </c>
      <c r="H187">
        <v>88.291992590000007</v>
      </c>
      <c r="I187">
        <v>96</v>
      </c>
    </row>
    <row r="188" spans="1:11" x14ac:dyDescent="0.3">
      <c r="A188" t="s">
        <v>51</v>
      </c>
      <c r="B188" t="s">
        <v>52</v>
      </c>
      <c r="C188">
        <v>2016</v>
      </c>
      <c r="D188">
        <v>10655156678</v>
      </c>
      <c r="E188">
        <v>17116926554</v>
      </c>
      <c r="F188">
        <v>3473003</v>
      </c>
      <c r="G188">
        <v>3.2422582219999998</v>
      </c>
      <c r="H188">
        <v>88.244033999999999</v>
      </c>
      <c r="I188">
        <v>94</v>
      </c>
      <c r="J188">
        <v>10198371528</v>
      </c>
      <c r="K188">
        <v>4.4800000000000004</v>
      </c>
    </row>
    <row r="189" spans="1:11" x14ac:dyDescent="0.3">
      <c r="A189" t="s">
        <v>51</v>
      </c>
      <c r="B189" t="s">
        <v>52</v>
      </c>
      <c r="C189">
        <v>2017</v>
      </c>
      <c r="D189">
        <v>12735844543.119995</v>
      </c>
      <c r="E189">
        <v>18326373136</v>
      </c>
      <c r="F189">
        <v>3428682</v>
      </c>
      <c r="G189">
        <v>3.244098953</v>
      </c>
      <c r="H189">
        <v>96.645880360000007</v>
      </c>
      <c r="I189">
        <v>90</v>
      </c>
      <c r="J189">
        <v>10655156678</v>
      </c>
      <c r="K189">
        <v>19.53</v>
      </c>
    </row>
    <row r="190" spans="1:11" x14ac:dyDescent="0.3">
      <c r="A190" t="s">
        <v>51</v>
      </c>
      <c r="B190" t="s">
        <v>52</v>
      </c>
      <c r="C190">
        <v>2018</v>
      </c>
      <c r="D190">
        <v>14364192635.540005</v>
      </c>
      <c r="E190">
        <v>20484058033</v>
      </c>
      <c r="F190">
        <v>3387000</v>
      </c>
      <c r="G190">
        <v>3.8290039930000002</v>
      </c>
      <c r="H190">
        <v>98.432069420000005</v>
      </c>
      <c r="I190">
        <v>90</v>
      </c>
      <c r="J190">
        <v>12735844543.119995</v>
      </c>
      <c r="K190">
        <v>12.79</v>
      </c>
    </row>
    <row r="191" spans="1:11" x14ac:dyDescent="0.3">
      <c r="A191" t="s">
        <v>51</v>
      </c>
      <c r="B191" t="s">
        <v>52</v>
      </c>
      <c r="C191">
        <v>2019</v>
      </c>
      <c r="D191">
        <v>13156487804.470993</v>
      </c>
      <c r="E191">
        <v>20482608984</v>
      </c>
      <c r="F191">
        <v>3345533</v>
      </c>
      <c r="G191">
        <v>2.8858524210000001</v>
      </c>
      <c r="H191">
        <v>94.516125149999993</v>
      </c>
      <c r="I191">
        <v>92</v>
      </c>
      <c r="J191">
        <v>14364192635.540005</v>
      </c>
      <c r="K191">
        <v>-8.41</v>
      </c>
    </row>
    <row r="192" spans="1:11" x14ac:dyDescent="0.3">
      <c r="A192" t="s">
        <v>51</v>
      </c>
      <c r="B192" t="s">
        <v>52</v>
      </c>
      <c r="C192">
        <v>2020</v>
      </c>
      <c r="D192">
        <v>12305025075.990999</v>
      </c>
      <c r="E192">
        <v>20226038370</v>
      </c>
      <c r="F192">
        <v>3299349</v>
      </c>
      <c r="G192">
        <v>-3.0150933549999999</v>
      </c>
      <c r="H192">
        <v>82.521646799999999</v>
      </c>
      <c r="I192">
        <v>89</v>
      </c>
      <c r="J192">
        <v>13156487804.470993</v>
      </c>
      <c r="K192">
        <v>-6.47</v>
      </c>
    </row>
    <row r="193" spans="1:11" x14ac:dyDescent="0.3">
      <c r="A193" t="s">
        <v>51</v>
      </c>
      <c r="B193" t="s">
        <v>52</v>
      </c>
      <c r="C193">
        <v>2021</v>
      </c>
      <c r="D193">
        <v>17228220021.731998</v>
      </c>
      <c r="E193">
        <v>23672712121</v>
      </c>
      <c r="F193">
        <v>3244907</v>
      </c>
      <c r="G193">
        <v>7.3916425649999997</v>
      </c>
      <c r="H193">
        <v>96.739114439999994</v>
      </c>
      <c r="I193">
        <v>89</v>
      </c>
      <c r="J193">
        <v>12305025075.990999</v>
      </c>
      <c r="K193">
        <v>40.01</v>
      </c>
    </row>
    <row r="194" spans="1:11" x14ac:dyDescent="0.3">
      <c r="A194" t="s">
        <v>51</v>
      </c>
      <c r="B194" t="s">
        <v>52</v>
      </c>
      <c r="C194">
        <v>2022</v>
      </c>
      <c r="D194">
        <v>19356304739.541992</v>
      </c>
      <c r="E194">
        <v>24534663636</v>
      </c>
      <c r="F194">
        <v>3204802</v>
      </c>
      <c r="G194">
        <v>4.226813334</v>
      </c>
      <c r="H194">
        <v>110.2052837</v>
      </c>
      <c r="I194">
        <v>88</v>
      </c>
      <c r="J194">
        <v>17228220021.731998</v>
      </c>
      <c r="K194">
        <v>12.35</v>
      </c>
    </row>
    <row r="195" spans="1:11" x14ac:dyDescent="0.3">
      <c r="A195" t="s">
        <v>51</v>
      </c>
      <c r="B195" t="s">
        <v>52</v>
      </c>
      <c r="C195">
        <v>2023</v>
      </c>
      <c r="D195">
        <v>18456371700.370998</v>
      </c>
      <c r="E195">
        <v>27592361498</v>
      </c>
      <c r="F195">
        <v>3185073</v>
      </c>
      <c r="G195">
        <v>1.9943941489999999</v>
      </c>
      <c r="H195">
        <v>99.633031799999998</v>
      </c>
      <c r="I195">
        <v>86</v>
      </c>
      <c r="J195">
        <v>19356304739.541992</v>
      </c>
      <c r="K195">
        <v>-4.6500000000000004</v>
      </c>
    </row>
    <row r="196" spans="1:11" x14ac:dyDescent="0.3">
      <c r="A196" t="s">
        <v>51</v>
      </c>
      <c r="B196" t="s">
        <v>52</v>
      </c>
      <c r="C196">
        <v>2024</v>
      </c>
      <c r="D196">
        <v>17787713859.841995</v>
      </c>
      <c r="E196">
        <v>29737363103</v>
      </c>
      <c r="F196">
        <v>3164253</v>
      </c>
      <c r="G196">
        <v>3.2267997980000001</v>
      </c>
      <c r="H196">
        <v>94.760177850000005</v>
      </c>
      <c r="I196">
        <v>81</v>
      </c>
      <c r="J196">
        <v>18456371700.370998</v>
      </c>
      <c r="K196">
        <v>-3.62</v>
      </c>
    </row>
    <row r="197" spans="1:11" x14ac:dyDescent="0.3">
      <c r="A197" t="s">
        <v>53</v>
      </c>
      <c r="B197" t="s">
        <v>54</v>
      </c>
      <c r="C197">
        <v>2015</v>
      </c>
      <c r="D197">
        <v>53320789200</v>
      </c>
      <c r="E197">
        <v>56454769845</v>
      </c>
      <c r="F197">
        <v>9461076</v>
      </c>
      <c r="G197">
        <v>-3.8295705679999998</v>
      </c>
      <c r="H197">
        <v>115.91482619999999</v>
      </c>
      <c r="I197">
        <v>57</v>
      </c>
    </row>
    <row r="198" spans="1:11" x14ac:dyDescent="0.3">
      <c r="A198" t="s">
        <v>53</v>
      </c>
      <c r="B198" t="s">
        <v>54</v>
      </c>
      <c r="C198">
        <v>2016</v>
      </c>
      <c r="D198">
        <v>47074709000</v>
      </c>
      <c r="E198">
        <v>47723545321</v>
      </c>
      <c r="F198">
        <v>9469379</v>
      </c>
      <c r="G198">
        <v>-2.526446446</v>
      </c>
      <c r="H198">
        <v>125.2093229</v>
      </c>
      <c r="I198">
        <v>60</v>
      </c>
      <c r="J198">
        <v>53320789200</v>
      </c>
      <c r="K198">
        <v>-11.71</v>
      </c>
    </row>
    <row r="199" spans="1:11" x14ac:dyDescent="0.3">
      <c r="A199" t="s">
        <v>53</v>
      </c>
      <c r="B199" t="s">
        <v>54</v>
      </c>
      <c r="C199">
        <v>2017</v>
      </c>
      <c r="D199">
        <v>58479987800</v>
      </c>
      <c r="E199">
        <v>54725405751</v>
      </c>
      <c r="F199">
        <v>9458989</v>
      </c>
      <c r="G199">
        <v>2.532183495</v>
      </c>
      <c r="H199">
        <v>133.36775470000001</v>
      </c>
      <c r="I199">
        <v>59</v>
      </c>
      <c r="J199">
        <v>47074709000</v>
      </c>
      <c r="K199">
        <v>24.23</v>
      </c>
    </row>
    <row r="200" spans="1:11" x14ac:dyDescent="0.3">
      <c r="A200" t="s">
        <v>53</v>
      </c>
      <c r="B200" t="s">
        <v>54</v>
      </c>
      <c r="C200">
        <v>2018</v>
      </c>
      <c r="D200">
        <v>67452282800</v>
      </c>
      <c r="E200">
        <v>60031026576</v>
      </c>
      <c r="F200">
        <v>9438785</v>
      </c>
      <c r="G200">
        <v>3.1491975829999999</v>
      </c>
      <c r="H200">
        <v>139.3937363</v>
      </c>
      <c r="I200">
        <v>57</v>
      </c>
      <c r="J200">
        <v>58479987800</v>
      </c>
      <c r="K200">
        <v>15.34</v>
      </c>
    </row>
    <row r="201" spans="1:11" x14ac:dyDescent="0.3">
      <c r="A201" t="s">
        <v>53</v>
      </c>
      <c r="B201" t="s">
        <v>54</v>
      </c>
      <c r="C201">
        <v>2019</v>
      </c>
      <c r="D201">
        <v>65910244800</v>
      </c>
      <c r="E201">
        <v>64410170653</v>
      </c>
      <c r="F201">
        <v>9419758</v>
      </c>
      <c r="G201">
        <v>1.446455482</v>
      </c>
      <c r="H201">
        <v>130.85040609999999</v>
      </c>
      <c r="I201">
        <v>57</v>
      </c>
      <c r="J201">
        <v>67452282800</v>
      </c>
      <c r="K201">
        <v>-2.29</v>
      </c>
    </row>
    <row r="202" spans="1:11" x14ac:dyDescent="0.3">
      <c r="A202" t="s">
        <v>53</v>
      </c>
      <c r="B202" t="s">
        <v>54</v>
      </c>
      <c r="C202">
        <v>2020</v>
      </c>
      <c r="D202">
        <v>58358882000</v>
      </c>
      <c r="E202">
        <v>61371673345</v>
      </c>
      <c r="F202">
        <v>9379952</v>
      </c>
      <c r="G202">
        <v>-0.67274291900000005</v>
      </c>
      <c r="H202">
        <v>118.9341761</v>
      </c>
      <c r="I202">
        <v>57</v>
      </c>
      <c r="J202">
        <v>65910244800</v>
      </c>
      <c r="K202">
        <v>-11.46</v>
      </c>
    </row>
    <row r="203" spans="1:11" x14ac:dyDescent="0.3">
      <c r="A203" t="s">
        <v>53</v>
      </c>
      <c r="B203" t="s">
        <v>54</v>
      </c>
      <c r="C203">
        <v>2021</v>
      </c>
      <c r="D203">
        <v>79778045600</v>
      </c>
      <c r="E203">
        <v>69673747132</v>
      </c>
      <c r="F203">
        <v>9302585</v>
      </c>
      <c r="G203">
        <v>2.4388621019999999</v>
      </c>
      <c r="H203">
        <v>136.01416789999999</v>
      </c>
      <c r="I203">
        <v>57</v>
      </c>
      <c r="J203">
        <v>58358882000</v>
      </c>
      <c r="K203">
        <v>36.700000000000003</v>
      </c>
    </row>
    <row r="204" spans="1:11" x14ac:dyDescent="0.3">
      <c r="A204" t="s">
        <v>55</v>
      </c>
      <c r="B204" t="s">
        <v>56</v>
      </c>
      <c r="C204">
        <v>2015</v>
      </c>
      <c r="D204">
        <v>627790370</v>
      </c>
      <c r="E204">
        <v>2193095150</v>
      </c>
      <c r="F204">
        <v>356333</v>
      </c>
      <c r="G204">
        <v>2.7602602740000002</v>
      </c>
      <c r="H204">
        <v>104.0709588</v>
      </c>
      <c r="I204">
        <v>148</v>
      </c>
    </row>
    <row r="205" spans="1:11" x14ac:dyDescent="0.3">
      <c r="A205" t="s">
        <v>55</v>
      </c>
      <c r="B205" t="s">
        <v>56</v>
      </c>
      <c r="C205">
        <v>2016</v>
      </c>
      <c r="D205">
        <v>492325257</v>
      </c>
      <c r="E205">
        <v>2239604950</v>
      </c>
      <c r="F205">
        <v>364705</v>
      </c>
      <c r="G205">
        <v>-1.8741496E-2</v>
      </c>
      <c r="H205">
        <v>96.499835829999995</v>
      </c>
      <c r="I205">
        <v>151</v>
      </c>
      <c r="J205">
        <v>627790370</v>
      </c>
      <c r="K205">
        <v>-21.58</v>
      </c>
    </row>
    <row r="206" spans="1:11" x14ac:dyDescent="0.3">
      <c r="A206" t="s">
        <v>55</v>
      </c>
      <c r="B206" t="s">
        <v>56</v>
      </c>
      <c r="C206">
        <v>2017</v>
      </c>
      <c r="D206">
        <v>555169920.13</v>
      </c>
      <c r="E206">
        <v>2266028250</v>
      </c>
      <c r="F206">
        <v>373202</v>
      </c>
      <c r="G206">
        <v>-1.8332372910000001</v>
      </c>
      <c r="H206">
        <v>97.707257179999999</v>
      </c>
      <c r="I206">
        <v>148</v>
      </c>
      <c r="J206">
        <v>492325257</v>
      </c>
      <c r="K206">
        <v>12.76</v>
      </c>
    </row>
    <row r="207" spans="1:11" x14ac:dyDescent="0.3">
      <c r="A207" t="s">
        <v>55</v>
      </c>
      <c r="B207" t="s">
        <v>56</v>
      </c>
      <c r="C207">
        <v>2018</v>
      </c>
      <c r="D207">
        <v>481822316.20000023</v>
      </c>
      <c r="E207">
        <v>2285915050</v>
      </c>
      <c r="F207">
        <v>380226</v>
      </c>
      <c r="G207">
        <v>0.82206859300000001</v>
      </c>
      <c r="H207">
        <v>100.98921439999999</v>
      </c>
      <c r="I207">
        <v>147</v>
      </c>
      <c r="J207">
        <v>555169920.13</v>
      </c>
      <c r="K207">
        <v>-13.21</v>
      </c>
    </row>
    <row r="208" spans="1:11" x14ac:dyDescent="0.3">
      <c r="A208" t="s">
        <v>55</v>
      </c>
      <c r="B208" t="s">
        <v>56</v>
      </c>
      <c r="C208">
        <v>2019</v>
      </c>
      <c r="D208">
        <v>491802454.71799999</v>
      </c>
      <c r="E208">
        <v>2381187850</v>
      </c>
      <c r="F208">
        <v>385829</v>
      </c>
      <c r="G208">
        <v>4.2565871</v>
      </c>
      <c r="H208">
        <v>102.4418569</v>
      </c>
      <c r="I208">
        <v>146</v>
      </c>
      <c r="J208">
        <v>481822316.20000023</v>
      </c>
      <c r="K208">
        <v>2.0699999999999998</v>
      </c>
    </row>
    <row r="209" spans="1:11" x14ac:dyDescent="0.3">
      <c r="A209" t="s">
        <v>55</v>
      </c>
      <c r="B209" t="s">
        <v>56</v>
      </c>
      <c r="C209">
        <v>2020</v>
      </c>
      <c r="D209">
        <v>425444613.05700004</v>
      </c>
      <c r="E209">
        <v>2047284600</v>
      </c>
      <c r="F209">
        <v>390812</v>
      </c>
      <c r="G209">
        <v>-13.522899710000001</v>
      </c>
      <c r="H209">
        <v>81.643143309999999</v>
      </c>
      <c r="I209">
        <v>143</v>
      </c>
      <c r="J209">
        <v>491802454.71799999</v>
      </c>
      <c r="K209">
        <v>-13.49</v>
      </c>
    </row>
    <row r="210" spans="1:11" x14ac:dyDescent="0.3">
      <c r="A210" t="s">
        <v>55</v>
      </c>
      <c r="B210" t="s">
        <v>56</v>
      </c>
      <c r="C210">
        <v>2021</v>
      </c>
      <c r="D210">
        <v>527215237.2899999</v>
      </c>
      <c r="E210">
        <v>2428606250</v>
      </c>
      <c r="F210">
        <v>395346</v>
      </c>
      <c r="G210">
        <v>17.98992441</v>
      </c>
      <c r="H210">
        <v>98.982436939999999</v>
      </c>
      <c r="I210">
        <v>143</v>
      </c>
      <c r="J210">
        <v>425444613.05700004</v>
      </c>
      <c r="K210">
        <v>23.92</v>
      </c>
    </row>
    <row r="211" spans="1:11" x14ac:dyDescent="0.3">
      <c r="A211" t="s">
        <v>55</v>
      </c>
      <c r="B211" t="s">
        <v>56</v>
      </c>
      <c r="C211">
        <v>2022</v>
      </c>
      <c r="D211">
        <v>588406733.59300041</v>
      </c>
      <c r="E211">
        <v>2846604350</v>
      </c>
      <c r="F211">
        <v>402733</v>
      </c>
      <c r="G211">
        <v>9.2505132949999993</v>
      </c>
      <c r="H211">
        <v>107.84025010000001</v>
      </c>
      <c r="I211">
        <v>143</v>
      </c>
      <c r="J211">
        <v>527215237.2899999</v>
      </c>
      <c r="K211">
        <v>11.61</v>
      </c>
    </row>
    <row r="212" spans="1:11" x14ac:dyDescent="0.3">
      <c r="A212" t="s">
        <v>55</v>
      </c>
      <c r="B212" t="s">
        <v>56</v>
      </c>
      <c r="C212">
        <v>2023</v>
      </c>
      <c r="D212">
        <v>507675091.10600013</v>
      </c>
      <c r="E212">
        <v>3052362650</v>
      </c>
      <c r="F212">
        <v>411106</v>
      </c>
      <c r="G212">
        <v>0.50012794199999999</v>
      </c>
      <c r="H212">
        <v>106.4005059</v>
      </c>
      <c r="I212">
        <v>139</v>
      </c>
      <c r="J212">
        <v>588406733.59300041</v>
      </c>
      <c r="K212">
        <v>-13.72</v>
      </c>
    </row>
    <row r="213" spans="1:11" x14ac:dyDescent="0.3">
      <c r="A213" t="s">
        <v>55</v>
      </c>
      <c r="B213" t="s">
        <v>56</v>
      </c>
      <c r="C213">
        <v>2024</v>
      </c>
      <c r="D213">
        <v>565510960.09599996</v>
      </c>
      <c r="E213">
        <v>3203631800</v>
      </c>
      <c r="F213">
        <v>417072</v>
      </c>
      <c r="G213">
        <v>3.5046643500000001</v>
      </c>
      <c r="H213">
        <v>108.9724465</v>
      </c>
      <c r="I213">
        <v>121</v>
      </c>
      <c r="J213">
        <v>507675091.10600013</v>
      </c>
      <c r="K213">
        <v>11.39</v>
      </c>
    </row>
    <row r="214" spans="1:11" x14ac:dyDescent="0.3">
      <c r="A214" t="s">
        <v>57</v>
      </c>
      <c r="B214" t="s">
        <v>58</v>
      </c>
      <c r="C214">
        <v>2015</v>
      </c>
      <c r="D214">
        <v>17244859</v>
      </c>
      <c r="E214">
        <v>6654541000</v>
      </c>
      <c r="F214">
        <v>63464</v>
      </c>
      <c r="G214">
        <v>0.77552969999999999</v>
      </c>
      <c r="H214">
        <v>73.295498519999995</v>
      </c>
      <c r="I214">
        <v>167</v>
      </c>
    </row>
    <row r="215" spans="1:11" x14ac:dyDescent="0.3">
      <c r="A215" t="s">
        <v>57</v>
      </c>
      <c r="B215" t="s">
        <v>58</v>
      </c>
      <c r="C215">
        <v>2016</v>
      </c>
      <c r="D215">
        <v>16634779</v>
      </c>
      <c r="E215">
        <v>6899911000</v>
      </c>
      <c r="F215">
        <v>63449</v>
      </c>
      <c r="G215">
        <v>-0.65720630400000002</v>
      </c>
      <c r="H215">
        <v>72.749909380000005</v>
      </c>
      <c r="I215">
        <v>170</v>
      </c>
      <c r="J215">
        <v>17244859</v>
      </c>
      <c r="K215">
        <v>-3.54</v>
      </c>
    </row>
    <row r="216" spans="1:11" x14ac:dyDescent="0.3">
      <c r="A216" t="s">
        <v>57</v>
      </c>
      <c r="B216" t="s">
        <v>58</v>
      </c>
      <c r="C216">
        <v>2017</v>
      </c>
      <c r="D216">
        <v>23484331.34</v>
      </c>
      <c r="E216">
        <v>7142316000</v>
      </c>
      <c r="F216">
        <v>63578</v>
      </c>
      <c r="G216">
        <v>3.6114198370000001</v>
      </c>
      <c r="H216">
        <v>72.392428449999997</v>
      </c>
      <c r="I216">
        <v>171</v>
      </c>
      <c r="J216">
        <v>16634779</v>
      </c>
      <c r="K216">
        <v>41.18</v>
      </c>
    </row>
    <row r="217" spans="1:11" x14ac:dyDescent="0.3">
      <c r="A217" t="s">
        <v>57</v>
      </c>
      <c r="B217" t="s">
        <v>58</v>
      </c>
      <c r="C217">
        <v>2018</v>
      </c>
      <c r="D217">
        <v>45824849.079999991</v>
      </c>
      <c r="E217">
        <v>7225977000</v>
      </c>
      <c r="F217">
        <v>63831</v>
      </c>
      <c r="G217">
        <v>-0.4328013</v>
      </c>
      <c r="H217">
        <v>77.555270379999996</v>
      </c>
      <c r="I217">
        <v>165</v>
      </c>
      <c r="J217">
        <v>23484331.34</v>
      </c>
      <c r="K217">
        <v>95.13</v>
      </c>
    </row>
    <row r="218" spans="1:11" x14ac:dyDescent="0.3">
      <c r="A218" t="s">
        <v>57</v>
      </c>
      <c r="B218" t="s">
        <v>58</v>
      </c>
      <c r="C218">
        <v>2019</v>
      </c>
      <c r="D218">
        <v>53665104.539999992</v>
      </c>
      <c r="E218">
        <v>7423465000</v>
      </c>
      <c r="F218">
        <v>64107</v>
      </c>
      <c r="G218">
        <v>0.307106461</v>
      </c>
      <c r="H218">
        <v>77.560101649999993</v>
      </c>
      <c r="I218">
        <v>161</v>
      </c>
      <c r="J218">
        <v>45824849.079999991</v>
      </c>
      <c r="K218">
        <v>17.11</v>
      </c>
    </row>
    <row r="219" spans="1:11" x14ac:dyDescent="0.3">
      <c r="A219" t="s">
        <v>57</v>
      </c>
      <c r="B219" t="s">
        <v>58</v>
      </c>
      <c r="C219">
        <v>2020</v>
      </c>
      <c r="D219">
        <v>38207000.32</v>
      </c>
      <c r="E219">
        <v>6887364000</v>
      </c>
      <c r="F219">
        <v>64382</v>
      </c>
      <c r="G219">
        <v>-6.9716257150000001</v>
      </c>
      <c r="H219">
        <v>70.589822170000005</v>
      </c>
      <c r="I219">
        <v>158</v>
      </c>
      <c r="J219">
        <v>53665104.539999992</v>
      </c>
      <c r="K219">
        <v>-28.8</v>
      </c>
    </row>
    <row r="220" spans="1:11" x14ac:dyDescent="0.3">
      <c r="A220" t="s">
        <v>57</v>
      </c>
      <c r="B220" t="s">
        <v>58</v>
      </c>
      <c r="C220">
        <v>2021</v>
      </c>
      <c r="D220">
        <v>57265058.159999996</v>
      </c>
      <c r="E220">
        <v>7290037000</v>
      </c>
      <c r="F220">
        <v>64648</v>
      </c>
      <c r="G220">
        <v>4.764978997</v>
      </c>
      <c r="H220">
        <v>72.927092139999999</v>
      </c>
      <c r="I220">
        <v>155</v>
      </c>
      <c r="J220">
        <v>38207000.32</v>
      </c>
      <c r="K220">
        <v>49.88</v>
      </c>
    </row>
    <row r="221" spans="1:11" x14ac:dyDescent="0.3">
      <c r="A221" t="s">
        <v>57</v>
      </c>
      <c r="B221" t="s">
        <v>58</v>
      </c>
      <c r="C221">
        <v>2022</v>
      </c>
      <c r="D221">
        <v>67053568.859999985</v>
      </c>
      <c r="E221">
        <v>7767884000</v>
      </c>
      <c r="F221">
        <v>64749</v>
      </c>
      <c r="G221">
        <v>6.2569552120000003</v>
      </c>
      <c r="H221">
        <v>77.977052700000002</v>
      </c>
      <c r="I221">
        <v>156</v>
      </c>
      <c r="J221">
        <v>57265058.159999996</v>
      </c>
      <c r="K221">
        <v>17.09</v>
      </c>
    </row>
    <row r="222" spans="1:11" x14ac:dyDescent="0.3">
      <c r="A222" t="s">
        <v>57</v>
      </c>
      <c r="B222" t="s">
        <v>58</v>
      </c>
      <c r="C222">
        <v>2023</v>
      </c>
      <c r="D222">
        <v>44569547.479999989</v>
      </c>
      <c r="E222">
        <v>8602360000</v>
      </c>
      <c r="F222">
        <v>64698</v>
      </c>
      <c r="G222">
        <v>4.3344728039999998</v>
      </c>
      <c r="H222">
        <v>77.646529560000005</v>
      </c>
      <c r="I222">
        <v>154</v>
      </c>
      <c r="J222">
        <v>67053568.859999985</v>
      </c>
      <c r="K222">
        <v>-33.53</v>
      </c>
    </row>
    <row r="223" spans="1:11" x14ac:dyDescent="0.3">
      <c r="A223" t="s">
        <v>57</v>
      </c>
      <c r="B223" t="s">
        <v>58</v>
      </c>
      <c r="C223">
        <v>2024</v>
      </c>
      <c r="D223">
        <v>136671969.25999999</v>
      </c>
      <c r="E223">
        <v>9194499000</v>
      </c>
      <c r="F223">
        <v>64636</v>
      </c>
      <c r="G223">
        <v>1.88822862</v>
      </c>
      <c r="H223">
        <v>80.206088440000002</v>
      </c>
      <c r="I223">
        <v>124</v>
      </c>
      <c r="J223">
        <v>44569547.479999989</v>
      </c>
      <c r="K223">
        <v>206.65</v>
      </c>
    </row>
    <row r="224" spans="1:11" x14ac:dyDescent="0.3">
      <c r="A224" t="s">
        <v>59</v>
      </c>
      <c r="B224" t="s">
        <v>60</v>
      </c>
      <c r="C224">
        <v>2015</v>
      </c>
      <c r="D224">
        <v>17846230765.720001</v>
      </c>
      <c r="E224">
        <v>33000198249</v>
      </c>
      <c r="F224">
        <v>11014705</v>
      </c>
      <c r="G224">
        <v>4.8571871849999999</v>
      </c>
      <c r="H224">
        <v>67.932845189999995</v>
      </c>
      <c r="I224">
        <v>82</v>
      </c>
    </row>
    <row r="225" spans="1:11" x14ac:dyDescent="0.3">
      <c r="A225" t="s">
        <v>59</v>
      </c>
      <c r="B225" t="s">
        <v>60</v>
      </c>
      <c r="C225">
        <v>2016</v>
      </c>
      <c r="D225">
        <v>14517426337.139997</v>
      </c>
      <c r="E225">
        <v>33941126194</v>
      </c>
      <c r="F225">
        <v>11180020</v>
      </c>
      <c r="G225">
        <v>4.2639208699999998</v>
      </c>
      <c r="H225">
        <v>56.401034500000002</v>
      </c>
      <c r="I225">
        <v>88</v>
      </c>
      <c r="J225">
        <v>17846230765.720001</v>
      </c>
      <c r="K225">
        <v>-18.649999999999999</v>
      </c>
    </row>
    <row r="226" spans="1:11" x14ac:dyDescent="0.3">
      <c r="A226" t="s">
        <v>59</v>
      </c>
      <c r="B226" t="s">
        <v>60</v>
      </c>
      <c r="C226">
        <v>2017</v>
      </c>
      <c r="D226">
        <v>16734157040.180004</v>
      </c>
      <c r="E226">
        <v>45927439595</v>
      </c>
      <c r="F226">
        <v>11344587</v>
      </c>
      <c r="G226">
        <v>4.1952063339999999</v>
      </c>
      <c r="H226">
        <v>45.576112369999997</v>
      </c>
      <c r="I226">
        <v>85</v>
      </c>
      <c r="J226">
        <v>14517426337.139997</v>
      </c>
      <c r="K226">
        <v>15.27</v>
      </c>
    </row>
    <row r="227" spans="1:11" x14ac:dyDescent="0.3">
      <c r="A227" t="s">
        <v>59</v>
      </c>
      <c r="B227" t="s">
        <v>60</v>
      </c>
      <c r="C227">
        <v>2018</v>
      </c>
      <c r="D227">
        <v>18220711261.259998</v>
      </c>
      <c r="E227">
        <v>48414038842</v>
      </c>
      <c r="F227">
        <v>11508368</v>
      </c>
      <c r="G227">
        <v>2.8680840480000001</v>
      </c>
      <c r="H227">
        <v>46.92619534</v>
      </c>
      <c r="I227">
        <v>83</v>
      </c>
      <c r="J227">
        <v>16734157040.180004</v>
      </c>
      <c r="K227">
        <v>8.8800000000000008</v>
      </c>
    </row>
    <row r="228" spans="1:11" x14ac:dyDescent="0.3">
      <c r="A228" t="s">
        <v>59</v>
      </c>
      <c r="B228" t="s">
        <v>60</v>
      </c>
      <c r="C228">
        <v>2019</v>
      </c>
      <c r="D228">
        <v>17866661976.739998</v>
      </c>
      <c r="E228">
        <v>49056643589</v>
      </c>
      <c r="F228">
        <v>11671386</v>
      </c>
      <c r="G228">
        <v>1.506721027</v>
      </c>
      <c r="H228">
        <v>45.820973270000003</v>
      </c>
      <c r="I228">
        <v>82</v>
      </c>
      <c r="J228">
        <v>18220711261.259998</v>
      </c>
      <c r="K228">
        <v>-1.94</v>
      </c>
    </row>
    <row r="229" spans="1:11" x14ac:dyDescent="0.3">
      <c r="A229" t="s">
        <v>59</v>
      </c>
      <c r="B229" t="s">
        <v>60</v>
      </c>
      <c r="C229">
        <v>2020</v>
      </c>
      <c r="D229">
        <v>14065528375.979998</v>
      </c>
      <c r="E229">
        <v>42313784081</v>
      </c>
      <c r="F229">
        <v>11816299</v>
      </c>
      <c r="G229">
        <v>-12.719469009999999</v>
      </c>
      <c r="H229">
        <v>37.516434240000002</v>
      </c>
      <c r="I229">
        <v>85</v>
      </c>
      <c r="J229">
        <v>17866661976.739998</v>
      </c>
      <c r="K229">
        <v>-21.28</v>
      </c>
    </row>
    <row r="230" spans="1:11" x14ac:dyDescent="0.3">
      <c r="A230" t="s">
        <v>59</v>
      </c>
      <c r="B230" t="s">
        <v>60</v>
      </c>
      <c r="C230">
        <v>2021</v>
      </c>
      <c r="D230">
        <v>22159577680.479996</v>
      </c>
      <c r="E230">
        <v>47877892402</v>
      </c>
      <c r="F230">
        <v>11937360</v>
      </c>
      <c r="G230">
        <v>10.029048879999999</v>
      </c>
      <c r="H230">
        <v>47.667084320000001</v>
      </c>
      <c r="I230">
        <v>79</v>
      </c>
      <c r="J230">
        <v>14065528375.979998</v>
      </c>
      <c r="K230">
        <v>57.55</v>
      </c>
    </row>
    <row r="231" spans="1:11" x14ac:dyDescent="0.3">
      <c r="A231" t="s">
        <v>59</v>
      </c>
      <c r="B231" t="s">
        <v>60</v>
      </c>
      <c r="C231">
        <v>2022</v>
      </c>
      <c r="D231">
        <v>27305625740.079987</v>
      </c>
      <c r="E231">
        <v>50959081954</v>
      </c>
      <c r="F231">
        <v>12077154</v>
      </c>
      <c r="G231">
        <v>3.7474178120000001</v>
      </c>
      <c r="H231">
        <v>57.524933580000003</v>
      </c>
      <c r="I231">
        <v>77</v>
      </c>
      <c r="J231">
        <v>22159577680.479996</v>
      </c>
      <c r="K231">
        <v>23.22</v>
      </c>
    </row>
    <row r="232" spans="1:11" x14ac:dyDescent="0.3">
      <c r="A232" t="s">
        <v>59</v>
      </c>
      <c r="B232" t="s">
        <v>60</v>
      </c>
      <c r="C232">
        <v>2023</v>
      </c>
      <c r="D232">
        <v>21837376114.120003</v>
      </c>
      <c r="E232">
        <v>52340206946</v>
      </c>
      <c r="F232">
        <v>12244159</v>
      </c>
      <c r="G232">
        <v>2.516365902</v>
      </c>
      <c r="H232">
        <v>49.608325559999997</v>
      </c>
      <c r="I232">
        <v>81</v>
      </c>
      <c r="J232">
        <v>27305625740.079987</v>
      </c>
      <c r="K232">
        <v>-20.03</v>
      </c>
    </row>
    <row r="233" spans="1:11" x14ac:dyDescent="0.3">
      <c r="A233" t="s">
        <v>59</v>
      </c>
      <c r="B233" t="s">
        <v>60</v>
      </c>
      <c r="C233">
        <v>2024</v>
      </c>
      <c r="D233">
        <v>18118334818.860004</v>
      </c>
      <c r="E233">
        <v>54881327453</v>
      </c>
      <c r="F233">
        <v>12413315</v>
      </c>
      <c r="G233">
        <v>-1.1233559550000001</v>
      </c>
      <c r="H233">
        <v>46.977871610000001</v>
      </c>
      <c r="I233">
        <v>80</v>
      </c>
      <c r="J233">
        <v>21837376114.120003</v>
      </c>
      <c r="K233">
        <v>-17.03</v>
      </c>
    </row>
    <row r="234" spans="1:11" x14ac:dyDescent="0.3">
      <c r="A234" t="s">
        <v>61</v>
      </c>
      <c r="B234" t="s">
        <v>62</v>
      </c>
      <c r="C234">
        <v>2015</v>
      </c>
      <c r="D234">
        <v>373549832626</v>
      </c>
      <c r="E234">
        <v>1800000000000</v>
      </c>
      <c r="F234">
        <v>201675532</v>
      </c>
      <c r="G234">
        <v>-3.5457633930000001</v>
      </c>
      <c r="H234">
        <v>26.953625939999998</v>
      </c>
      <c r="I234">
        <v>23</v>
      </c>
    </row>
    <row r="235" spans="1:11" x14ac:dyDescent="0.3">
      <c r="A235" t="s">
        <v>61</v>
      </c>
      <c r="B235" t="s">
        <v>62</v>
      </c>
      <c r="C235">
        <v>2016</v>
      </c>
      <c r="D235">
        <v>359052255020</v>
      </c>
      <c r="E235">
        <v>1800000000000</v>
      </c>
      <c r="F235">
        <v>203218114</v>
      </c>
      <c r="G235">
        <v>-3.2759169080000001</v>
      </c>
      <c r="H235">
        <v>24.533682079999998</v>
      </c>
      <c r="I235">
        <v>23</v>
      </c>
      <c r="J235">
        <v>373549832626</v>
      </c>
      <c r="K235">
        <v>-3.88</v>
      </c>
    </row>
    <row r="236" spans="1:11" x14ac:dyDescent="0.3">
      <c r="A236" t="s">
        <v>61</v>
      </c>
      <c r="B236" t="s">
        <v>62</v>
      </c>
      <c r="C236">
        <v>2017</v>
      </c>
      <c r="D236">
        <v>429976216706</v>
      </c>
      <c r="E236">
        <v>2060000000000</v>
      </c>
      <c r="F236">
        <v>204703445</v>
      </c>
      <c r="G236">
        <v>1.3228690540000001</v>
      </c>
      <c r="H236">
        <v>24.319734369999999</v>
      </c>
      <c r="I236">
        <v>24</v>
      </c>
      <c r="J236">
        <v>359052255020</v>
      </c>
      <c r="K236">
        <v>19.75</v>
      </c>
    </row>
    <row r="237" spans="1:11" x14ac:dyDescent="0.3">
      <c r="A237" t="s">
        <v>61</v>
      </c>
      <c r="B237" t="s">
        <v>62</v>
      </c>
      <c r="C237">
        <v>2018</v>
      </c>
      <c r="D237">
        <v>463779046798</v>
      </c>
      <c r="E237">
        <v>1920000000000</v>
      </c>
      <c r="F237">
        <v>206107261</v>
      </c>
      <c r="G237">
        <v>1.783666762</v>
      </c>
      <c r="H237">
        <v>28.87620338</v>
      </c>
      <c r="I237">
        <v>24</v>
      </c>
      <c r="J237">
        <v>429976216706</v>
      </c>
      <c r="K237">
        <v>7.86</v>
      </c>
    </row>
    <row r="238" spans="1:11" x14ac:dyDescent="0.3">
      <c r="A238" t="s">
        <v>61</v>
      </c>
      <c r="B238" t="s">
        <v>62</v>
      </c>
      <c r="C238">
        <v>2019</v>
      </c>
      <c r="D238">
        <v>442253615294</v>
      </c>
      <c r="E238">
        <v>1870000000000</v>
      </c>
      <c r="F238">
        <v>207455459</v>
      </c>
      <c r="G238">
        <v>1.220777824</v>
      </c>
      <c r="H238">
        <v>28.890257869999999</v>
      </c>
      <c r="I238">
        <v>24</v>
      </c>
      <c r="J238">
        <v>463779046798</v>
      </c>
      <c r="K238">
        <v>-4.6399999999999997</v>
      </c>
    </row>
    <row r="239" spans="1:11" x14ac:dyDescent="0.3">
      <c r="A239" t="s">
        <v>61</v>
      </c>
      <c r="B239" t="s">
        <v>62</v>
      </c>
      <c r="C239">
        <v>2020</v>
      </c>
      <c r="D239">
        <v>418360483310</v>
      </c>
      <c r="E239">
        <v>1480000000000</v>
      </c>
      <c r="F239">
        <v>208660842</v>
      </c>
      <c r="G239">
        <v>-3.2767587960000002</v>
      </c>
      <c r="H239">
        <v>32.302078539999997</v>
      </c>
      <c r="I239">
        <v>23</v>
      </c>
      <c r="J239">
        <v>442253615294</v>
      </c>
      <c r="K239">
        <v>-5.4</v>
      </c>
    </row>
    <row r="240" spans="1:11" x14ac:dyDescent="0.3">
      <c r="A240" t="s">
        <v>61</v>
      </c>
      <c r="B240" t="s">
        <v>62</v>
      </c>
      <c r="C240">
        <v>2021</v>
      </c>
      <c r="D240">
        <v>561629154920</v>
      </c>
      <c r="E240">
        <v>1670000000000</v>
      </c>
      <c r="F240">
        <v>209550294</v>
      </c>
      <c r="G240">
        <v>4.7626043789999999</v>
      </c>
      <c r="H240">
        <v>37.656330760000003</v>
      </c>
      <c r="I240">
        <v>22</v>
      </c>
      <c r="J240">
        <v>418360483310</v>
      </c>
      <c r="K240">
        <v>34.25</v>
      </c>
    </row>
    <row r="241" spans="1:11" x14ac:dyDescent="0.3">
      <c r="A241" t="s">
        <v>61</v>
      </c>
      <c r="B241" t="s">
        <v>62</v>
      </c>
      <c r="C241">
        <v>2022</v>
      </c>
      <c r="D241">
        <v>668926158390</v>
      </c>
      <c r="E241">
        <v>1950000000000</v>
      </c>
      <c r="F241">
        <v>210306415</v>
      </c>
      <c r="G241">
        <v>3.0166943540000002</v>
      </c>
      <c r="H241">
        <v>38.816065979999998</v>
      </c>
      <c r="I241">
        <v>22</v>
      </c>
      <c r="J241">
        <v>561629154920</v>
      </c>
      <c r="K241">
        <v>19.100000000000001</v>
      </c>
    </row>
    <row r="242" spans="1:11" x14ac:dyDescent="0.3">
      <c r="A242" t="s">
        <v>61</v>
      </c>
      <c r="B242" t="s">
        <v>62</v>
      </c>
      <c r="C242">
        <v>2023</v>
      </c>
      <c r="D242">
        <v>679391532016</v>
      </c>
      <c r="E242">
        <v>2190000000000</v>
      </c>
      <c r="F242">
        <v>211140729</v>
      </c>
      <c r="G242">
        <v>3.2416553289999999</v>
      </c>
      <c r="H242">
        <v>33.666229829999999</v>
      </c>
      <c r="I242">
        <v>20</v>
      </c>
      <c r="J242">
        <v>668926158390</v>
      </c>
      <c r="K242">
        <v>1.56</v>
      </c>
    </row>
    <row r="243" spans="1:11" x14ac:dyDescent="0.3">
      <c r="A243" t="s">
        <v>61</v>
      </c>
      <c r="B243" t="s">
        <v>62</v>
      </c>
      <c r="C243">
        <v>2024</v>
      </c>
      <c r="D243">
        <v>674072550844</v>
      </c>
      <c r="E243">
        <v>2190000000000</v>
      </c>
      <c r="F243">
        <v>211998573</v>
      </c>
      <c r="G243">
        <v>3.419315165</v>
      </c>
      <c r="H243">
        <v>35.584523939999997</v>
      </c>
      <c r="I243">
        <v>18</v>
      </c>
      <c r="J243">
        <v>679391532016</v>
      </c>
      <c r="K243">
        <v>-0.78</v>
      </c>
    </row>
    <row r="244" spans="1:11" x14ac:dyDescent="0.3">
      <c r="A244" t="s">
        <v>63</v>
      </c>
      <c r="B244" t="s">
        <v>64</v>
      </c>
      <c r="C244">
        <v>2015</v>
      </c>
      <c r="D244">
        <v>965503890</v>
      </c>
      <c r="E244">
        <v>5699619150</v>
      </c>
      <c r="F244">
        <v>278990</v>
      </c>
      <c r="G244">
        <v>-0.77262007799999999</v>
      </c>
      <c r="I244">
        <v>141</v>
      </c>
    </row>
    <row r="245" spans="1:11" x14ac:dyDescent="0.3">
      <c r="A245" t="s">
        <v>63</v>
      </c>
      <c r="B245" t="s">
        <v>64</v>
      </c>
      <c r="C245">
        <v>2016</v>
      </c>
      <c r="D245">
        <v>1033651786</v>
      </c>
      <c r="E245">
        <v>5679029450</v>
      </c>
      <c r="F245">
        <v>279598</v>
      </c>
      <c r="G245">
        <v>1.416324468</v>
      </c>
      <c r="I245">
        <v>142</v>
      </c>
      <c r="J245">
        <v>965503890</v>
      </c>
      <c r="K245">
        <v>7.06</v>
      </c>
    </row>
    <row r="246" spans="1:11" x14ac:dyDescent="0.3">
      <c r="A246" t="s">
        <v>63</v>
      </c>
      <c r="B246" t="s">
        <v>64</v>
      </c>
      <c r="C246">
        <v>2017</v>
      </c>
      <c r="D246">
        <v>970775895</v>
      </c>
      <c r="E246">
        <v>5847381600</v>
      </c>
      <c r="F246">
        <v>280171</v>
      </c>
      <c r="G246">
        <v>0.65465560300000003</v>
      </c>
      <c r="I246">
        <v>144</v>
      </c>
      <c r="J246">
        <v>1033651786</v>
      </c>
      <c r="K246">
        <v>-6.08</v>
      </c>
    </row>
    <row r="247" spans="1:11" x14ac:dyDescent="0.3">
      <c r="A247" t="s">
        <v>63</v>
      </c>
      <c r="B247" t="s">
        <v>64</v>
      </c>
      <c r="C247">
        <v>2018</v>
      </c>
      <c r="D247">
        <v>915419501</v>
      </c>
      <c r="E247">
        <v>6001101550</v>
      </c>
      <c r="F247">
        <v>280711</v>
      </c>
      <c r="G247">
        <v>-0.252085326</v>
      </c>
      <c r="I247">
        <v>144</v>
      </c>
      <c r="J247">
        <v>970775895</v>
      </c>
      <c r="K247">
        <v>-5.7</v>
      </c>
    </row>
    <row r="248" spans="1:11" x14ac:dyDescent="0.3">
      <c r="A248" t="s">
        <v>63</v>
      </c>
      <c r="B248" t="s">
        <v>64</v>
      </c>
      <c r="C248">
        <v>2019</v>
      </c>
      <c r="D248">
        <v>888170738</v>
      </c>
      <c r="E248">
        <v>6166710800</v>
      </c>
      <c r="F248">
        <v>281207</v>
      </c>
      <c r="G248">
        <v>0.24109978900000001</v>
      </c>
      <c r="I248">
        <v>143</v>
      </c>
      <c r="J248">
        <v>915419501</v>
      </c>
      <c r="K248">
        <v>-2.98</v>
      </c>
    </row>
    <row r="249" spans="1:11" x14ac:dyDescent="0.3">
      <c r="A249" t="s">
        <v>63</v>
      </c>
      <c r="B249" t="s">
        <v>64</v>
      </c>
      <c r="C249">
        <v>2020</v>
      </c>
      <c r="D249">
        <v>690412434</v>
      </c>
      <c r="E249">
        <v>5403246950</v>
      </c>
      <c r="F249">
        <v>281698</v>
      </c>
      <c r="G249">
        <v>-17.405931469999999</v>
      </c>
      <c r="I249">
        <v>139</v>
      </c>
      <c r="J249">
        <v>888170738</v>
      </c>
      <c r="K249">
        <v>-22.27</v>
      </c>
    </row>
    <row r="250" spans="1:11" x14ac:dyDescent="0.3">
      <c r="A250" t="s">
        <v>63</v>
      </c>
      <c r="B250" t="s">
        <v>64</v>
      </c>
      <c r="C250">
        <v>2021</v>
      </c>
      <c r="D250">
        <v>700345822</v>
      </c>
      <c r="E250">
        <v>5948900600</v>
      </c>
      <c r="F250">
        <v>282147</v>
      </c>
      <c r="G250">
        <v>8.0198770100000001</v>
      </c>
      <c r="I250">
        <v>142</v>
      </c>
      <c r="J250">
        <v>690412434</v>
      </c>
      <c r="K250">
        <v>1.44</v>
      </c>
    </row>
    <row r="251" spans="1:11" x14ac:dyDescent="0.3">
      <c r="A251" t="s">
        <v>63</v>
      </c>
      <c r="B251" t="s">
        <v>64</v>
      </c>
      <c r="C251">
        <v>2022</v>
      </c>
      <c r="D251">
        <v>995637396</v>
      </c>
      <c r="E251">
        <v>6886644900</v>
      </c>
      <c r="F251">
        <v>282318</v>
      </c>
      <c r="G251">
        <v>15.94532062</v>
      </c>
      <c r="I251">
        <v>137</v>
      </c>
      <c r="J251">
        <v>700345822</v>
      </c>
      <c r="K251">
        <v>42.16</v>
      </c>
    </row>
    <row r="252" spans="1:11" x14ac:dyDescent="0.3">
      <c r="A252" t="s">
        <v>63</v>
      </c>
      <c r="B252" t="s">
        <v>64</v>
      </c>
      <c r="C252">
        <v>2023</v>
      </c>
      <c r="D252">
        <v>951685098</v>
      </c>
      <c r="E252">
        <v>7223248150</v>
      </c>
      <c r="F252">
        <v>282336</v>
      </c>
      <c r="G252">
        <v>1.8141981780000001</v>
      </c>
      <c r="I252">
        <v>134</v>
      </c>
      <c r="J252">
        <v>995637396</v>
      </c>
      <c r="K252">
        <v>-4.41</v>
      </c>
    </row>
    <row r="253" spans="1:11" x14ac:dyDescent="0.3">
      <c r="A253" t="s">
        <v>63</v>
      </c>
      <c r="B253" t="s">
        <v>64</v>
      </c>
      <c r="C253">
        <v>2024</v>
      </c>
      <c r="D253">
        <v>987998342</v>
      </c>
      <c r="E253">
        <v>7597571450</v>
      </c>
      <c r="F253">
        <v>282467</v>
      </c>
      <c r="G253">
        <v>3.366949258</v>
      </c>
      <c r="I253">
        <v>120</v>
      </c>
      <c r="J253">
        <v>951685098</v>
      </c>
      <c r="K253">
        <v>3.82</v>
      </c>
    </row>
    <row r="254" spans="1:11" x14ac:dyDescent="0.3">
      <c r="A254" t="s">
        <v>65</v>
      </c>
      <c r="B254" t="s">
        <v>66</v>
      </c>
      <c r="C254">
        <v>2015</v>
      </c>
      <c r="D254">
        <v>12705324985</v>
      </c>
      <c r="E254">
        <v>12930296870</v>
      </c>
      <c r="F254">
        <v>422212</v>
      </c>
      <c r="G254">
        <v>-0.39238374999999998</v>
      </c>
      <c r="H254">
        <v>89.896188249999994</v>
      </c>
      <c r="I254">
        <v>90</v>
      </c>
    </row>
    <row r="255" spans="1:11" x14ac:dyDescent="0.3">
      <c r="A255" t="s">
        <v>65</v>
      </c>
      <c r="B255" t="s">
        <v>66</v>
      </c>
      <c r="C255">
        <v>2016</v>
      </c>
      <c r="D255">
        <v>9750150611</v>
      </c>
      <c r="E255">
        <v>11400266045</v>
      </c>
      <c r="F255">
        <v>427564</v>
      </c>
      <c r="G255">
        <v>-2.477917718</v>
      </c>
      <c r="H255">
        <v>87.319801330000004</v>
      </c>
      <c r="I255">
        <v>96</v>
      </c>
      <c r="J255">
        <v>12705324985</v>
      </c>
      <c r="K255">
        <v>-23.26</v>
      </c>
    </row>
    <row r="256" spans="1:11" x14ac:dyDescent="0.3">
      <c r="A256" t="s">
        <v>65</v>
      </c>
      <c r="B256" t="s">
        <v>66</v>
      </c>
      <c r="C256">
        <v>2017</v>
      </c>
      <c r="D256">
        <v>11141150427.531998</v>
      </c>
      <c r="E256">
        <v>12128168045</v>
      </c>
      <c r="F256">
        <v>432772</v>
      </c>
      <c r="G256">
        <v>1.328726611</v>
      </c>
      <c r="H256">
        <v>85.176860430000005</v>
      </c>
      <c r="I256">
        <v>97</v>
      </c>
      <c r="J256">
        <v>9750150611</v>
      </c>
      <c r="K256">
        <v>14.27</v>
      </c>
    </row>
    <row r="257" spans="1:11" x14ac:dyDescent="0.3">
      <c r="A257" t="s">
        <v>65</v>
      </c>
      <c r="B257" t="s">
        <v>66</v>
      </c>
      <c r="C257">
        <v>2018</v>
      </c>
      <c r="D257">
        <v>13147273885.264013</v>
      </c>
      <c r="E257">
        <v>13566908391</v>
      </c>
      <c r="F257">
        <v>437810</v>
      </c>
      <c r="G257">
        <v>5.2371042E-2</v>
      </c>
      <c r="H257">
        <v>93.898061769999998</v>
      </c>
      <c r="I257">
        <v>94</v>
      </c>
      <c r="J257">
        <v>11141150427.531998</v>
      </c>
      <c r="K257">
        <v>18.010000000000002</v>
      </c>
    </row>
    <row r="258" spans="1:11" x14ac:dyDescent="0.3">
      <c r="A258" t="s">
        <v>65</v>
      </c>
      <c r="B258" t="s">
        <v>66</v>
      </c>
      <c r="C258">
        <v>2019</v>
      </c>
      <c r="D258">
        <v>14078166171.500002</v>
      </c>
      <c r="E258">
        <v>13469235365</v>
      </c>
      <c r="F258">
        <v>442680</v>
      </c>
      <c r="G258">
        <v>3.8688443619999999</v>
      </c>
      <c r="H258">
        <v>108.50965840000001</v>
      </c>
      <c r="I258">
        <v>91</v>
      </c>
      <c r="J258">
        <v>13147273885.264013</v>
      </c>
      <c r="K258">
        <v>7.08</v>
      </c>
    </row>
    <row r="259" spans="1:11" x14ac:dyDescent="0.3">
      <c r="A259" t="s">
        <v>65</v>
      </c>
      <c r="B259" t="s">
        <v>66</v>
      </c>
      <c r="C259">
        <v>2020</v>
      </c>
      <c r="D259">
        <v>13216355704.199999</v>
      </c>
      <c r="E259">
        <v>12005799654</v>
      </c>
      <c r="F259">
        <v>447404</v>
      </c>
      <c r="G259">
        <v>1.13357335</v>
      </c>
      <c r="H259">
        <v>110.2910037</v>
      </c>
      <c r="I259">
        <v>88</v>
      </c>
      <c r="J259">
        <v>14078166171.500002</v>
      </c>
      <c r="K259">
        <v>-6.12</v>
      </c>
    </row>
    <row r="260" spans="1:11" x14ac:dyDescent="0.3">
      <c r="A260" t="s">
        <v>65</v>
      </c>
      <c r="B260" t="s">
        <v>66</v>
      </c>
      <c r="C260">
        <v>2021</v>
      </c>
      <c r="D260">
        <v>22116368746.02</v>
      </c>
      <c r="E260">
        <v>14006496617</v>
      </c>
      <c r="F260">
        <v>451721</v>
      </c>
      <c r="G260">
        <v>-1.590762601</v>
      </c>
      <c r="H260">
        <v>147.1231124</v>
      </c>
      <c r="I260">
        <v>80</v>
      </c>
      <c r="J260">
        <v>13216355704.199999</v>
      </c>
      <c r="K260">
        <v>67.34</v>
      </c>
    </row>
    <row r="261" spans="1:11" x14ac:dyDescent="0.3">
      <c r="A261" t="s">
        <v>65</v>
      </c>
      <c r="B261" t="s">
        <v>66</v>
      </c>
      <c r="C261">
        <v>2022</v>
      </c>
      <c r="D261">
        <v>28460476623.005985</v>
      </c>
      <c r="E261">
        <v>16681536467</v>
      </c>
      <c r="F261">
        <v>455370</v>
      </c>
      <c r="G261">
        <v>-1.628331545</v>
      </c>
      <c r="H261">
        <v>146.9739659</v>
      </c>
      <c r="I261">
        <v>76</v>
      </c>
      <c r="J261">
        <v>22116368746.02</v>
      </c>
      <c r="K261">
        <v>28.69</v>
      </c>
    </row>
    <row r="262" spans="1:11" x14ac:dyDescent="0.3">
      <c r="A262" t="s">
        <v>65</v>
      </c>
      <c r="B262" t="s">
        <v>66</v>
      </c>
      <c r="C262">
        <v>2023</v>
      </c>
      <c r="D262">
        <v>22481249410.540012</v>
      </c>
      <c r="E262">
        <v>15095084656</v>
      </c>
      <c r="F262">
        <v>458949</v>
      </c>
      <c r="G262">
        <v>1.1276441820000001</v>
      </c>
      <c r="H262">
        <v>136.8634347</v>
      </c>
      <c r="I262">
        <v>80</v>
      </c>
      <c r="J262">
        <v>28460476623.005985</v>
      </c>
      <c r="K262">
        <v>-21.01</v>
      </c>
    </row>
    <row r="263" spans="1:11" x14ac:dyDescent="0.3">
      <c r="A263" t="s">
        <v>65</v>
      </c>
      <c r="B263" t="s">
        <v>66</v>
      </c>
      <c r="C263">
        <v>2024</v>
      </c>
      <c r="D263">
        <v>22516988211.682999</v>
      </c>
      <c r="E263">
        <v>15340808592</v>
      </c>
      <c r="F263">
        <v>462721</v>
      </c>
      <c r="G263">
        <v>4.0525170929999996</v>
      </c>
      <c r="H263">
        <v>132.58743949999999</v>
      </c>
      <c r="I263">
        <v>77</v>
      </c>
      <c r="J263">
        <v>22481249410.540012</v>
      </c>
      <c r="K263">
        <v>0.16</v>
      </c>
    </row>
    <row r="264" spans="1:11" x14ac:dyDescent="0.3">
      <c r="A264" t="s">
        <v>67</v>
      </c>
      <c r="B264" t="s">
        <v>68</v>
      </c>
      <c r="C264">
        <v>2016</v>
      </c>
      <c r="D264">
        <v>661686896.30799985</v>
      </c>
      <c r="E264">
        <v>2357504761</v>
      </c>
      <c r="F264">
        <v>747866</v>
      </c>
      <c r="G264">
        <v>8.4759433919999996</v>
      </c>
      <c r="H264">
        <v>76.384752849999998</v>
      </c>
      <c r="I264">
        <v>150</v>
      </c>
    </row>
    <row r="265" spans="1:11" x14ac:dyDescent="0.3">
      <c r="A265" t="s">
        <v>67</v>
      </c>
      <c r="B265" t="s">
        <v>68</v>
      </c>
      <c r="C265">
        <v>2017</v>
      </c>
      <c r="D265">
        <v>778286134.45899999</v>
      </c>
      <c r="E265">
        <v>2591358009</v>
      </c>
      <c r="F265">
        <v>754335</v>
      </c>
      <c r="G265">
        <v>2.086845227</v>
      </c>
      <c r="H265">
        <v>76.788401690000001</v>
      </c>
      <c r="I265">
        <v>147</v>
      </c>
      <c r="J265">
        <v>661686896.30799985</v>
      </c>
      <c r="K265">
        <v>17.62</v>
      </c>
    </row>
    <row r="266" spans="1:11" x14ac:dyDescent="0.3">
      <c r="A266" t="s">
        <v>67</v>
      </c>
      <c r="B266" t="s">
        <v>68</v>
      </c>
      <c r="C266">
        <v>2018</v>
      </c>
      <c r="D266">
        <v>901878176.74000013</v>
      </c>
      <c r="E266">
        <v>2583335722</v>
      </c>
      <c r="F266">
        <v>759759</v>
      </c>
      <c r="G266">
        <v>3.5018718569999998</v>
      </c>
      <c r="H266">
        <v>79.739720329999997</v>
      </c>
      <c r="I266">
        <v>145</v>
      </c>
      <c r="J266">
        <v>778286134.45899999</v>
      </c>
      <c r="K266">
        <v>15.88</v>
      </c>
    </row>
    <row r="267" spans="1:11" x14ac:dyDescent="0.3">
      <c r="A267" t="s">
        <v>67</v>
      </c>
      <c r="B267" t="s">
        <v>68</v>
      </c>
      <c r="C267">
        <v>2019</v>
      </c>
      <c r="D267">
        <v>888287306.91199994</v>
      </c>
      <c r="E267">
        <v>2735683570</v>
      </c>
      <c r="F267">
        <v>764824</v>
      </c>
      <c r="G267">
        <v>5.7551485119999999</v>
      </c>
      <c r="H267">
        <v>76.123516699999996</v>
      </c>
      <c r="I267">
        <v>142</v>
      </c>
      <c r="J267">
        <v>901878176.74000013</v>
      </c>
      <c r="K267">
        <v>-1.51</v>
      </c>
    </row>
    <row r="268" spans="1:11" x14ac:dyDescent="0.3">
      <c r="A268" t="s">
        <v>67</v>
      </c>
      <c r="B268" t="s">
        <v>68</v>
      </c>
      <c r="C268">
        <v>2020</v>
      </c>
      <c r="D268">
        <v>559876952.495</v>
      </c>
      <c r="E268">
        <v>2457604334</v>
      </c>
      <c r="F268">
        <v>770006</v>
      </c>
      <c r="G268">
        <v>-10.218397420000001</v>
      </c>
      <c r="H268">
        <v>71.830351039999996</v>
      </c>
      <c r="I268">
        <v>141</v>
      </c>
      <c r="J268">
        <v>888287306.91199994</v>
      </c>
      <c r="K268">
        <v>-36.97</v>
      </c>
    </row>
    <row r="269" spans="1:11" x14ac:dyDescent="0.3">
      <c r="A269" t="s">
        <v>67</v>
      </c>
      <c r="B269" t="s">
        <v>68</v>
      </c>
      <c r="C269">
        <v>2022</v>
      </c>
      <c r="D269">
        <v>875764012.62800014</v>
      </c>
      <c r="E269">
        <v>2898227744</v>
      </c>
      <c r="F269">
        <v>780914</v>
      </c>
      <c r="G269">
        <v>5.2138678379999996</v>
      </c>
      <c r="H269">
        <v>85.571216519999993</v>
      </c>
      <c r="I269">
        <v>139</v>
      </c>
      <c r="J269">
        <v>559876952.495</v>
      </c>
      <c r="K269">
        <v>56.42</v>
      </c>
    </row>
    <row r="270" spans="1:11" x14ac:dyDescent="0.3">
      <c r="A270" t="s">
        <v>67</v>
      </c>
      <c r="B270" t="s">
        <v>68</v>
      </c>
      <c r="C270">
        <v>2023</v>
      </c>
      <c r="D270">
        <v>871251760.67499995</v>
      </c>
      <c r="E270">
        <v>3012896790</v>
      </c>
      <c r="F270">
        <v>786385</v>
      </c>
      <c r="G270">
        <v>4.6321570300000001</v>
      </c>
      <c r="H270">
        <v>81.736627850000005</v>
      </c>
      <c r="I270">
        <v>137</v>
      </c>
      <c r="J270">
        <v>875764012.62800014</v>
      </c>
      <c r="K270">
        <v>-0.52</v>
      </c>
    </row>
    <row r="271" spans="1:11" x14ac:dyDescent="0.3">
      <c r="A271" t="s">
        <v>69</v>
      </c>
      <c r="B271" t="s">
        <v>70</v>
      </c>
      <c r="C271">
        <v>2015</v>
      </c>
      <c r="D271">
        <v>12659493236.90601</v>
      </c>
      <c r="E271">
        <v>13530748845</v>
      </c>
      <c r="F271">
        <v>2203273</v>
      </c>
      <c r="G271">
        <v>-4.851325074</v>
      </c>
      <c r="H271">
        <v>112.900891</v>
      </c>
      <c r="I271">
        <v>91</v>
      </c>
    </row>
    <row r="272" spans="1:11" x14ac:dyDescent="0.3">
      <c r="A272" t="s">
        <v>69</v>
      </c>
      <c r="B272" t="s">
        <v>70</v>
      </c>
      <c r="C272">
        <v>2016</v>
      </c>
      <c r="D272">
        <v>14641411657</v>
      </c>
      <c r="E272">
        <v>15082637184</v>
      </c>
      <c r="F272">
        <v>2234776</v>
      </c>
      <c r="G272">
        <v>7.2044247590000001</v>
      </c>
      <c r="H272">
        <v>100.4646898</v>
      </c>
      <c r="I272">
        <v>87</v>
      </c>
      <c r="J272">
        <v>12659493236.90601</v>
      </c>
      <c r="K272">
        <v>15.66</v>
      </c>
    </row>
    <row r="273" spans="1:11" x14ac:dyDescent="0.3">
      <c r="A273" t="s">
        <v>69</v>
      </c>
      <c r="B273" t="s">
        <v>70</v>
      </c>
      <c r="C273">
        <v>2017</v>
      </c>
      <c r="D273">
        <v>11925822520.800003</v>
      </c>
      <c r="E273">
        <v>16105155857</v>
      </c>
      <c r="F273">
        <v>2266747</v>
      </c>
      <c r="G273">
        <v>4.1143785639999999</v>
      </c>
      <c r="H273">
        <v>81.923951380000005</v>
      </c>
      <c r="I273">
        <v>92</v>
      </c>
      <c r="J273">
        <v>14641411657</v>
      </c>
      <c r="K273">
        <v>-18.55</v>
      </c>
    </row>
    <row r="274" spans="1:11" x14ac:dyDescent="0.3">
      <c r="A274" t="s">
        <v>69</v>
      </c>
      <c r="B274" t="s">
        <v>70</v>
      </c>
      <c r="C274">
        <v>2018</v>
      </c>
      <c r="D274">
        <v>13435474450.432007</v>
      </c>
      <c r="E274">
        <v>17031943186</v>
      </c>
      <c r="F274">
        <v>2299141</v>
      </c>
      <c r="G274">
        <v>4.1886923720000002</v>
      </c>
      <c r="H274">
        <v>87.455103989999998</v>
      </c>
      <c r="I274">
        <v>93</v>
      </c>
      <c r="J274">
        <v>11925822520.800003</v>
      </c>
      <c r="K274">
        <v>12.66</v>
      </c>
    </row>
    <row r="275" spans="1:11" x14ac:dyDescent="0.3">
      <c r="A275" t="s">
        <v>69</v>
      </c>
      <c r="B275" t="s">
        <v>70</v>
      </c>
      <c r="C275">
        <v>2019</v>
      </c>
      <c r="D275">
        <v>10625814021.289</v>
      </c>
      <c r="E275">
        <v>16725908149</v>
      </c>
      <c r="F275">
        <v>2332083</v>
      </c>
      <c r="G275">
        <v>3.0317733950000001</v>
      </c>
      <c r="H275">
        <v>83.092981359999996</v>
      </c>
      <c r="I275">
        <v>97</v>
      </c>
      <c r="J275">
        <v>13435474450.432007</v>
      </c>
      <c r="K275">
        <v>-20.91</v>
      </c>
    </row>
    <row r="276" spans="1:11" x14ac:dyDescent="0.3">
      <c r="A276" t="s">
        <v>69</v>
      </c>
      <c r="B276" t="s">
        <v>70</v>
      </c>
      <c r="C276">
        <v>2020</v>
      </c>
      <c r="D276">
        <v>8752912475.6839981</v>
      </c>
      <c r="E276">
        <v>14960251608</v>
      </c>
      <c r="F276">
        <v>2365894</v>
      </c>
      <c r="G276">
        <v>-8.7288824399999996</v>
      </c>
      <c r="H276">
        <v>80.325034489999993</v>
      </c>
      <c r="I276">
        <v>101</v>
      </c>
      <c r="J276">
        <v>10625814021.289</v>
      </c>
      <c r="K276">
        <v>-17.63</v>
      </c>
    </row>
    <row r="277" spans="1:11" x14ac:dyDescent="0.3">
      <c r="A277" t="s">
        <v>69</v>
      </c>
      <c r="B277" t="s">
        <v>70</v>
      </c>
      <c r="C277">
        <v>2021</v>
      </c>
      <c r="D277">
        <v>14949783316.002993</v>
      </c>
      <c r="E277">
        <v>18750182236</v>
      </c>
      <c r="F277">
        <v>2401441</v>
      </c>
      <c r="G277">
        <v>11.91627244</v>
      </c>
      <c r="H277">
        <v>91.047849740000004</v>
      </c>
      <c r="I277">
        <v>92</v>
      </c>
      <c r="J277">
        <v>8752912475.6839981</v>
      </c>
      <c r="K277">
        <v>70.8</v>
      </c>
    </row>
    <row r="278" spans="1:11" x14ac:dyDescent="0.3">
      <c r="A278" t="s">
        <v>69</v>
      </c>
      <c r="B278" t="s">
        <v>70</v>
      </c>
      <c r="C278">
        <v>2022</v>
      </c>
      <c r="D278">
        <v>16829627191.847994</v>
      </c>
      <c r="E278">
        <v>20321150599</v>
      </c>
      <c r="F278">
        <v>2439892</v>
      </c>
      <c r="G278">
        <v>5.4860170640000003</v>
      </c>
      <c r="H278">
        <v>86.069603990000005</v>
      </c>
      <c r="I278">
        <v>92</v>
      </c>
      <c r="J278">
        <v>14949783316.002993</v>
      </c>
      <c r="K278">
        <v>12.57</v>
      </c>
    </row>
    <row r="279" spans="1:11" x14ac:dyDescent="0.3">
      <c r="A279" t="s">
        <v>69</v>
      </c>
      <c r="B279" t="s">
        <v>70</v>
      </c>
      <c r="C279">
        <v>2023</v>
      </c>
      <c r="D279">
        <v>11005433047.508999</v>
      </c>
      <c r="E279">
        <v>19413614555</v>
      </c>
      <c r="F279">
        <v>2480244</v>
      </c>
      <c r="G279">
        <v>3.2080681219999998</v>
      </c>
      <c r="H279">
        <v>70.112832729999994</v>
      </c>
      <c r="I279">
        <v>103</v>
      </c>
      <c r="J279">
        <v>16829627191.847994</v>
      </c>
      <c r="K279">
        <v>-34.61</v>
      </c>
    </row>
    <row r="280" spans="1:11" x14ac:dyDescent="0.3">
      <c r="A280" t="s">
        <v>71</v>
      </c>
      <c r="B280" t="s">
        <v>72</v>
      </c>
      <c r="C280">
        <v>2015</v>
      </c>
      <c r="D280">
        <v>193707363</v>
      </c>
      <c r="E280">
        <v>1695825714</v>
      </c>
      <c r="F280">
        <v>4629320</v>
      </c>
      <c r="G280">
        <v>4.3371210299999996</v>
      </c>
      <c r="H280">
        <v>53.145147780000002</v>
      </c>
      <c r="I280">
        <v>153</v>
      </c>
    </row>
    <row r="281" spans="1:11" x14ac:dyDescent="0.3">
      <c r="A281" t="s">
        <v>71</v>
      </c>
      <c r="B281" t="s">
        <v>72</v>
      </c>
      <c r="C281">
        <v>2016</v>
      </c>
      <c r="D281">
        <v>176902504</v>
      </c>
      <c r="E281">
        <v>1825018145</v>
      </c>
      <c r="F281">
        <v>4713663</v>
      </c>
      <c r="G281">
        <v>4.7503168410000001</v>
      </c>
      <c r="H281">
        <v>50.530644019999997</v>
      </c>
      <c r="I281">
        <v>158</v>
      </c>
      <c r="J281">
        <v>193707363</v>
      </c>
      <c r="K281">
        <v>-8.68</v>
      </c>
    </row>
    <row r="282" spans="1:11" x14ac:dyDescent="0.3">
      <c r="A282" t="s">
        <v>71</v>
      </c>
      <c r="B282" t="s">
        <v>72</v>
      </c>
      <c r="C282">
        <v>2017</v>
      </c>
      <c r="D282">
        <v>393981874.43000007</v>
      </c>
      <c r="E282">
        <v>2072349973</v>
      </c>
      <c r="F282">
        <v>4793511</v>
      </c>
      <c r="G282">
        <v>4.5272782129999998</v>
      </c>
      <c r="H282">
        <v>57.143545709999998</v>
      </c>
      <c r="I282">
        <v>150</v>
      </c>
      <c r="J282">
        <v>176902504</v>
      </c>
      <c r="K282">
        <v>122.71</v>
      </c>
    </row>
    <row r="283" spans="1:11" x14ac:dyDescent="0.3">
      <c r="A283" t="s">
        <v>71</v>
      </c>
      <c r="B283" t="s">
        <v>72</v>
      </c>
      <c r="C283">
        <v>2018</v>
      </c>
      <c r="D283">
        <v>108528196</v>
      </c>
      <c r="E283">
        <v>2220979146</v>
      </c>
      <c r="F283">
        <v>4878657</v>
      </c>
      <c r="G283">
        <v>3.7894435930000001</v>
      </c>
      <c r="H283">
        <v>49.660200000000003</v>
      </c>
      <c r="I283">
        <v>157</v>
      </c>
      <c r="J283">
        <v>393981874.43000007</v>
      </c>
      <c r="K283">
        <v>-72.45</v>
      </c>
    </row>
    <row r="284" spans="1:11" x14ac:dyDescent="0.3">
      <c r="A284" t="s">
        <v>71</v>
      </c>
      <c r="B284" t="s">
        <v>72</v>
      </c>
      <c r="C284">
        <v>2019</v>
      </c>
      <c r="D284">
        <v>247939512.51300001</v>
      </c>
      <c r="E284">
        <v>2221301351</v>
      </c>
      <c r="F284">
        <v>4944703</v>
      </c>
      <c r="G284">
        <v>3.1</v>
      </c>
      <c r="H284">
        <v>50.065800000000003</v>
      </c>
      <c r="I284">
        <v>151</v>
      </c>
      <c r="J284">
        <v>108528196</v>
      </c>
      <c r="K284">
        <v>128.46</v>
      </c>
    </row>
    <row r="285" spans="1:11" x14ac:dyDescent="0.3">
      <c r="A285" t="s">
        <v>71</v>
      </c>
      <c r="B285" t="s">
        <v>72</v>
      </c>
      <c r="C285">
        <v>2020</v>
      </c>
      <c r="D285">
        <v>81064340.078999996</v>
      </c>
      <c r="E285">
        <v>2326720900</v>
      </c>
      <c r="F285">
        <v>5026628</v>
      </c>
      <c r="G285">
        <v>0.899999997</v>
      </c>
      <c r="H285">
        <v>49.52102</v>
      </c>
      <c r="I285">
        <v>152</v>
      </c>
      <c r="J285">
        <v>247939512.51300001</v>
      </c>
      <c r="K285">
        <v>-67.3</v>
      </c>
    </row>
    <row r="286" spans="1:11" x14ac:dyDescent="0.3">
      <c r="A286" t="s">
        <v>71</v>
      </c>
      <c r="B286" t="s">
        <v>72</v>
      </c>
      <c r="C286">
        <v>2021</v>
      </c>
      <c r="D286">
        <v>115451005.854</v>
      </c>
      <c r="E286">
        <v>2516498412</v>
      </c>
      <c r="F286">
        <v>5112100</v>
      </c>
      <c r="G286">
        <v>0.98291999600000002</v>
      </c>
      <c r="H286">
        <v>44.159120000000001</v>
      </c>
      <c r="I286">
        <v>150</v>
      </c>
      <c r="J286">
        <v>81064340.078999996</v>
      </c>
      <c r="K286">
        <v>42.42</v>
      </c>
    </row>
    <row r="287" spans="1:11" x14ac:dyDescent="0.3">
      <c r="A287" t="s">
        <v>71</v>
      </c>
      <c r="B287" t="s">
        <v>72</v>
      </c>
      <c r="C287">
        <v>2022</v>
      </c>
      <c r="D287">
        <v>231082812.70999992</v>
      </c>
      <c r="E287">
        <v>2382618615</v>
      </c>
      <c r="F287">
        <v>5098039</v>
      </c>
      <c r="G287">
        <v>0.45390187599999998</v>
      </c>
      <c r="H287">
        <v>45.23357</v>
      </c>
      <c r="I287">
        <v>147</v>
      </c>
      <c r="J287">
        <v>115451005.854</v>
      </c>
      <c r="K287">
        <v>100.16</v>
      </c>
    </row>
    <row r="288" spans="1:11" x14ac:dyDescent="0.3">
      <c r="A288" t="s">
        <v>71</v>
      </c>
      <c r="B288" t="s">
        <v>72</v>
      </c>
      <c r="C288">
        <v>2023</v>
      </c>
      <c r="D288">
        <v>226569340.49799997</v>
      </c>
      <c r="E288">
        <v>2555492086</v>
      </c>
      <c r="F288">
        <v>5152421</v>
      </c>
      <c r="G288">
        <v>0.69996840100000002</v>
      </c>
      <c r="H288">
        <v>43.480570210000003</v>
      </c>
      <c r="I288">
        <v>145</v>
      </c>
      <c r="J288">
        <v>231082812.70999992</v>
      </c>
      <c r="K288">
        <v>-1.95</v>
      </c>
    </row>
    <row r="289" spans="1:11" x14ac:dyDescent="0.3">
      <c r="A289" t="s">
        <v>71</v>
      </c>
      <c r="B289" t="s">
        <v>72</v>
      </c>
      <c r="C289">
        <v>2024</v>
      </c>
      <c r="D289">
        <v>409007644.56</v>
      </c>
      <c r="E289">
        <v>2751494281</v>
      </c>
      <c r="F289">
        <v>5330690</v>
      </c>
      <c r="G289">
        <v>1.4999999980000001</v>
      </c>
      <c r="H289">
        <v>46.431899979999997</v>
      </c>
      <c r="I289">
        <v>122</v>
      </c>
      <c r="J289">
        <v>226569340.49799997</v>
      </c>
      <c r="K289">
        <v>80.52</v>
      </c>
    </row>
    <row r="290" spans="1:11" x14ac:dyDescent="0.3">
      <c r="A290" t="s">
        <v>73</v>
      </c>
      <c r="B290" t="s">
        <v>74</v>
      </c>
      <c r="C290">
        <v>2015</v>
      </c>
      <c r="D290">
        <v>817394647207.02051</v>
      </c>
      <c r="E290">
        <v>1560000000000</v>
      </c>
      <c r="F290">
        <v>35704498</v>
      </c>
      <c r="G290">
        <v>0.64997101499999999</v>
      </c>
      <c r="H290">
        <v>66.164835580000002</v>
      </c>
      <c r="I290">
        <v>10</v>
      </c>
    </row>
    <row r="291" spans="1:11" x14ac:dyDescent="0.3">
      <c r="A291" t="s">
        <v>73</v>
      </c>
      <c r="B291" t="s">
        <v>74</v>
      </c>
      <c r="C291">
        <v>2016</v>
      </c>
      <c r="D291">
        <v>777706283879.42493</v>
      </c>
      <c r="E291">
        <v>1530000000000</v>
      </c>
      <c r="F291">
        <v>36110803</v>
      </c>
      <c r="G291">
        <v>1.03855092</v>
      </c>
      <c r="H291">
        <v>65.363619979999996</v>
      </c>
      <c r="I291">
        <v>10</v>
      </c>
      <c r="J291">
        <v>817394647207.02051</v>
      </c>
      <c r="K291">
        <v>-4.8600000000000003</v>
      </c>
    </row>
    <row r="292" spans="1:11" x14ac:dyDescent="0.3">
      <c r="A292" t="s">
        <v>73</v>
      </c>
      <c r="B292" t="s">
        <v>74</v>
      </c>
      <c r="C292">
        <v>2017</v>
      </c>
      <c r="D292">
        <v>840148764379.62012</v>
      </c>
      <c r="E292">
        <v>1650000000000</v>
      </c>
      <c r="F292">
        <v>36545075</v>
      </c>
      <c r="G292">
        <v>3.0338349180000002</v>
      </c>
      <c r="H292">
        <v>65.100908790000005</v>
      </c>
      <c r="I292">
        <v>10</v>
      </c>
      <c r="J292">
        <v>777706283879.42493</v>
      </c>
      <c r="K292">
        <v>8.0299999999999994</v>
      </c>
    </row>
    <row r="293" spans="1:11" x14ac:dyDescent="0.3">
      <c r="A293" t="s">
        <v>73</v>
      </c>
      <c r="B293" t="s">
        <v>74</v>
      </c>
      <c r="C293">
        <v>2018</v>
      </c>
      <c r="D293">
        <v>900784792937.96814</v>
      </c>
      <c r="E293">
        <v>1730000000000</v>
      </c>
      <c r="F293">
        <v>37072620</v>
      </c>
      <c r="G293">
        <v>2.7429634140000001</v>
      </c>
      <c r="H293">
        <v>66.599826269999994</v>
      </c>
      <c r="I293">
        <v>12</v>
      </c>
      <c r="J293">
        <v>840148764379.62012</v>
      </c>
      <c r="K293">
        <v>7.22</v>
      </c>
    </row>
    <row r="294" spans="1:11" x14ac:dyDescent="0.3">
      <c r="A294" t="s">
        <v>73</v>
      </c>
      <c r="B294" t="s">
        <v>74</v>
      </c>
      <c r="C294">
        <v>2019</v>
      </c>
      <c r="D294">
        <v>891026211855.16174</v>
      </c>
      <c r="E294">
        <v>1740000000000</v>
      </c>
      <c r="F294">
        <v>37618495</v>
      </c>
      <c r="G294">
        <v>1.908431939</v>
      </c>
      <c r="H294">
        <v>66.171342269999997</v>
      </c>
      <c r="I294">
        <v>11</v>
      </c>
      <c r="J294">
        <v>900784792937.96814</v>
      </c>
      <c r="K294">
        <v>-1.08</v>
      </c>
    </row>
    <row r="295" spans="1:11" x14ac:dyDescent="0.3">
      <c r="A295" t="s">
        <v>73</v>
      </c>
      <c r="B295" t="s">
        <v>74</v>
      </c>
      <c r="C295">
        <v>2020</v>
      </c>
      <c r="D295">
        <v>776346741202.42371</v>
      </c>
      <c r="E295">
        <v>1660000000000</v>
      </c>
      <c r="F295">
        <v>38028638</v>
      </c>
      <c r="G295">
        <v>-5.0382334279999998</v>
      </c>
      <c r="H295">
        <v>61.156688340000002</v>
      </c>
      <c r="I295">
        <v>11</v>
      </c>
      <c r="J295">
        <v>891026211855.16174</v>
      </c>
      <c r="K295">
        <v>-12.87</v>
      </c>
    </row>
    <row r="296" spans="1:11" x14ac:dyDescent="0.3">
      <c r="A296" t="s">
        <v>73</v>
      </c>
      <c r="B296" t="s">
        <v>74</v>
      </c>
      <c r="C296">
        <v>2021</v>
      </c>
      <c r="D296">
        <v>1003246933345.071</v>
      </c>
      <c r="E296">
        <v>2020000000000</v>
      </c>
      <c r="F296">
        <v>38239864</v>
      </c>
      <c r="G296">
        <v>5.95052805</v>
      </c>
      <c r="H296">
        <v>62.246861260000003</v>
      </c>
      <c r="I296">
        <v>9</v>
      </c>
      <c r="J296">
        <v>776346741202.42371</v>
      </c>
      <c r="K296">
        <v>29.23</v>
      </c>
    </row>
    <row r="297" spans="1:11" x14ac:dyDescent="0.3">
      <c r="A297" t="s">
        <v>73</v>
      </c>
      <c r="B297" t="s">
        <v>74</v>
      </c>
      <c r="C297">
        <v>2022</v>
      </c>
      <c r="D297">
        <v>1199883615332.5637</v>
      </c>
      <c r="E297">
        <v>2200000000000</v>
      </c>
      <c r="F297">
        <v>38950132</v>
      </c>
      <c r="G297">
        <v>4.6954198500000004</v>
      </c>
      <c r="H297">
        <v>66.953162070000005</v>
      </c>
      <c r="I297">
        <v>9</v>
      </c>
      <c r="J297">
        <v>1003246933345.071</v>
      </c>
      <c r="K297">
        <v>19.600000000000001</v>
      </c>
    </row>
    <row r="298" spans="1:11" x14ac:dyDescent="0.3">
      <c r="A298" t="s">
        <v>73</v>
      </c>
      <c r="B298" t="s">
        <v>74</v>
      </c>
      <c r="C298">
        <v>2023</v>
      </c>
      <c r="D298">
        <v>1134689076006.9451</v>
      </c>
      <c r="E298">
        <v>2200000000000</v>
      </c>
      <c r="F298">
        <v>40049088</v>
      </c>
      <c r="G298">
        <v>1.9530855220000001</v>
      </c>
      <c r="H298">
        <v>66.574542500000007</v>
      </c>
      <c r="I298">
        <v>11</v>
      </c>
      <c r="J298">
        <v>1199883615332.5637</v>
      </c>
      <c r="K298">
        <v>-5.43</v>
      </c>
    </row>
    <row r="299" spans="1:11" x14ac:dyDescent="0.3">
      <c r="A299" t="s">
        <v>73</v>
      </c>
      <c r="B299" t="s">
        <v>74</v>
      </c>
      <c r="C299">
        <v>2024</v>
      </c>
      <c r="D299">
        <v>1138571679556.626</v>
      </c>
      <c r="E299">
        <v>2270000000000</v>
      </c>
      <c r="F299">
        <v>41262329</v>
      </c>
      <c r="G299">
        <v>2.0462660540000002</v>
      </c>
      <c r="H299">
        <v>65.121498729999999</v>
      </c>
      <c r="I299">
        <v>10</v>
      </c>
      <c r="J299">
        <v>1134689076006.9451</v>
      </c>
      <c r="K299">
        <v>0.34</v>
      </c>
    </row>
    <row r="300" spans="1:11" x14ac:dyDescent="0.3">
      <c r="A300" t="s">
        <v>75</v>
      </c>
      <c r="B300" t="s">
        <v>76</v>
      </c>
      <c r="C300">
        <v>2015</v>
      </c>
      <c r="D300">
        <v>124236440752.66396</v>
      </c>
      <c r="E300">
        <v>242000000000</v>
      </c>
      <c r="F300">
        <v>18047625</v>
      </c>
      <c r="G300">
        <v>2.1519425000000001</v>
      </c>
      <c r="H300">
        <v>59.349110570000001</v>
      </c>
      <c r="I300">
        <v>37</v>
      </c>
    </row>
    <row r="301" spans="1:11" x14ac:dyDescent="0.3">
      <c r="A301" t="s">
        <v>75</v>
      </c>
      <c r="B301" t="s">
        <v>76</v>
      </c>
      <c r="C301">
        <v>2016</v>
      </c>
      <c r="D301">
        <v>121537380909.20804</v>
      </c>
      <c r="E301">
        <v>249000000000</v>
      </c>
      <c r="F301">
        <v>18267221</v>
      </c>
      <c r="G301">
        <v>1.7530387489999999</v>
      </c>
      <c r="H301">
        <v>56.057860310000002</v>
      </c>
      <c r="I301">
        <v>37</v>
      </c>
      <c r="J301">
        <v>124236440752.66396</v>
      </c>
      <c r="K301">
        <v>-2.17</v>
      </c>
    </row>
    <row r="302" spans="1:11" x14ac:dyDescent="0.3">
      <c r="A302" t="s">
        <v>75</v>
      </c>
      <c r="B302" t="s">
        <v>76</v>
      </c>
      <c r="C302">
        <v>2017</v>
      </c>
      <c r="D302">
        <v>137807157408.55994</v>
      </c>
      <c r="E302">
        <v>276000000000</v>
      </c>
      <c r="F302">
        <v>18558868</v>
      </c>
      <c r="G302">
        <v>1.3576953730000001</v>
      </c>
      <c r="H302">
        <v>56.026158639999998</v>
      </c>
      <c r="I302">
        <v>37</v>
      </c>
      <c r="J302">
        <v>121537380909.20804</v>
      </c>
      <c r="K302">
        <v>13.39</v>
      </c>
    </row>
    <row r="303" spans="1:11" x14ac:dyDescent="0.3">
      <c r="A303" t="s">
        <v>75</v>
      </c>
      <c r="B303" t="s">
        <v>76</v>
      </c>
      <c r="C303">
        <v>2018</v>
      </c>
      <c r="D303">
        <v>149675962694.82901</v>
      </c>
      <c r="E303">
        <v>296000000000</v>
      </c>
      <c r="F303">
        <v>18893191</v>
      </c>
      <c r="G303">
        <v>3.9900294779999999</v>
      </c>
      <c r="H303">
        <v>58.177051300000002</v>
      </c>
      <c r="I303">
        <v>39</v>
      </c>
      <c r="J303">
        <v>137807157408.55994</v>
      </c>
      <c r="K303">
        <v>8.61</v>
      </c>
    </row>
    <row r="304" spans="1:11" x14ac:dyDescent="0.3">
      <c r="A304" t="s">
        <v>75</v>
      </c>
      <c r="B304" t="s">
        <v>76</v>
      </c>
      <c r="C304">
        <v>2019</v>
      </c>
      <c r="D304">
        <v>137584016366.16595</v>
      </c>
      <c r="E304">
        <v>278000000000</v>
      </c>
      <c r="F304">
        <v>19197744</v>
      </c>
      <c r="G304">
        <v>0.64422340300000003</v>
      </c>
      <c r="H304">
        <v>57.606915790000002</v>
      </c>
      <c r="I304">
        <v>39</v>
      </c>
      <c r="J304">
        <v>149675962694.82901</v>
      </c>
      <c r="K304">
        <v>-8.08</v>
      </c>
    </row>
    <row r="305" spans="1:11" x14ac:dyDescent="0.3">
      <c r="A305" t="s">
        <v>75</v>
      </c>
      <c r="B305" t="s">
        <v>76</v>
      </c>
      <c r="C305">
        <v>2020</v>
      </c>
      <c r="D305">
        <v>148038725709.10101</v>
      </c>
      <c r="E305">
        <v>254000000000</v>
      </c>
      <c r="F305">
        <v>19370624</v>
      </c>
      <c r="G305">
        <v>-6.1396969410000004</v>
      </c>
      <c r="H305">
        <v>58.168769390000001</v>
      </c>
      <c r="I305">
        <v>35</v>
      </c>
      <c r="J305">
        <v>137584016366.16595</v>
      </c>
      <c r="K305">
        <v>7.6</v>
      </c>
    </row>
    <row r="306" spans="1:11" x14ac:dyDescent="0.3">
      <c r="A306" t="s">
        <v>75</v>
      </c>
      <c r="B306" t="s">
        <v>76</v>
      </c>
      <c r="C306">
        <v>2021</v>
      </c>
      <c r="D306">
        <v>189353618412.56693</v>
      </c>
      <c r="E306">
        <v>316000000000</v>
      </c>
      <c r="F306">
        <v>19456334</v>
      </c>
      <c r="G306">
        <v>11.33740324</v>
      </c>
      <c r="H306">
        <v>64.839992480000006</v>
      </c>
      <c r="I306">
        <v>35</v>
      </c>
      <c r="J306">
        <v>148038725709.10101</v>
      </c>
      <c r="K306">
        <v>27.91</v>
      </c>
    </row>
    <row r="307" spans="1:11" x14ac:dyDescent="0.3">
      <c r="A307" t="s">
        <v>75</v>
      </c>
      <c r="B307" t="s">
        <v>76</v>
      </c>
      <c r="C307">
        <v>2022</v>
      </c>
      <c r="D307">
        <v>197114010338.96603</v>
      </c>
      <c r="E307">
        <v>301000000000</v>
      </c>
      <c r="F307">
        <v>19553036</v>
      </c>
      <c r="G307">
        <v>2.0639186430000001</v>
      </c>
      <c r="H307">
        <v>75.233419749999996</v>
      </c>
      <c r="I307">
        <v>36</v>
      </c>
      <c r="J307">
        <v>189353618412.56693</v>
      </c>
      <c r="K307">
        <v>4.0999999999999996</v>
      </c>
    </row>
    <row r="308" spans="1:11" x14ac:dyDescent="0.3">
      <c r="A308" t="s">
        <v>75</v>
      </c>
      <c r="B308" t="s">
        <v>76</v>
      </c>
      <c r="C308">
        <v>2023</v>
      </c>
      <c r="D308">
        <v>185910550302.03018</v>
      </c>
      <c r="E308">
        <v>336000000000</v>
      </c>
      <c r="F308">
        <v>19658835</v>
      </c>
      <c r="G308">
        <v>0.67702483199999997</v>
      </c>
      <c r="H308">
        <v>60.676644469999999</v>
      </c>
      <c r="I308">
        <v>36</v>
      </c>
      <c r="J308">
        <v>197114010338.96603</v>
      </c>
      <c r="K308">
        <v>-5.68</v>
      </c>
    </row>
    <row r="309" spans="1:11" x14ac:dyDescent="0.3">
      <c r="A309" t="s">
        <v>75</v>
      </c>
      <c r="B309" t="s">
        <v>76</v>
      </c>
      <c r="C309">
        <v>2024</v>
      </c>
      <c r="D309">
        <v>197756546584.26398</v>
      </c>
      <c r="E309">
        <v>329000000000</v>
      </c>
      <c r="F309">
        <v>19764771</v>
      </c>
      <c r="G309">
        <v>2.8051263710000001</v>
      </c>
      <c r="H309">
        <v>63.957746530000001</v>
      </c>
      <c r="I309">
        <v>33</v>
      </c>
      <c r="J309">
        <v>185910550302.03018</v>
      </c>
      <c r="K309">
        <v>6.37</v>
      </c>
    </row>
    <row r="310" spans="1:11" x14ac:dyDescent="0.3">
      <c r="A310" t="s">
        <v>77</v>
      </c>
      <c r="B310" t="s">
        <v>78</v>
      </c>
      <c r="C310">
        <v>2015</v>
      </c>
      <c r="D310">
        <v>4546936448226</v>
      </c>
      <c r="E310">
        <v>11300000000000</v>
      </c>
      <c r="F310">
        <v>1379860000</v>
      </c>
      <c r="G310">
        <v>6.9816225559999996</v>
      </c>
      <c r="H310">
        <v>38.697184839999998</v>
      </c>
      <c r="I310">
        <v>1</v>
      </c>
    </row>
    <row r="311" spans="1:11" x14ac:dyDescent="0.3">
      <c r="A311" t="s">
        <v>77</v>
      </c>
      <c r="B311" t="s">
        <v>78</v>
      </c>
      <c r="C311">
        <v>2016</v>
      </c>
      <c r="D311">
        <v>4195274343790</v>
      </c>
      <c r="E311">
        <v>11500000000000</v>
      </c>
      <c r="F311">
        <v>1387790000</v>
      </c>
      <c r="G311">
        <v>6.7736886869999999</v>
      </c>
      <c r="H311">
        <v>36.177170689999997</v>
      </c>
      <c r="I311">
        <v>1</v>
      </c>
      <c r="J311">
        <v>4546936448226</v>
      </c>
      <c r="K311">
        <v>-7.73</v>
      </c>
    </row>
    <row r="312" spans="1:11" x14ac:dyDescent="0.3">
      <c r="A312" t="s">
        <v>77</v>
      </c>
      <c r="B312" t="s">
        <v>78</v>
      </c>
      <c r="C312">
        <v>2017</v>
      </c>
      <c r="D312">
        <v>4526741008602</v>
      </c>
      <c r="E312">
        <v>12500000000000</v>
      </c>
      <c r="F312">
        <v>1396215000</v>
      </c>
      <c r="G312">
        <v>6.8912391660000001</v>
      </c>
      <c r="H312">
        <v>36.950852619999999</v>
      </c>
      <c r="I312">
        <v>1</v>
      </c>
      <c r="J312">
        <v>4195274343790</v>
      </c>
      <c r="K312">
        <v>7.9</v>
      </c>
    </row>
    <row r="313" spans="1:11" x14ac:dyDescent="0.3">
      <c r="A313" t="s">
        <v>77</v>
      </c>
      <c r="B313" t="s">
        <v>78</v>
      </c>
      <c r="C313">
        <v>2018</v>
      </c>
      <c r="D313">
        <v>4972879439606</v>
      </c>
      <c r="E313">
        <v>14100000000000</v>
      </c>
      <c r="F313">
        <v>1402760000</v>
      </c>
      <c r="G313">
        <v>6.7578061419999997</v>
      </c>
      <c r="H313">
        <v>36.894384389999999</v>
      </c>
      <c r="I313">
        <v>1</v>
      </c>
      <c r="J313">
        <v>4526741008602</v>
      </c>
      <c r="K313">
        <v>9.86</v>
      </c>
    </row>
    <row r="314" spans="1:11" x14ac:dyDescent="0.3">
      <c r="A314" t="s">
        <v>77</v>
      </c>
      <c r="B314" t="s">
        <v>78</v>
      </c>
      <c r="C314">
        <v>2019</v>
      </c>
      <c r="D314">
        <v>4998413987732</v>
      </c>
      <c r="E314">
        <v>14600000000000</v>
      </c>
      <c r="F314">
        <v>1407745000</v>
      </c>
      <c r="G314">
        <v>6.0673780629999996</v>
      </c>
      <c r="H314">
        <v>35.454435029999999</v>
      </c>
      <c r="I314">
        <v>1</v>
      </c>
      <c r="J314">
        <v>4972879439606</v>
      </c>
      <c r="K314">
        <v>0.51</v>
      </c>
    </row>
    <row r="315" spans="1:11" x14ac:dyDescent="0.3">
      <c r="A315" t="s">
        <v>77</v>
      </c>
      <c r="B315" t="s">
        <v>78</v>
      </c>
      <c r="C315">
        <v>2020</v>
      </c>
      <c r="D315">
        <v>5178196706596</v>
      </c>
      <c r="E315">
        <v>15000000000000</v>
      </c>
      <c r="F315">
        <v>1411100000</v>
      </c>
      <c r="G315">
        <v>2.339503852</v>
      </c>
      <c r="H315">
        <v>34.337778470000003</v>
      </c>
      <c r="I315">
        <v>1</v>
      </c>
      <c r="J315">
        <v>4998413987732</v>
      </c>
      <c r="K315">
        <v>3.6</v>
      </c>
    </row>
    <row r="316" spans="1:11" x14ac:dyDescent="0.3">
      <c r="A316" t="s">
        <v>77</v>
      </c>
      <c r="B316" t="s">
        <v>78</v>
      </c>
      <c r="C316">
        <v>2021</v>
      </c>
      <c r="D316">
        <v>6632044267970</v>
      </c>
      <c r="E316">
        <v>18200000000000</v>
      </c>
      <c r="F316">
        <v>1412360000</v>
      </c>
      <c r="G316">
        <v>8.5703841500000006</v>
      </c>
      <c r="H316">
        <v>36.642878959999997</v>
      </c>
      <c r="I316">
        <v>1</v>
      </c>
      <c r="J316">
        <v>5178196706596</v>
      </c>
      <c r="K316">
        <v>28.08</v>
      </c>
    </row>
    <row r="317" spans="1:11" x14ac:dyDescent="0.3">
      <c r="A317" t="s">
        <v>77</v>
      </c>
      <c r="B317" t="s">
        <v>78</v>
      </c>
      <c r="C317">
        <v>2022</v>
      </c>
      <c r="D317">
        <v>7187202871204</v>
      </c>
      <c r="E317">
        <v>18300000000000</v>
      </c>
      <c r="F317">
        <v>1412175000</v>
      </c>
      <c r="G317">
        <v>3.1338543840000002</v>
      </c>
      <c r="H317">
        <v>37.512555679999998</v>
      </c>
      <c r="I317">
        <v>1</v>
      </c>
      <c r="J317">
        <v>6632044267970</v>
      </c>
      <c r="K317">
        <v>8.3699999999999992</v>
      </c>
    </row>
    <row r="318" spans="1:11" x14ac:dyDescent="0.3">
      <c r="A318" t="s">
        <v>77</v>
      </c>
      <c r="B318" t="s">
        <v>78</v>
      </c>
      <c r="C318">
        <v>2023</v>
      </c>
      <c r="D318">
        <v>6759495669768</v>
      </c>
      <c r="E318">
        <v>18300000000000</v>
      </c>
      <c r="F318">
        <v>1410710000</v>
      </c>
      <c r="G318">
        <v>5.416003345</v>
      </c>
      <c r="H318">
        <v>36.739149689999998</v>
      </c>
      <c r="I318">
        <v>1</v>
      </c>
      <c r="J318">
        <v>7187202871204</v>
      </c>
      <c r="K318">
        <v>-5.95</v>
      </c>
    </row>
    <row r="319" spans="1:11" x14ac:dyDescent="0.3">
      <c r="A319" t="s">
        <v>77</v>
      </c>
      <c r="B319" t="s">
        <v>78</v>
      </c>
      <c r="C319">
        <v>2024</v>
      </c>
      <c r="D319">
        <v>7153086587684</v>
      </c>
      <c r="E319">
        <v>18700000000000</v>
      </c>
      <c r="F319">
        <v>1408975000</v>
      </c>
      <c r="G319">
        <v>4.9583037880000003</v>
      </c>
      <c r="H319">
        <v>37.956060139999998</v>
      </c>
      <c r="I319">
        <v>1</v>
      </c>
      <c r="J319">
        <v>6759495669768</v>
      </c>
      <c r="K319">
        <v>5.82</v>
      </c>
    </row>
    <row r="320" spans="1:11" x14ac:dyDescent="0.3">
      <c r="A320" t="s">
        <v>79</v>
      </c>
      <c r="B320" t="s">
        <v>80</v>
      </c>
      <c r="C320">
        <v>2015</v>
      </c>
      <c r="D320">
        <v>8105286582</v>
      </c>
      <c r="E320">
        <v>32210233020</v>
      </c>
      <c r="F320">
        <v>22763414</v>
      </c>
      <c r="G320">
        <v>5.6669529870000002</v>
      </c>
      <c r="H320">
        <v>45.540146829999998</v>
      </c>
      <c r="I320">
        <v>103</v>
      </c>
    </row>
    <row r="321" spans="1:11" x14ac:dyDescent="0.3">
      <c r="A321" t="s">
        <v>79</v>
      </c>
      <c r="B321" t="s">
        <v>80</v>
      </c>
      <c r="C321">
        <v>2016</v>
      </c>
      <c r="D321">
        <v>4260899007</v>
      </c>
      <c r="E321">
        <v>33814337044</v>
      </c>
      <c r="F321">
        <v>23454161</v>
      </c>
      <c r="G321">
        <v>4.5357942370000002</v>
      </c>
      <c r="H321">
        <v>40.638631529999998</v>
      </c>
      <c r="I321">
        <v>118</v>
      </c>
      <c r="J321">
        <v>8105286582</v>
      </c>
      <c r="K321">
        <v>-47.43</v>
      </c>
    </row>
    <row r="322" spans="1:11" x14ac:dyDescent="0.3">
      <c r="A322" t="s">
        <v>79</v>
      </c>
      <c r="B322" t="s">
        <v>80</v>
      </c>
      <c r="C322">
        <v>2017</v>
      </c>
      <c r="D322">
        <v>6528370343.3250008</v>
      </c>
      <c r="E322">
        <v>36098547033</v>
      </c>
      <c r="F322">
        <v>24128601</v>
      </c>
      <c r="G322">
        <v>3.5411765489999998</v>
      </c>
      <c r="H322">
        <v>39.199021610000003</v>
      </c>
      <c r="I322">
        <v>110</v>
      </c>
      <c r="J322">
        <v>4260899007</v>
      </c>
      <c r="K322">
        <v>53.22</v>
      </c>
    </row>
    <row r="323" spans="1:11" x14ac:dyDescent="0.3">
      <c r="A323" t="s">
        <v>79</v>
      </c>
      <c r="B323" t="s">
        <v>80</v>
      </c>
      <c r="C323">
        <v>2018</v>
      </c>
      <c r="D323">
        <v>7609584117.8030014</v>
      </c>
      <c r="E323">
        <v>39955552190</v>
      </c>
      <c r="F323">
        <v>24806383</v>
      </c>
      <c r="G323">
        <v>3.9555142390000002</v>
      </c>
      <c r="H323">
        <v>40.587602879999999</v>
      </c>
      <c r="I323">
        <v>106</v>
      </c>
      <c r="J323">
        <v>6528370343.3250008</v>
      </c>
      <c r="K323">
        <v>16.559999999999999</v>
      </c>
    </row>
    <row r="324" spans="1:11" x14ac:dyDescent="0.3">
      <c r="A324" t="s">
        <v>79</v>
      </c>
      <c r="B324" t="s">
        <v>80</v>
      </c>
      <c r="C324">
        <v>2019</v>
      </c>
      <c r="D324">
        <v>8153136122.166997</v>
      </c>
      <c r="E324">
        <v>39667757528</v>
      </c>
      <c r="F324">
        <v>25506095</v>
      </c>
      <c r="G324">
        <v>3.4750599819999999</v>
      </c>
      <c r="H324">
        <v>43.378513249999997</v>
      </c>
      <c r="I324">
        <v>106</v>
      </c>
      <c r="J324">
        <v>7609584117.8030014</v>
      </c>
      <c r="K324">
        <v>7.14</v>
      </c>
    </row>
    <row r="325" spans="1:11" x14ac:dyDescent="0.3">
      <c r="A325" t="s">
        <v>79</v>
      </c>
      <c r="B325" t="s">
        <v>80</v>
      </c>
      <c r="C325">
        <v>2020</v>
      </c>
      <c r="D325">
        <v>6305706126.4599962</v>
      </c>
      <c r="E325">
        <v>40773241177</v>
      </c>
      <c r="F325">
        <v>26210558</v>
      </c>
      <c r="G325">
        <v>0.25993291600000001</v>
      </c>
      <c r="H325">
        <v>33.738831359999999</v>
      </c>
      <c r="I325">
        <v>110</v>
      </c>
      <c r="J325">
        <v>8153136122.166997</v>
      </c>
      <c r="K325">
        <v>-22.66</v>
      </c>
    </row>
    <row r="326" spans="1:11" x14ac:dyDescent="0.3">
      <c r="A326" t="s">
        <v>79</v>
      </c>
      <c r="B326" t="s">
        <v>80</v>
      </c>
      <c r="C326">
        <v>2021</v>
      </c>
      <c r="D326">
        <v>8588111952.7139978</v>
      </c>
      <c r="E326">
        <v>45011937347</v>
      </c>
      <c r="F326">
        <v>26915758</v>
      </c>
      <c r="G326">
        <v>3.3388574719999999</v>
      </c>
      <c r="H326">
        <v>36.730834719999997</v>
      </c>
      <c r="I326">
        <v>105</v>
      </c>
      <c r="J326">
        <v>6305706126.4599962</v>
      </c>
      <c r="K326">
        <v>36.200000000000003</v>
      </c>
    </row>
    <row r="327" spans="1:11" x14ac:dyDescent="0.3">
      <c r="A327" t="s">
        <v>79</v>
      </c>
      <c r="B327" t="s">
        <v>80</v>
      </c>
      <c r="C327">
        <v>2022</v>
      </c>
      <c r="D327">
        <v>11245971372.645006</v>
      </c>
      <c r="E327">
        <v>44347206073</v>
      </c>
      <c r="F327">
        <v>27632771</v>
      </c>
      <c r="G327">
        <v>3.7367840060000002</v>
      </c>
      <c r="H327">
        <v>41.286602559999999</v>
      </c>
      <c r="I327">
        <v>102</v>
      </c>
      <c r="J327">
        <v>8588111952.7139978</v>
      </c>
      <c r="K327">
        <v>30.95</v>
      </c>
    </row>
    <row r="328" spans="1:11" x14ac:dyDescent="0.3">
      <c r="A328" t="s">
        <v>79</v>
      </c>
      <c r="B328" t="s">
        <v>80</v>
      </c>
      <c r="C328">
        <v>2023</v>
      </c>
      <c r="D328">
        <v>9935023791.960001</v>
      </c>
      <c r="E328">
        <v>48814501547</v>
      </c>
      <c r="F328">
        <v>28372687</v>
      </c>
      <c r="G328">
        <v>3.347562908</v>
      </c>
      <c r="H328">
        <v>37.890332119999997</v>
      </c>
      <c r="I328">
        <v>106</v>
      </c>
      <c r="J328">
        <v>11245971372.645006</v>
      </c>
      <c r="K328">
        <v>-11.66</v>
      </c>
    </row>
    <row r="329" spans="1:11" x14ac:dyDescent="0.3">
      <c r="A329" t="s">
        <v>81</v>
      </c>
      <c r="B329" t="s">
        <v>82</v>
      </c>
      <c r="C329">
        <v>2015</v>
      </c>
      <c r="D329">
        <v>17370104445.732002</v>
      </c>
      <c r="E329">
        <v>40179574490</v>
      </c>
      <c r="F329">
        <v>81035531</v>
      </c>
      <c r="G329">
        <v>6.3597375620000003</v>
      </c>
      <c r="H329">
        <v>57.753923620000002</v>
      </c>
      <c r="I329">
        <v>83</v>
      </c>
    </row>
    <row r="330" spans="1:11" x14ac:dyDescent="0.3">
      <c r="A330" t="s">
        <v>81</v>
      </c>
      <c r="B330" t="s">
        <v>82</v>
      </c>
      <c r="C330">
        <v>2016</v>
      </c>
      <c r="D330">
        <v>14385693517.501997</v>
      </c>
      <c r="E330">
        <v>38600224214</v>
      </c>
      <c r="F330">
        <v>83956415</v>
      </c>
      <c r="G330">
        <v>0.39383279799999998</v>
      </c>
      <c r="H330">
        <v>68.008334289999993</v>
      </c>
      <c r="I330">
        <v>89</v>
      </c>
      <c r="J330">
        <v>17370104445.732002</v>
      </c>
      <c r="K330">
        <v>-17.18</v>
      </c>
    </row>
    <row r="331" spans="1:11" x14ac:dyDescent="0.3">
      <c r="A331" t="s">
        <v>81</v>
      </c>
      <c r="B331" t="s">
        <v>82</v>
      </c>
      <c r="C331">
        <v>2017</v>
      </c>
      <c r="D331">
        <v>24591416887.221001</v>
      </c>
      <c r="E331">
        <v>37537521566</v>
      </c>
      <c r="F331">
        <v>87083398</v>
      </c>
      <c r="G331">
        <v>4.2412104729999998</v>
      </c>
      <c r="H331">
        <v>65.918452529999996</v>
      </c>
      <c r="I331">
        <v>74</v>
      </c>
      <c r="J331">
        <v>14385693517.501997</v>
      </c>
      <c r="K331">
        <v>70.94</v>
      </c>
    </row>
    <row r="332" spans="1:11" x14ac:dyDescent="0.3">
      <c r="A332" t="s">
        <v>81</v>
      </c>
      <c r="B332" t="s">
        <v>82</v>
      </c>
      <c r="C332">
        <v>2018</v>
      </c>
      <c r="D332">
        <v>40008569374.188995</v>
      </c>
      <c r="E332">
        <v>46659954092</v>
      </c>
      <c r="F332">
        <v>90047644</v>
      </c>
      <c r="G332">
        <v>6.0716887059999998</v>
      </c>
      <c r="H332">
        <v>72.559173909999998</v>
      </c>
      <c r="I332">
        <v>64</v>
      </c>
      <c r="J332">
        <v>24591416887.221001</v>
      </c>
      <c r="K332">
        <v>62.69</v>
      </c>
    </row>
    <row r="333" spans="1:11" x14ac:dyDescent="0.3">
      <c r="A333" t="s">
        <v>81</v>
      </c>
      <c r="B333" t="s">
        <v>82</v>
      </c>
      <c r="C333">
        <v>2019</v>
      </c>
      <c r="D333">
        <v>26764598338.611015</v>
      </c>
      <c r="E333">
        <v>46845900350</v>
      </c>
      <c r="F333">
        <v>92947442</v>
      </c>
      <c r="G333">
        <v>0.55538429499999997</v>
      </c>
      <c r="H333">
        <v>60.914352370000003</v>
      </c>
      <c r="I333">
        <v>75</v>
      </c>
      <c r="J333">
        <v>40008569374.188995</v>
      </c>
      <c r="K333">
        <v>-33.1</v>
      </c>
    </row>
    <row r="334" spans="1:11" x14ac:dyDescent="0.3">
      <c r="A334" t="s">
        <v>81</v>
      </c>
      <c r="B334" t="s">
        <v>82</v>
      </c>
      <c r="C334">
        <v>2020</v>
      </c>
      <c r="D334">
        <v>28460494511.750008</v>
      </c>
      <c r="E334">
        <v>46691989749</v>
      </c>
      <c r="F334">
        <v>95989998</v>
      </c>
      <c r="G334">
        <v>0.77542799200000001</v>
      </c>
      <c r="H334">
        <v>61.028470769999998</v>
      </c>
      <c r="I334">
        <v>68</v>
      </c>
      <c r="J334">
        <v>26764598338.611015</v>
      </c>
      <c r="K334">
        <v>6.34</v>
      </c>
    </row>
    <row r="335" spans="1:11" x14ac:dyDescent="0.3">
      <c r="A335" t="s">
        <v>81</v>
      </c>
      <c r="B335" t="s">
        <v>82</v>
      </c>
      <c r="C335">
        <v>2021</v>
      </c>
      <c r="D335">
        <v>42824833212.724983</v>
      </c>
      <c r="E335">
        <v>59067289574</v>
      </c>
      <c r="F335">
        <v>99148932</v>
      </c>
      <c r="G335">
        <v>6.4296100559999996</v>
      </c>
      <c r="H335">
        <v>75.387052389999994</v>
      </c>
      <c r="I335">
        <v>66</v>
      </c>
      <c r="J335">
        <v>28460494511.750008</v>
      </c>
      <c r="K335">
        <v>50.47</v>
      </c>
    </row>
    <row r="336" spans="1:11" x14ac:dyDescent="0.3">
      <c r="A336" t="s">
        <v>81</v>
      </c>
      <c r="B336" t="s">
        <v>82</v>
      </c>
      <c r="C336">
        <v>2022</v>
      </c>
      <c r="D336">
        <v>31344958806.821014</v>
      </c>
      <c r="E336">
        <v>70422346142</v>
      </c>
      <c r="F336">
        <v>102396968</v>
      </c>
      <c r="G336">
        <v>9.3111694410000005</v>
      </c>
      <c r="H336">
        <v>85.822169189999997</v>
      </c>
      <c r="I336">
        <v>73</v>
      </c>
      <c r="J336">
        <v>42824833212.724983</v>
      </c>
      <c r="K336">
        <v>-26.81</v>
      </c>
    </row>
    <row r="337" spans="1:11" x14ac:dyDescent="0.3">
      <c r="A337" t="s">
        <v>81</v>
      </c>
      <c r="B337" t="s">
        <v>82</v>
      </c>
      <c r="C337">
        <v>2023</v>
      </c>
      <c r="D337">
        <v>55453658745.677994</v>
      </c>
      <c r="E337">
        <v>69843655425</v>
      </c>
      <c r="F337">
        <v>105789731</v>
      </c>
      <c r="G337">
        <v>8.5334898320000008</v>
      </c>
      <c r="H337">
        <v>86.740058180000005</v>
      </c>
      <c r="I337">
        <v>61</v>
      </c>
      <c r="J337">
        <v>31344958806.821014</v>
      </c>
      <c r="K337">
        <v>76.91</v>
      </c>
    </row>
    <row r="338" spans="1:11" x14ac:dyDescent="0.3">
      <c r="A338" t="s">
        <v>83</v>
      </c>
      <c r="B338" t="s">
        <v>84</v>
      </c>
      <c r="C338">
        <v>2015</v>
      </c>
      <c r="D338">
        <v>17245900891.187</v>
      </c>
      <c r="E338">
        <v>12434793867</v>
      </c>
      <c r="F338">
        <v>5097581</v>
      </c>
      <c r="G338">
        <v>0.41519306099999997</v>
      </c>
      <c r="H338">
        <v>117.3207216</v>
      </c>
      <c r="I338">
        <v>84</v>
      </c>
    </row>
    <row r="339" spans="1:11" x14ac:dyDescent="0.3">
      <c r="A339" t="s">
        <v>83</v>
      </c>
      <c r="B339" t="s">
        <v>84</v>
      </c>
      <c r="C339">
        <v>2016</v>
      </c>
      <c r="D339">
        <v>15801184824.904007</v>
      </c>
      <c r="E339">
        <v>10931328151</v>
      </c>
      <c r="F339">
        <v>5222536</v>
      </c>
      <c r="G339">
        <v>-8.6852434390000006</v>
      </c>
      <c r="H339">
        <v>122.25981830000001</v>
      </c>
      <c r="I339">
        <v>84</v>
      </c>
      <c r="J339">
        <v>17245900891.187</v>
      </c>
      <c r="K339">
        <v>-8.3800000000000008</v>
      </c>
    </row>
    <row r="340" spans="1:11" x14ac:dyDescent="0.3">
      <c r="A340" t="s">
        <v>83</v>
      </c>
      <c r="B340" t="s">
        <v>84</v>
      </c>
      <c r="C340">
        <v>2017</v>
      </c>
      <c r="D340">
        <v>16503968776.66</v>
      </c>
      <c r="E340">
        <v>11834473039</v>
      </c>
      <c r="F340">
        <v>5351011</v>
      </c>
      <c r="G340">
        <v>-5.594773719</v>
      </c>
      <c r="H340">
        <v>94.617095259999999</v>
      </c>
      <c r="I340">
        <v>86</v>
      </c>
      <c r="J340">
        <v>15801184824.904007</v>
      </c>
      <c r="K340">
        <v>4.45</v>
      </c>
    </row>
    <row r="341" spans="1:11" x14ac:dyDescent="0.3">
      <c r="A341" t="s">
        <v>83</v>
      </c>
      <c r="B341" t="s">
        <v>84</v>
      </c>
      <c r="C341">
        <v>2018</v>
      </c>
      <c r="D341">
        <v>22310058649.666996</v>
      </c>
      <c r="E341">
        <v>14773900289</v>
      </c>
      <c r="F341">
        <v>5483118</v>
      </c>
      <c r="G341">
        <v>-2.3043178009999998</v>
      </c>
      <c r="H341">
        <v>100.5832168</v>
      </c>
      <c r="I341">
        <v>78</v>
      </c>
      <c r="J341">
        <v>16503968776.66</v>
      </c>
      <c r="K341">
        <v>35.18</v>
      </c>
    </row>
    <row r="342" spans="1:11" x14ac:dyDescent="0.3">
      <c r="A342" t="s">
        <v>83</v>
      </c>
      <c r="B342" t="s">
        <v>84</v>
      </c>
      <c r="C342">
        <v>2019</v>
      </c>
      <c r="D342">
        <v>11151884640.395994</v>
      </c>
      <c r="E342">
        <v>13976637780</v>
      </c>
      <c r="F342">
        <v>5616661</v>
      </c>
      <c r="G342">
        <v>1.12447392</v>
      </c>
      <c r="H342">
        <v>91.575754790000005</v>
      </c>
      <c r="I342">
        <v>96</v>
      </c>
      <c r="J342">
        <v>22310058649.666996</v>
      </c>
      <c r="K342">
        <v>-50.01</v>
      </c>
    </row>
    <row r="343" spans="1:11" x14ac:dyDescent="0.3">
      <c r="A343" t="s">
        <v>83</v>
      </c>
      <c r="B343" t="s">
        <v>84</v>
      </c>
      <c r="C343">
        <v>2020</v>
      </c>
      <c r="D343">
        <v>9786184973.4999981</v>
      </c>
      <c r="E343">
        <v>11468687464</v>
      </c>
      <c r="F343">
        <v>5752791</v>
      </c>
      <c r="G343">
        <v>-6.26777228</v>
      </c>
      <c r="H343">
        <v>69.306624720000002</v>
      </c>
      <c r="I343">
        <v>96</v>
      </c>
      <c r="J343">
        <v>11151884640.395994</v>
      </c>
      <c r="K343">
        <v>-12.25</v>
      </c>
    </row>
    <row r="344" spans="1:11" x14ac:dyDescent="0.3">
      <c r="A344" t="s">
        <v>83</v>
      </c>
      <c r="B344" t="s">
        <v>84</v>
      </c>
      <c r="C344">
        <v>2021</v>
      </c>
      <c r="D344">
        <v>4724460322.0199976</v>
      </c>
      <c r="E344">
        <v>14825690211</v>
      </c>
      <c r="F344">
        <v>5892183</v>
      </c>
      <c r="G344">
        <v>1.0150703700000001</v>
      </c>
      <c r="H344">
        <v>85.546203160000005</v>
      </c>
      <c r="I344">
        <v>121</v>
      </c>
      <c r="J344">
        <v>9786184973.4999981</v>
      </c>
      <c r="K344">
        <v>-51.72</v>
      </c>
    </row>
    <row r="345" spans="1:11" x14ac:dyDescent="0.3">
      <c r="A345" t="s">
        <v>83</v>
      </c>
      <c r="B345" t="s">
        <v>84</v>
      </c>
      <c r="C345">
        <v>2022</v>
      </c>
      <c r="D345">
        <v>17739982931.686996</v>
      </c>
      <c r="E345">
        <v>15817030155</v>
      </c>
      <c r="F345">
        <v>6035104</v>
      </c>
      <c r="G345">
        <v>1.4753561319999999</v>
      </c>
      <c r="H345">
        <v>98.161336689999999</v>
      </c>
      <c r="I345">
        <v>90</v>
      </c>
      <c r="J345">
        <v>4724460322.0199976</v>
      </c>
      <c r="K345">
        <v>275.49</v>
      </c>
    </row>
    <row r="346" spans="1:11" x14ac:dyDescent="0.3">
      <c r="A346" t="s">
        <v>83</v>
      </c>
      <c r="B346" t="s">
        <v>84</v>
      </c>
      <c r="C346">
        <v>2023</v>
      </c>
      <c r="D346">
        <v>18930065909.382996</v>
      </c>
      <c r="E346">
        <v>15321055823</v>
      </c>
      <c r="F346">
        <v>6182885</v>
      </c>
      <c r="G346">
        <v>1.9068642629999999</v>
      </c>
      <c r="H346">
        <v>96.210394399999998</v>
      </c>
      <c r="I346">
        <v>85</v>
      </c>
      <c r="J346">
        <v>17739982931.686996</v>
      </c>
      <c r="K346">
        <v>6.71</v>
      </c>
    </row>
    <row r="347" spans="1:11" x14ac:dyDescent="0.3">
      <c r="A347" t="s">
        <v>85</v>
      </c>
      <c r="B347" t="s">
        <v>86</v>
      </c>
      <c r="C347">
        <v>2015</v>
      </c>
      <c r="D347">
        <v>71381533185</v>
      </c>
      <c r="E347">
        <v>293000000000</v>
      </c>
      <c r="F347">
        <v>46969940</v>
      </c>
      <c r="G347">
        <v>2.9559013749999998</v>
      </c>
      <c r="H347">
        <v>38.360764119999999</v>
      </c>
      <c r="I347">
        <v>50</v>
      </c>
    </row>
    <row r="348" spans="1:11" x14ac:dyDescent="0.3">
      <c r="A348" t="s">
        <v>85</v>
      </c>
      <c r="B348" t="s">
        <v>86</v>
      </c>
      <c r="C348">
        <v>2016</v>
      </c>
      <c r="D348">
        <v>62089982489</v>
      </c>
      <c r="E348">
        <v>283000000000</v>
      </c>
      <c r="F348">
        <v>47437512</v>
      </c>
      <c r="G348">
        <v>2.0873825020000001</v>
      </c>
      <c r="H348">
        <v>36.202652980000003</v>
      </c>
      <c r="I348">
        <v>52</v>
      </c>
      <c r="J348">
        <v>71381533185</v>
      </c>
      <c r="K348">
        <v>-13.02</v>
      </c>
    </row>
    <row r="349" spans="1:11" x14ac:dyDescent="0.3">
      <c r="A349" t="s">
        <v>85</v>
      </c>
      <c r="B349" t="s">
        <v>86</v>
      </c>
      <c r="C349">
        <v>2017</v>
      </c>
      <c r="D349">
        <v>75532642120.060043</v>
      </c>
      <c r="E349">
        <v>312000000000</v>
      </c>
      <c r="F349">
        <v>48131078</v>
      </c>
      <c r="G349">
        <v>1.359360868</v>
      </c>
      <c r="H349">
        <v>35.282914939999998</v>
      </c>
      <c r="I349">
        <v>52</v>
      </c>
      <c r="J349">
        <v>62089982489</v>
      </c>
      <c r="K349">
        <v>21.65</v>
      </c>
    </row>
    <row r="350" spans="1:11" x14ac:dyDescent="0.3">
      <c r="A350" t="s">
        <v>85</v>
      </c>
      <c r="B350" t="s">
        <v>86</v>
      </c>
      <c r="C350">
        <v>2018</v>
      </c>
      <c r="D350">
        <v>83663040441.579971</v>
      </c>
      <c r="E350">
        <v>334000000000</v>
      </c>
      <c r="F350">
        <v>49024465</v>
      </c>
      <c r="G350">
        <v>2.5643242829999999</v>
      </c>
      <c r="H350">
        <v>36.5347528</v>
      </c>
      <c r="I350">
        <v>49</v>
      </c>
      <c r="J350">
        <v>75532642120.060043</v>
      </c>
      <c r="K350">
        <v>10.76</v>
      </c>
    </row>
    <row r="351" spans="1:11" x14ac:dyDescent="0.3">
      <c r="A351" t="s">
        <v>85</v>
      </c>
      <c r="B351" t="s">
        <v>86</v>
      </c>
      <c r="C351">
        <v>2019</v>
      </c>
      <c r="D351">
        <v>78978718923.980011</v>
      </c>
      <c r="E351">
        <v>323000000000</v>
      </c>
      <c r="F351">
        <v>49907985</v>
      </c>
      <c r="G351">
        <v>3.186855392</v>
      </c>
      <c r="H351">
        <v>37.55853398</v>
      </c>
      <c r="I351">
        <v>50</v>
      </c>
      <c r="J351">
        <v>83663040441.579971</v>
      </c>
      <c r="K351">
        <v>-5.6</v>
      </c>
    </row>
    <row r="352" spans="1:11" x14ac:dyDescent="0.3">
      <c r="A352" t="s">
        <v>85</v>
      </c>
      <c r="B352" t="s">
        <v>86</v>
      </c>
      <c r="C352">
        <v>2020</v>
      </c>
      <c r="D352">
        <v>62111621319.38002</v>
      </c>
      <c r="E352">
        <v>270000000000</v>
      </c>
      <c r="F352">
        <v>50629997</v>
      </c>
      <c r="G352">
        <v>-7.1859141380000002</v>
      </c>
      <c r="H352">
        <v>34.055570969999998</v>
      </c>
      <c r="I352">
        <v>55</v>
      </c>
      <c r="J352">
        <v>78978718923.980011</v>
      </c>
      <c r="K352">
        <v>-21.36</v>
      </c>
    </row>
    <row r="353" spans="1:11" x14ac:dyDescent="0.3">
      <c r="A353" t="s">
        <v>85</v>
      </c>
      <c r="B353" t="s">
        <v>86</v>
      </c>
      <c r="C353">
        <v>2021</v>
      </c>
      <c r="D353">
        <v>82779978095.5</v>
      </c>
      <c r="E353">
        <v>319000000000</v>
      </c>
      <c r="F353">
        <v>51188173</v>
      </c>
      <c r="G353">
        <v>10.801198189999999</v>
      </c>
      <c r="H353">
        <v>40.059146390000002</v>
      </c>
      <c r="I353">
        <v>54</v>
      </c>
      <c r="J353">
        <v>62111621319.38002</v>
      </c>
      <c r="K353">
        <v>33.28</v>
      </c>
    </row>
    <row r="354" spans="1:11" x14ac:dyDescent="0.3">
      <c r="A354" t="s">
        <v>85</v>
      </c>
      <c r="B354" t="s">
        <v>86</v>
      </c>
      <c r="C354">
        <v>2022</v>
      </c>
      <c r="D354">
        <v>113820273295.43997</v>
      </c>
      <c r="E354">
        <v>346000000000</v>
      </c>
      <c r="F354">
        <v>51737944</v>
      </c>
      <c r="G354">
        <v>7.3282772940000003</v>
      </c>
      <c r="H354">
        <v>48.28265511</v>
      </c>
      <c r="I354">
        <v>49</v>
      </c>
      <c r="J354">
        <v>82779978095.5</v>
      </c>
      <c r="K354">
        <v>37.5</v>
      </c>
    </row>
    <row r="355" spans="1:11" x14ac:dyDescent="0.3">
      <c r="A355" t="s">
        <v>85</v>
      </c>
      <c r="B355" t="s">
        <v>86</v>
      </c>
      <c r="C355">
        <v>2023</v>
      </c>
      <c r="D355">
        <v>99538228864.760025</v>
      </c>
      <c r="E355">
        <v>367000000000</v>
      </c>
      <c r="F355">
        <v>52321152</v>
      </c>
      <c r="G355">
        <v>0.84181955600000002</v>
      </c>
      <c r="H355">
        <v>40.133316530000002</v>
      </c>
      <c r="I355">
        <v>49</v>
      </c>
      <c r="J355">
        <v>113820273295.43997</v>
      </c>
      <c r="K355">
        <v>-12.55</v>
      </c>
    </row>
    <row r="356" spans="1:11" x14ac:dyDescent="0.3">
      <c r="A356" t="s">
        <v>85</v>
      </c>
      <c r="B356" t="s">
        <v>86</v>
      </c>
      <c r="C356">
        <v>2024</v>
      </c>
      <c r="D356">
        <v>99113042368.460098</v>
      </c>
      <c r="E356">
        <v>421000000000</v>
      </c>
      <c r="F356">
        <v>52886363</v>
      </c>
      <c r="G356">
        <v>1.493307288</v>
      </c>
      <c r="H356">
        <v>36.317993880000003</v>
      </c>
      <c r="I356">
        <v>49</v>
      </c>
      <c r="J356">
        <v>99538228864.760025</v>
      </c>
      <c r="K356">
        <v>-0.43</v>
      </c>
    </row>
    <row r="357" spans="1:11" x14ac:dyDescent="0.3">
      <c r="A357" t="s">
        <v>87</v>
      </c>
      <c r="B357" t="s">
        <v>88</v>
      </c>
      <c r="C357">
        <v>2015</v>
      </c>
      <c r="D357">
        <v>32014926.561000004</v>
      </c>
      <c r="E357">
        <v>966029600.89999998</v>
      </c>
      <c r="F357">
        <v>726682</v>
      </c>
      <c r="G357">
        <v>1.1473563229999999</v>
      </c>
      <c r="H357">
        <v>37.804952069999999</v>
      </c>
      <c r="I357">
        <v>164</v>
      </c>
    </row>
    <row r="358" spans="1:11" x14ac:dyDescent="0.3">
      <c r="A358" t="s">
        <v>87</v>
      </c>
      <c r="B358" t="s">
        <v>88</v>
      </c>
      <c r="C358">
        <v>2016</v>
      </c>
      <c r="D358">
        <v>66925501.343999997</v>
      </c>
      <c r="E358">
        <v>1012835493</v>
      </c>
      <c r="F358">
        <v>741741</v>
      </c>
      <c r="G358">
        <v>3.3204465550000002</v>
      </c>
      <c r="H358">
        <v>37.132879719999998</v>
      </c>
      <c r="I358">
        <v>166</v>
      </c>
      <c r="J358">
        <v>32014926.561000004</v>
      </c>
      <c r="K358">
        <v>109.04</v>
      </c>
    </row>
    <row r="359" spans="1:11" x14ac:dyDescent="0.3">
      <c r="A359" t="s">
        <v>87</v>
      </c>
      <c r="B359" t="s">
        <v>88</v>
      </c>
      <c r="C359">
        <v>2017</v>
      </c>
      <c r="D359">
        <v>77449097.745999992</v>
      </c>
      <c r="E359">
        <v>1077439757</v>
      </c>
      <c r="F359">
        <v>756669</v>
      </c>
      <c r="G359">
        <v>3.8157628749999999</v>
      </c>
      <c r="H359">
        <v>40.164358919999998</v>
      </c>
      <c r="I359">
        <v>164</v>
      </c>
      <c r="J359">
        <v>66925501.343999997</v>
      </c>
      <c r="K359">
        <v>15.72</v>
      </c>
    </row>
    <row r="360" spans="1:11" x14ac:dyDescent="0.3">
      <c r="A360" t="s">
        <v>87</v>
      </c>
      <c r="B360" t="s">
        <v>88</v>
      </c>
      <c r="C360">
        <v>2018</v>
      </c>
      <c r="D360">
        <v>91942475.170000017</v>
      </c>
      <c r="E360">
        <v>1188797449</v>
      </c>
      <c r="F360">
        <v>771590</v>
      </c>
      <c r="G360">
        <v>3.6424511470000001</v>
      </c>
      <c r="H360">
        <v>42.996153339999999</v>
      </c>
      <c r="I360">
        <v>159</v>
      </c>
      <c r="J360">
        <v>77449097.745999992</v>
      </c>
      <c r="K360">
        <v>18.71</v>
      </c>
    </row>
    <row r="361" spans="1:11" x14ac:dyDescent="0.3">
      <c r="A361" t="s">
        <v>87</v>
      </c>
      <c r="B361" t="s">
        <v>88</v>
      </c>
      <c r="C361">
        <v>2019</v>
      </c>
      <c r="D361">
        <v>97924460.743000045</v>
      </c>
      <c r="E361">
        <v>1195019532</v>
      </c>
      <c r="F361">
        <v>786578</v>
      </c>
      <c r="G361">
        <v>1.760780236</v>
      </c>
      <c r="H361">
        <v>42.268078539999998</v>
      </c>
      <c r="I361">
        <v>156</v>
      </c>
      <c r="J361">
        <v>91942475.170000017</v>
      </c>
      <c r="K361">
        <v>6.51</v>
      </c>
    </row>
    <row r="362" spans="1:11" x14ac:dyDescent="0.3">
      <c r="A362" t="s">
        <v>87</v>
      </c>
      <c r="B362" t="s">
        <v>88</v>
      </c>
      <c r="C362">
        <v>2020</v>
      </c>
      <c r="D362">
        <v>41366202.616999991</v>
      </c>
      <c r="E362">
        <v>1225039197</v>
      </c>
      <c r="F362">
        <v>802163</v>
      </c>
      <c r="G362">
        <v>-0.19555684200000001</v>
      </c>
      <c r="H362">
        <v>33.729934620000002</v>
      </c>
      <c r="I362">
        <v>157</v>
      </c>
      <c r="J362">
        <v>97924460.743000045</v>
      </c>
      <c r="K362">
        <v>-57.76</v>
      </c>
    </row>
    <row r="363" spans="1:11" x14ac:dyDescent="0.3">
      <c r="A363" t="s">
        <v>87</v>
      </c>
      <c r="B363" t="s">
        <v>88</v>
      </c>
      <c r="C363">
        <v>2021</v>
      </c>
      <c r="D363">
        <v>68444557.366000012</v>
      </c>
      <c r="E363">
        <v>1299039312</v>
      </c>
      <c r="F363">
        <v>818174</v>
      </c>
      <c r="G363">
        <v>2.0424523830000001</v>
      </c>
      <c r="H363">
        <v>42.067723649999998</v>
      </c>
      <c r="I363">
        <v>153</v>
      </c>
      <c r="J363">
        <v>41366202.616999991</v>
      </c>
      <c r="K363">
        <v>65.459999999999994</v>
      </c>
    </row>
    <row r="364" spans="1:11" x14ac:dyDescent="0.3">
      <c r="A364" t="s">
        <v>87</v>
      </c>
      <c r="B364" t="s">
        <v>88</v>
      </c>
      <c r="C364">
        <v>2022</v>
      </c>
      <c r="D364">
        <v>109275831.27700001</v>
      </c>
      <c r="E364">
        <v>1279542249</v>
      </c>
      <c r="F364">
        <v>834188</v>
      </c>
      <c r="G364">
        <v>2.453811746</v>
      </c>
      <c r="H364">
        <v>50.388770489999999</v>
      </c>
      <c r="I364">
        <v>151</v>
      </c>
      <c r="J364">
        <v>68444557.366000012</v>
      </c>
      <c r="K364">
        <v>59.66</v>
      </c>
    </row>
    <row r="365" spans="1:11" x14ac:dyDescent="0.3">
      <c r="A365" t="s">
        <v>87</v>
      </c>
      <c r="B365" t="s">
        <v>88</v>
      </c>
      <c r="C365">
        <v>2023</v>
      </c>
      <c r="D365">
        <v>57059595.518999994</v>
      </c>
      <c r="E365">
        <v>1465977684</v>
      </c>
      <c r="F365">
        <v>850387</v>
      </c>
      <c r="G365">
        <v>3.1866131800000002</v>
      </c>
      <c r="H365">
        <v>44.439863449999997</v>
      </c>
      <c r="I365">
        <v>153</v>
      </c>
      <c r="J365">
        <v>109275831.27700001</v>
      </c>
      <c r="K365">
        <v>-47.78</v>
      </c>
    </row>
    <row r="366" spans="1:11" x14ac:dyDescent="0.3">
      <c r="A366" t="s">
        <v>89</v>
      </c>
      <c r="B366" t="s">
        <v>90</v>
      </c>
      <c r="C366">
        <v>2015</v>
      </c>
      <c r="D366">
        <v>133658554.45299996</v>
      </c>
      <c r="E366">
        <v>1749857620</v>
      </c>
      <c r="F366">
        <v>512394</v>
      </c>
      <c r="G366">
        <v>0.93602650799999998</v>
      </c>
      <c r="H366">
        <v>94.008487020000004</v>
      </c>
      <c r="I366">
        <v>158</v>
      </c>
    </row>
    <row r="367" spans="1:11" x14ac:dyDescent="0.3">
      <c r="A367" t="s">
        <v>89</v>
      </c>
      <c r="B367" t="s">
        <v>90</v>
      </c>
      <c r="C367">
        <v>2016</v>
      </c>
      <c r="D367">
        <v>120722162</v>
      </c>
      <c r="E367">
        <v>1849789986</v>
      </c>
      <c r="F367">
        <v>512554</v>
      </c>
      <c r="G367">
        <v>4.2807148269999997</v>
      </c>
      <c r="H367">
        <v>95.378139860000005</v>
      </c>
      <c r="I367">
        <v>160</v>
      </c>
      <c r="J367">
        <v>133658554.45299996</v>
      </c>
      <c r="K367">
        <v>-9.68</v>
      </c>
    </row>
    <row r="368" spans="1:11" x14ac:dyDescent="0.3">
      <c r="A368" t="s">
        <v>89</v>
      </c>
      <c r="B368" t="s">
        <v>90</v>
      </c>
      <c r="C368">
        <v>2017</v>
      </c>
      <c r="D368">
        <v>99870605.077999994</v>
      </c>
      <c r="E368">
        <v>1996741540</v>
      </c>
      <c r="F368">
        <v>512893</v>
      </c>
      <c r="G368">
        <v>4.55131481</v>
      </c>
      <c r="H368">
        <v>100.0521339</v>
      </c>
      <c r="I368">
        <v>161</v>
      </c>
      <c r="J368">
        <v>120722162</v>
      </c>
      <c r="K368">
        <v>-17.27</v>
      </c>
    </row>
    <row r="369" spans="1:11" x14ac:dyDescent="0.3">
      <c r="A369" t="s">
        <v>89</v>
      </c>
      <c r="B369" t="s">
        <v>90</v>
      </c>
      <c r="C369">
        <v>2018</v>
      </c>
      <c r="D369">
        <v>150541132.12</v>
      </c>
      <c r="E369">
        <v>2205099507</v>
      </c>
      <c r="F369">
        <v>513415</v>
      </c>
      <c r="G369">
        <v>3.706964583</v>
      </c>
      <c r="H369">
        <v>105.8675241</v>
      </c>
      <c r="I369">
        <v>155</v>
      </c>
      <c r="J369">
        <v>99870605.077999994</v>
      </c>
      <c r="K369">
        <v>50.74</v>
      </c>
    </row>
    <row r="370" spans="1:11" x14ac:dyDescent="0.3">
      <c r="A370" t="s">
        <v>89</v>
      </c>
      <c r="B370" t="s">
        <v>90</v>
      </c>
      <c r="C370">
        <v>2019</v>
      </c>
      <c r="D370">
        <v>689454263.36000013</v>
      </c>
      <c r="E370">
        <v>2252177124</v>
      </c>
      <c r="F370">
        <v>514104</v>
      </c>
      <c r="G370">
        <v>6.9478263409999999</v>
      </c>
      <c r="H370">
        <v>103.60265649999999</v>
      </c>
      <c r="I370">
        <v>144</v>
      </c>
      <c r="J370">
        <v>150541132.12</v>
      </c>
      <c r="K370">
        <v>357.98</v>
      </c>
    </row>
    <row r="371" spans="1:11" x14ac:dyDescent="0.3">
      <c r="A371" t="s">
        <v>89</v>
      </c>
      <c r="B371" t="s">
        <v>90</v>
      </c>
      <c r="C371">
        <v>2020</v>
      </c>
      <c r="D371">
        <v>106181586.78300001</v>
      </c>
      <c r="E371">
        <v>1821565614</v>
      </c>
      <c r="F371">
        <v>514679</v>
      </c>
      <c r="G371">
        <v>-20.805275900000002</v>
      </c>
      <c r="H371">
        <v>78.393454590000005</v>
      </c>
      <c r="I371">
        <v>151</v>
      </c>
      <c r="J371">
        <v>689454263.36000013</v>
      </c>
      <c r="K371">
        <v>-84.6</v>
      </c>
    </row>
    <row r="372" spans="1:11" x14ac:dyDescent="0.3">
      <c r="A372" t="s">
        <v>89</v>
      </c>
      <c r="B372" t="s">
        <v>90</v>
      </c>
      <c r="C372">
        <v>2021</v>
      </c>
      <c r="D372">
        <v>469823995.58200002</v>
      </c>
      <c r="E372">
        <v>2051842619</v>
      </c>
      <c r="F372">
        <v>516649</v>
      </c>
      <c r="G372">
        <v>7.0335301069999998</v>
      </c>
      <c r="H372">
        <v>77.455058629999996</v>
      </c>
      <c r="I372">
        <v>144</v>
      </c>
      <c r="J372">
        <v>106181586.78300001</v>
      </c>
      <c r="K372">
        <v>342.47</v>
      </c>
    </row>
    <row r="373" spans="1:11" x14ac:dyDescent="0.3">
      <c r="A373" t="s">
        <v>89</v>
      </c>
      <c r="B373" t="s">
        <v>90</v>
      </c>
      <c r="C373">
        <v>2022</v>
      </c>
      <c r="D373">
        <v>619611673.98399973</v>
      </c>
      <c r="E373">
        <v>2247003344</v>
      </c>
      <c r="F373">
        <v>519741</v>
      </c>
      <c r="G373">
        <v>15.84367568</v>
      </c>
      <c r="H373">
        <v>96.994136850000004</v>
      </c>
      <c r="I373">
        <v>142</v>
      </c>
      <c r="J373">
        <v>469823995.58200002</v>
      </c>
      <c r="K373">
        <v>31.88</v>
      </c>
    </row>
    <row r="374" spans="1:11" x14ac:dyDescent="0.3">
      <c r="A374" t="s">
        <v>89</v>
      </c>
      <c r="B374" t="s">
        <v>90</v>
      </c>
      <c r="C374">
        <v>2023</v>
      </c>
      <c r="D374">
        <v>563368134.76599991</v>
      </c>
      <c r="E374">
        <v>2504525538</v>
      </c>
      <c r="F374">
        <v>522331</v>
      </c>
      <c r="G374">
        <v>4.7947613909999998</v>
      </c>
      <c r="H374">
        <v>95.032494330000006</v>
      </c>
      <c r="I374">
        <v>138</v>
      </c>
      <c r="J374">
        <v>619611673.98399973</v>
      </c>
      <c r="K374">
        <v>-9.08</v>
      </c>
    </row>
    <row r="375" spans="1:11" x14ac:dyDescent="0.3">
      <c r="A375" t="s">
        <v>89</v>
      </c>
      <c r="B375" t="s">
        <v>90</v>
      </c>
      <c r="C375">
        <v>2024</v>
      </c>
      <c r="D375">
        <v>136490197.903</v>
      </c>
      <c r="E375">
        <v>2713721857</v>
      </c>
      <c r="F375">
        <v>524877</v>
      </c>
      <c r="G375">
        <v>6.9888828099999998</v>
      </c>
      <c r="H375">
        <v>96.902256159999993</v>
      </c>
      <c r="I375">
        <v>125</v>
      </c>
      <c r="J375">
        <v>563368134.76599991</v>
      </c>
      <c r="K375">
        <v>-75.77</v>
      </c>
    </row>
    <row r="376" spans="1:11" x14ac:dyDescent="0.3">
      <c r="A376" t="s">
        <v>91</v>
      </c>
      <c r="B376" t="s">
        <v>92</v>
      </c>
      <c r="C376">
        <v>2015</v>
      </c>
      <c r="D376">
        <v>19156675562</v>
      </c>
      <c r="E376">
        <v>56441920888</v>
      </c>
      <c r="F376">
        <v>4818038</v>
      </c>
      <c r="G376">
        <v>3.6520809299999999</v>
      </c>
      <c r="H376">
        <v>60.75356215</v>
      </c>
      <c r="I376">
        <v>80</v>
      </c>
    </row>
    <row r="377" spans="1:11" x14ac:dyDescent="0.3">
      <c r="A377" t="s">
        <v>91</v>
      </c>
      <c r="B377" t="s">
        <v>92</v>
      </c>
      <c r="C377">
        <v>2016</v>
      </c>
      <c r="D377">
        <v>19815747639</v>
      </c>
      <c r="E377">
        <v>58847019588</v>
      </c>
      <c r="F377">
        <v>4866998</v>
      </c>
      <c r="G377">
        <v>4.2043232079999999</v>
      </c>
      <c r="H377">
        <v>62.178478290000001</v>
      </c>
      <c r="I377">
        <v>80</v>
      </c>
      <c r="J377">
        <v>19156675562</v>
      </c>
      <c r="K377">
        <v>3.44</v>
      </c>
    </row>
    <row r="378" spans="1:11" x14ac:dyDescent="0.3">
      <c r="A378" t="s">
        <v>91</v>
      </c>
      <c r="B378" t="s">
        <v>92</v>
      </c>
      <c r="C378">
        <v>2017</v>
      </c>
      <c r="D378">
        <v>22593280857.479004</v>
      </c>
      <c r="E378">
        <v>60516044661</v>
      </c>
      <c r="F378">
        <v>4913177</v>
      </c>
      <c r="G378">
        <v>4.1576991469999998</v>
      </c>
      <c r="H378">
        <v>65.071953699999995</v>
      </c>
      <c r="I378">
        <v>77</v>
      </c>
      <c r="J378">
        <v>19815747639</v>
      </c>
      <c r="K378">
        <v>14.02</v>
      </c>
    </row>
    <row r="379" spans="1:11" x14ac:dyDescent="0.3">
      <c r="A379" t="s">
        <v>91</v>
      </c>
      <c r="B379" t="s">
        <v>92</v>
      </c>
      <c r="C379">
        <v>2018</v>
      </c>
      <c r="D379">
        <v>22503562896.380001</v>
      </c>
      <c r="E379">
        <v>62567765946</v>
      </c>
      <c r="F379">
        <v>4957818</v>
      </c>
      <c r="G379">
        <v>2.8528595980000002</v>
      </c>
      <c r="H379">
        <v>66.787413790000002</v>
      </c>
      <c r="I379">
        <v>77</v>
      </c>
      <c r="J379">
        <v>22593280857.479004</v>
      </c>
      <c r="K379">
        <v>-0.4</v>
      </c>
    </row>
    <row r="380" spans="1:11" x14ac:dyDescent="0.3">
      <c r="A380" t="s">
        <v>91</v>
      </c>
      <c r="B380" t="s">
        <v>92</v>
      </c>
      <c r="C380">
        <v>2019</v>
      </c>
      <c r="D380">
        <v>22903986153.740002</v>
      </c>
      <c r="E380">
        <v>64753504730</v>
      </c>
      <c r="F380">
        <v>4999553</v>
      </c>
      <c r="G380">
        <v>2.7081391290000001</v>
      </c>
      <c r="H380">
        <v>65.419473249999996</v>
      </c>
      <c r="I380">
        <v>77</v>
      </c>
      <c r="J380">
        <v>22503562896.380001</v>
      </c>
      <c r="K380">
        <v>1.78</v>
      </c>
    </row>
    <row r="381" spans="1:11" x14ac:dyDescent="0.3">
      <c r="A381" t="s">
        <v>91</v>
      </c>
      <c r="B381" t="s">
        <v>92</v>
      </c>
      <c r="C381">
        <v>2020</v>
      </c>
      <c r="D381">
        <v>23245510306.840008</v>
      </c>
      <c r="E381">
        <v>62806591555</v>
      </c>
      <c r="F381">
        <v>5034320</v>
      </c>
      <c r="G381">
        <v>-4.1415934060000001</v>
      </c>
      <c r="H381">
        <v>59.74635507</v>
      </c>
      <c r="I381">
        <v>74</v>
      </c>
      <c r="J381">
        <v>22903986153.740002</v>
      </c>
      <c r="K381">
        <v>1.49</v>
      </c>
    </row>
    <row r="382" spans="1:11" x14ac:dyDescent="0.3">
      <c r="A382" t="s">
        <v>91</v>
      </c>
      <c r="B382" t="s">
        <v>92</v>
      </c>
      <c r="C382">
        <v>2021</v>
      </c>
      <c r="D382">
        <v>28690791130.439987</v>
      </c>
      <c r="E382">
        <v>65588938787</v>
      </c>
      <c r="F382">
        <v>5059988</v>
      </c>
      <c r="G382">
        <v>8.2181795399999995</v>
      </c>
      <c r="H382">
        <v>70.103693309999997</v>
      </c>
      <c r="I382">
        <v>74</v>
      </c>
      <c r="J382">
        <v>23245510306.840008</v>
      </c>
      <c r="K382">
        <v>23.43</v>
      </c>
    </row>
    <row r="383" spans="1:11" x14ac:dyDescent="0.3">
      <c r="A383" t="s">
        <v>91</v>
      </c>
      <c r="B383" t="s">
        <v>92</v>
      </c>
      <c r="C383">
        <v>2022</v>
      </c>
      <c r="D383">
        <v>30639390138.935005</v>
      </c>
      <c r="E383">
        <v>71001226361</v>
      </c>
      <c r="F383">
        <v>5081765</v>
      </c>
      <c r="G383">
        <v>5.4611945520000003</v>
      </c>
      <c r="H383">
        <v>79.052390320000001</v>
      </c>
      <c r="I383">
        <v>74</v>
      </c>
      <c r="J383">
        <v>28690791130.439987</v>
      </c>
      <c r="K383">
        <v>6.79</v>
      </c>
    </row>
    <row r="384" spans="1:11" x14ac:dyDescent="0.3">
      <c r="A384" t="s">
        <v>91</v>
      </c>
      <c r="B384" t="s">
        <v>92</v>
      </c>
      <c r="C384">
        <v>2023</v>
      </c>
      <c r="D384">
        <v>36211809347.332001</v>
      </c>
      <c r="E384">
        <v>87512637056</v>
      </c>
      <c r="F384">
        <v>5105525</v>
      </c>
      <c r="G384">
        <v>4.7918773239999997</v>
      </c>
      <c r="H384">
        <v>71.438031030000005</v>
      </c>
      <c r="I384">
        <v>68</v>
      </c>
      <c r="J384">
        <v>30639390138.935005</v>
      </c>
      <c r="K384">
        <v>18.190000000000001</v>
      </c>
    </row>
    <row r="385" spans="1:11" x14ac:dyDescent="0.3">
      <c r="A385" t="s">
        <v>91</v>
      </c>
      <c r="B385" t="s">
        <v>92</v>
      </c>
      <c r="C385">
        <v>2024</v>
      </c>
      <c r="D385">
        <v>39764631714.825996</v>
      </c>
      <c r="E385">
        <v>96715644331</v>
      </c>
      <c r="F385">
        <v>5129910</v>
      </c>
      <c r="G385">
        <v>4.0829244420000004</v>
      </c>
      <c r="H385">
        <v>69.853378640000003</v>
      </c>
      <c r="I385">
        <v>64</v>
      </c>
      <c r="J385">
        <v>36211809347.332001</v>
      </c>
      <c r="K385">
        <v>9.81</v>
      </c>
    </row>
    <row r="386" spans="1:11" x14ac:dyDescent="0.3">
      <c r="A386" t="s">
        <v>93</v>
      </c>
      <c r="B386" t="s">
        <v>94</v>
      </c>
      <c r="C386">
        <v>2016</v>
      </c>
      <c r="D386">
        <v>4312214558.1400003</v>
      </c>
      <c r="E386">
        <v>91370407900</v>
      </c>
      <c r="F386">
        <v>11265612</v>
      </c>
      <c r="G386">
        <v>0.512843096</v>
      </c>
      <c r="H386">
        <v>27.269113239999999</v>
      </c>
      <c r="I386">
        <v>117</v>
      </c>
    </row>
    <row r="387" spans="1:11" x14ac:dyDescent="0.3">
      <c r="A387" t="s">
        <v>93</v>
      </c>
      <c r="B387" t="s">
        <v>94</v>
      </c>
      <c r="C387">
        <v>2017</v>
      </c>
      <c r="D387">
        <v>4688376071.2000008</v>
      </c>
      <c r="E387">
        <v>96850649700</v>
      </c>
      <c r="F387">
        <v>11247829</v>
      </c>
      <c r="G387">
        <v>1.809791784</v>
      </c>
      <c r="H387">
        <v>26.222436380000001</v>
      </c>
      <c r="I387">
        <v>118</v>
      </c>
      <c r="J387">
        <v>4312214558.1400003</v>
      </c>
      <c r="K387">
        <v>8.7200000000000006</v>
      </c>
    </row>
    <row r="388" spans="1:11" x14ac:dyDescent="0.3">
      <c r="A388" t="s">
        <v>93</v>
      </c>
      <c r="B388" t="s">
        <v>94</v>
      </c>
      <c r="C388">
        <v>2018</v>
      </c>
      <c r="D388">
        <v>4627173455.3999996</v>
      </c>
      <c r="E388">
        <v>100000000000</v>
      </c>
      <c r="F388">
        <v>11227118</v>
      </c>
      <c r="G388">
        <v>2.2479485289999999</v>
      </c>
      <c r="H388">
        <v>27.083548449999999</v>
      </c>
      <c r="I388">
        <v>118</v>
      </c>
      <c r="J388">
        <v>4688376071.2000008</v>
      </c>
      <c r="K388">
        <v>-1.31</v>
      </c>
    </row>
    <row r="389" spans="1:11" x14ac:dyDescent="0.3">
      <c r="A389" t="s">
        <v>93</v>
      </c>
      <c r="B389" t="s">
        <v>94</v>
      </c>
      <c r="C389">
        <v>2019</v>
      </c>
      <c r="D389">
        <v>4124937756.3400011</v>
      </c>
      <c r="E389">
        <v>103000000000</v>
      </c>
      <c r="F389">
        <v>11202846</v>
      </c>
      <c r="G389">
        <v>-0.163087224</v>
      </c>
      <c r="H389">
        <v>22.820891140000001</v>
      </c>
      <c r="I389">
        <v>121</v>
      </c>
      <c r="J389">
        <v>4627173455.3999996</v>
      </c>
      <c r="K389">
        <v>-10.85</v>
      </c>
    </row>
    <row r="390" spans="1:11" x14ac:dyDescent="0.3">
      <c r="A390" t="s">
        <v>93</v>
      </c>
      <c r="B390" t="s">
        <v>94</v>
      </c>
      <c r="C390">
        <v>2020</v>
      </c>
      <c r="D390">
        <v>3405623890.2799997</v>
      </c>
      <c r="E390">
        <v>107000000000</v>
      </c>
      <c r="F390">
        <v>11176354</v>
      </c>
      <c r="G390">
        <v>-10.949435899999999</v>
      </c>
      <c r="H390">
        <v>15.682986809999999</v>
      </c>
      <c r="I390">
        <v>122</v>
      </c>
      <c r="J390">
        <v>4124937756.3400011</v>
      </c>
      <c r="K390">
        <v>-17.440000000000001</v>
      </c>
    </row>
    <row r="391" spans="1:11" x14ac:dyDescent="0.3">
      <c r="A391" t="s">
        <v>93</v>
      </c>
      <c r="B391" t="s">
        <v>94</v>
      </c>
      <c r="C391">
        <v>2021</v>
      </c>
      <c r="D391">
        <v>3932079990.6400008</v>
      </c>
      <c r="F391">
        <v>11122168</v>
      </c>
      <c r="G391">
        <v>1.2544873569999999</v>
      </c>
      <c r="H391">
        <v>80.023770310000003</v>
      </c>
      <c r="I391">
        <v>124</v>
      </c>
      <c r="J391">
        <v>3405623890.2799997</v>
      </c>
      <c r="K391">
        <v>15.46</v>
      </c>
    </row>
    <row r="392" spans="1:11" x14ac:dyDescent="0.3">
      <c r="A392" t="s">
        <v>93</v>
      </c>
      <c r="B392" t="s">
        <v>94</v>
      </c>
      <c r="C392">
        <v>2022</v>
      </c>
      <c r="D392">
        <v>4340017995.9000015</v>
      </c>
      <c r="F392">
        <v>11059820</v>
      </c>
      <c r="G392">
        <v>1.7746522769999999</v>
      </c>
      <c r="H392">
        <v>93.860775590000003</v>
      </c>
      <c r="I392">
        <v>120</v>
      </c>
      <c r="J392">
        <v>3932079990.6400008</v>
      </c>
      <c r="K392">
        <v>10.37</v>
      </c>
    </row>
    <row r="393" spans="1:11" x14ac:dyDescent="0.3">
      <c r="A393" t="s">
        <v>95</v>
      </c>
      <c r="B393" t="s">
        <v>96</v>
      </c>
      <c r="C393">
        <v>2017</v>
      </c>
      <c r="D393">
        <v>210027277.21299994</v>
      </c>
      <c r="E393">
        <v>3033433240</v>
      </c>
      <c r="F393">
        <v>160175</v>
      </c>
      <c r="G393">
        <v>-1.2762081009999999</v>
      </c>
      <c r="H393">
        <v>139.81244950000001</v>
      </c>
      <c r="I393">
        <v>157</v>
      </c>
    </row>
    <row r="394" spans="1:11" x14ac:dyDescent="0.3">
      <c r="A394" t="s">
        <v>95</v>
      </c>
      <c r="B394" t="s">
        <v>96</v>
      </c>
      <c r="C394">
        <v>2018</v>
      </c>
      <c r="D394">
        <v>230480021.86900005</v>
      </c>
      <c r="E394">
        <v>3046364804</v>
      </c>
      <c r="F394">
        <v>159336</v>
      </c>
      <c r="G394">
        <v>-2.1041113309999999</v>
      </c>
      <c r="H394">
        <v>155.2688588</v>
      </c>
      <c r="I394">
        <v>154</v>
      </c>
      <c r="J394">
        <v>210027277.21299994</v>
      </c>
      <c r="K394">
        <v>9.74</v>
      </c>
    </row>
    <row r="395" spans="1:11" x14ac:dyDescent="0.3">
      <c r="A395" t="s">
        <v>95</v>
      </c>
      <c r="B395" t="s">
        <v>96</v>
      </c>
      <c r="C395">
        <v>2019</v>
      </c>
      <c r="D395">
        <v>192672051.00799993</v>
      </c>
      <c r="E395">
        <v>3026124134</v>
      </c>
      <c r="F395">
        <v>157441</v>
      </c>
      <c r="G395">
        <v>-3.206132303</v>
      </c>
      <c r="I395">
        <v>153</v>
      </c>
      <c r="J395">
        <v>230480021.86900005</v>
      </c>
      <c r="K395">
        <v>-16.399999999999999</v>
      </c>
    </row>
    <row r="396" spans="1:11" x14ac:dyDescent="0.3">
      <c r="A396" t="s">
        <v>95</v>
      </c>
      <c r="B396" t="s">
        <v>96</v>
      </c>
      <c r="C396">
        <v>2020</v>
      </c>
      <c r="D396">
        <v>164286975.04199997</v>
      </c>
      <c r="E396">
        <v>2534327598</v>
      </c>
      <c r="F396">
        <v>155482</v>
      </c>
      <c r="G396">
        <v>-18.438469609999999</v>
      </c>
      <c r="I396">
        <v>147</v>
      </c>
      <c r="J396">
        <v>192672051.00799993</v>
      </c>
      <c r="K396">
        <v>-14.73</v>
      </c>
    </row>
    <row r="397" spans="1:11" x14ac:dyDescent="0.3">
      <c r="A397" t="s">
        <v>97</v>
      </c>
      <c r="B397" t="s">
        <v>98</v>
      </c>
      <c r="C397">
        <v>2020</v>
      </c>
      <c r="D397">
        <v>44275514.104000002</v>
      </c>
      <c r="E397">
        <v>5655357984</v>
      </c>
      <c r="F397">
        <v>68684</v>
      </c>
      <c r="G397">
        <v>-4.9548069650000004</v>
      </c>
      <c r="H397">
        <v>105.47279020000001</v>
      </c>
      <c r="I397">
        <v>156</v>
      </c>
    </row>
    <row r="398" spans="1:11" x14ac:dyDescent="0.3">
      <c r="A398" t="s">
        <v>97</v>
      </c>
      <c r="B398" t="s">
        <v>98</v>
      </c>
      <c r="C398">
        <v>2021</v>
      </c>
      <c r="D398">
        <v>34164522.482999995</v>
      </c>
      <c r="E398">
        <v>6060813808</v>
      </c>
      <c r="F398">
        <v>70108</v>
      </c>
      <c r="G398">
        <v>4.8694165539999998</v>
      </c>
      <c r="I398">
        <v>159</v>
      </c>
      <c r="J398">
        <v>44275514.104000002</v>
      </c>
      <c r="K398">
        <v>-22.84</v>
      </c>
    </row>
    <row r="399" spans="1:11" x14ac:dyDescent="0.3">
      <c r="A399" t="s">
        <v>97</v>
      </c>
      <c r="B399" t="s">
        <v>98</v>
      </c>
      <c r="C399">
        <v>2022</v>
      </c>
      <c r="D399">
        <v>75829649.011000007</v>
      </c>
      <c r="E399">
        <v>6653516041</v>
      </c>
      <c r="F399">
        <v>71591</v>
      </c>
      <c r="G399">
        <v>5.6607936690000002</v>
      </c>
      <c r="I399">
        <v>154</v>
      </c>
      <c r="J399">
        <v>34164522.482999995</v>
      </c>
      <c r="K399">
        <v>121.95</v>
      </c>
    </row>
    <row r="400" spans="1:11" x14ac:dyDescent="0.3">
      <c r="A400" t="s">
        <v>97</v>
      </c>
      <c r="B400" t="s">
        <v>98</v>
      </c>
      <c r="C400">
        <v>2023</v>
      </c>
      <c r="D400">
        <v>90652560.392000005</v>
      </c>
      <c r="E400">
        <v>7308564549</v>
      </c>
      <c r="F400">
        <v>73038</v>
      </c>
      <c r="G400">
        <v>5.8043696120000003</v>
      </c>
      <c r="I400">
        <v>149</v>
      </c>
      <c r="J400">
        <v>75829649.011000007</v>
      </c>
      <c r="K400">
        <v>19.55</v>
      </c>
    </row>
    <row r="401" spans="1:11" x14ac:dyDescent="0.3">
      <c r="A401" t="s">
        <v>97</v>
      </c>
      <c r="B401" t="s">
        <v>98</v>
      </c>
      <c r="C401">
        <v>2024</v>
      </c>
      <c r="D401">
        <v>112793691.736</v>
      </c>
      <c r="E401">
        <v>7765336505</v>
      </c>
      <c r="F401">
        <v>74457</v>
      </c>
      <c r="G401">
        <v>3.756411972</v>
      </c>
      <c r="I401">
        <v>126</v>
      </c>
      <c r="J401">
        <v>90652560.392000005</v>
      </c>
      <c r="K401">
        <v>24.42</v>
      </c>
    </row>
    <row r="402" spans="1:11" x14ac:dyDescent="0.3">
      <c r="A402" t="s">
        <v>99</v>
      </c>
      <c r="B402" t="s">
        <v>100</v>
      </c>
      <c r="C402">
        <v>2015</v>
      </c>
      <c r="D402">
        <v>6717719935.3010006</v>
      </c>
      <c r="E402">
        <v>19909269065</v>
      </c>
      <c r="F402">
        <v>1219502</v>
      </c>
      <c r="G402">
        <v>3.4189203890000002</v>
      </c>
      <c r="H402">
        <v>137.27642650000001</v>
      </c>
      <c r="I402">
        <v>106</v>
      </c>
    </row>
    <row r="403" spans="1:11" x14ac:dyDescent="0.3">
      <c r="A403" t="s">
        <v>99</v>
      </c>
      <c r="B403" t="s">
        <v>100</v>
      </c>
      <c r="C403">
        <v>2016</v>
      </c>
      <c r="D403">
        <v>6008677678.8319998</v>
      </c>
      <c r="E403">
        <v>21046452117</v>
      </c>
      <c r="F403">
        <v>1237112</v>
      </c>
      <c r="G403">
        <v>6.5735908089999997</v>
      </c>
      <c r="H403">
        <v>139.0220985</v>
      </c>
      <c r="I403">
        <v>108</v>
      </c>
      <c r="J403">
        <v>6717719935.3010006</v>
      </c>
      <c r="K403">
        <v>-10.55</v>
      </c>
    </row>
    <row r="404" spans="1:11" x14ac:dyDescent="0.3">
      <c r="A404" t="s">
        <v>99</v>
      </c>
      <c r="B404" t="s">
        <v>100</v>
      </c>
      <c r="C404">
        <v>2017</v>
      </c>
      <c r="D404">
        <v>6706648753.4750004</v>
      </c>
      <c r="E404">
        <v>22946583376</v>
      </c>
      <c r="F404">
        <v>1254275</v>
      </c>
      <c r="G404">
        <v>5.750832366</v>
      </c>
      <c r="H404">
        <v>148.01335560000001</v>
      </c>
      <c r="I404">
        <v>109</v>
      </c>
      <c r="J404">
        <v>6008677678.8319998</v>
      </c>
      <c r="K404">
        <v>11.62</v>
      </c>
    </row>
    <row r="405" spans="1:11" x14ac:dyDescent="0.3">
      <c r="A405" t="s">
        <v>99</v>
      </c>
      <c r="B405" t="s">
        <v>100</v>
      </c>
      <c r="C405">
        <v>2018</v>
      </c>
      <c r="D405">
        <v>10179547594.976992</v>
      </c>
      <c r="E405">
        <v>25754011492</v>
      </c>
      <c r="F405">
        <v>1270737</v>
      </c>
      <c r="G405">
        <v>6.2716636010000002</v>
      </c>
      <c r="H405">
        <v>147.62356740000001</v>
      </c>
      <c r="I405">
        <v>100</v>
      </c>
      <c r="J405">
        <v>6706648753.4750004</v>
      </c>
      <c r="K405">
        <v>51.78</v>
      </c>
    </row>
    <row r="406" spans="1:11" x14ac:dyDescent="0.3">
      <c r="A406" t="s">
        <v>99</v>
      </c>
      <c r="B406" t="s">
        <v>100</v>
      </c>
      <c r="C406">
        <v>2019</v>
      </c>
      <c r="D406">
        <v>7041797703.4130011</v>
      </c>
      <c r="E406">
        <v>26196660680</v>
      </c>
      <c r="F406">
        <v>1286671</v>
      </c>
      <c r="G406">
        <v>5.8755958340000003</v>
      </c>
      <c r="H406">
        <v>150.50616310000001</v>
      </c>
      <c r="I406">
        <v>111</v>
      </c>
      <c r="J406">
        <v>10179547594.976992</v>
      </c>
      <c r="K406">
        <v>-30.82</v>
      </c>
    </row>
    <row r="407" spans="1:11" x14ac:dyDescent="0.3">
      <c r="A407" t="s">
        <v>99</v>
      </c>
      <c r="B407" t="s">
        <v>100</v>
      </c>
      <c r="C407">
        <v>2020</v>
      </c>
      <c r="D407">
        <v>6274191616.3439999</v>
      </c>
      <c r="E407">
        <v>25555082267</v>
      </c>
      <c r="F407">
        <v>1302247</v>
      </c>
      <c r="G407">
        <v>-3.2206301860000002</v>
      </c>
      <c r="H407">
        <v>160.66871649999999</v>
      </c>
      <c r="I407">
        <v>111</v>
      </c>
      <c r="J407">
        <v>7041797703.4130011</v>
      </c>
      <c r="K407">
        <v>-10.9</v>
      </c>
    </row>
    <row r="408" spans="1:11" x14ac:dyDescent="0.3">
      <c r="A408" t="s">
        <v>99</v>
      </c>
      <c r="B408" t="s">
        <v>100</v>
      </c>
      <c r="C408">
        <v>2021</v>
      </c>
      <c r="D408">
        <v>8013534225.6089964</v>
      </c>
      <c r="E408">
        <v>30372637513</v>
      </c>
      <c r="F408">
        <v>1317309</v>
      </c>
      <c r="G408">
        <v>11.397559080000001</v>
      </c>
      <c r="H408">
        <v>176.8277368</v>
      </c>
      <c r="I408">
        <v>109</v>
      </c>
      <c r="J408">
        <v>6274191616.3439999</v>
      </c>
      <c r="K408">
        <v>27.72</v>
      </c>
    </row>
    <row r="409" spans="1:11" x14ac:dyDescent="0.3">
      <c r="A409" t="s">
        <v>99</v>
      </c>
      <c r="B409" t="s">
        <v>100</v>
      </c>
      <c r="C409">
        <v>2022</v>
      </c>
      <c r="D409">
        <v>8822507602.0309963</v>
      </c>
      <c r="E409">
        <v>31218047044</v>
      </c>
      <c r="F409">
        <v>1331370</v>
      </c>
      <c r="G409">
        <v>8.7385468490000004</v>
      </c>
      <c r="H409">
        <v>205.75353029999999</v>
      </c>
      <c r="I409">
        <v>107</v>
      </c>
      <c r="J409">
        <v>8013534225.6089964</v>
      </c>
      <c r="K409">
        <v>10.1</v>
      </c>
    </row>
    <row r="410" spans="1:11" x14ac:dyDescent="0.3">
      <c r="A410" t="s">
        <v>99</v>
      </c>
      <c r="B410" t="s">
        <v>100</v>
      </c>
      <c r="C410">
        <v>2023</v>
      </c>
      <c r="D410">
        <v>10264752392.603001</v>
      </c>
      <c r="E410">
        <v>35075440603</v>
      </c>
      <c r="F410">
        <v>1344976</v>
      </c>
      <c r="G410">
        <v>3.620453682</v>
      </c>
      <c r="H410">
        <v>190.74095800000001</v>
      </c>
      <c r="I410">
        <v>105</v>
      </c>
      <c r="J410">
        <v>8822507602.0309963</v>
      </c>
      <c r="K410">
        <v>16.350000000000001</v>
      </c>
    </row>
    <row r="411" spans="1:11" x14ac:dyDescent="0.3">
      <c r="A411" t="s">
        <v>99</v>
      </c>
      <c r="B411" t="s">
        <v>100</v>
      </c>
      <c r="C411">
        <v>2024</v>
      </c>
      <c r="D411">
        <v>11227375085.834999</v>
      </c>
      <c r="E411">
        <v>37634551821</v>
      </c>
      <c r="F411">
        <v>1358282</v>
      </c>
      <c r="G411">
        <v>3.940769344</v>
      </c>
      <c r="H411">
        <v>190.40287090000001</v>
      </c>
      <c r="I411">
        <v>97</v>
      </c>
      <c r="J411">
        <v>10264752392.603001</v>
      </c>
      <c r="K411">
        <v>9.3800000000000008</v>
      </c>
    </row>
    <row r="412" spans="1:11" x14ac:dyDescent="0.3">
      <c r="A412" t="s">
        <v>101</v>
      </c>
      <c r="B412" t="s">
        <v>102</v>
      </c>
      <c r="C412">
        <v>2015</v>
      </c>
      <c r="D412">
        <v>314388245202</v>
      </c>
      <c r="E412">
        <v>189000000000</v>
      </c>
      <c r="F412">
        <v>10546059</v>
      </c>
      <c r="G412">
        <v>4.958758489</v>
      </c>
      <c r="H412">
        <v>154.01840100000001</v>
      </c>
      <c r="I412">
        <v>25</v>
      </c>
    </row>
    <row r="413" spans="1:11" x14ac:dyDescent="0.3">
      <c r="A413" t="s">
        <v>101</v>
      </c>
      <c r="B413" t="s">
        <v>102</v>
      </c>
      <c r="C413">
        <v>2016</v>
      </c>
      <c r="D413">
        <v>324174664380</v>
      </c>
      <c r="E413">
        <v>198000000000</v>
      </c>
      <c r="F413">
        <v>10566332</v>
      </c>
      <c r="G413">
        <v>2.580870139</v>
      </c>
      <c r="H413">
        <v>148.5470047</v>
      </c>
      <c r="I413">
        <v>25</v>
      </c>
      <c r="J413">
        <v>314388245202</v>
      </c>
      <c r="K413">
        <v>3.11</v>
      </c>
    </row>
    <row r="414" spans="1:11" x14ac:dyDescent="0.3">
      <c r="A414" t="s">
        <v>101</v>
      </c>
      <c r="B414" t="s">
        <v>102</v>
      </c>
      <c r="C414">
        <v>2017</v>
      </c>
      <c r="D414">
        <v>364462721046</v>
      </c>
      <c r="E414">
        <v>222000000000</v>
      </c>
      <c r="F414">
        <v>10594438</v>
      </c>
      <c r="G414">
        <v>5.1735652999999999</v>
      </c>
      <c r="H414">
        <v>147.7508349</v>
      </c>
      <c r="I414">
        <v>25</v>
      </c>
      <c r="J414">
        <v>324174664380</v>
      </c>
      <c r="K414">
        <v>12.43</v>
      </c>
    </row>
    <row r="415" spans="1:11" x14ac:dyDescent="0.3">
      <c r="A415" t="s">
        <v>101</v>
      </c>
      <c r="B415" t="s">
        <v>102</v>
      </c>
      <c r="C415">
        <v>2018</v>
      </c>
      <c r="D415">
        <v>405043155418</v>
      </c>
      <c r="E415">
        <v>252000000000</v>
      </c>
      <c r="F415">
        <v>10629928</v>
      </c>
      <c r="G415">
        <v>2.8303058829999999</v>
      </c>
      <c r="H415">
        <v>145.1417179</v>
      </c>
      <c r="I415">
        <v>25</v>
      </c>
      <c r="J415">
        <v>364462721046</v>
      </c>
      <c r="K415">
        <v>11.13</v>
      </c>
    </row>
    <row r="416" spans="1:11" x14ac:dyDescent="0.3">
      <c r="A416" t="s">
        <v>101</v>
      </c>
      <c r="B416" t="s">
        <v>102</v>
      </c>
      <c r="C416">
        <v>2019</v>
      </c>
      <c r="D416">
        <v>398939420670</v>
      </c>
      <c r="E416">
        <v>257000000000</v>
      </c>
      <c r="F416">
        <v>10671870</v>
      </c>
      <c r="G416">
        <v>3.5657765810000002</v>
      </c>
      <c r="H416">
        <v>138.15460999999999</v>
      </c>
      <c r="I416">
        <v>25</v>
      </c>
      <c r="J416">
        <v>405043155418</v>
      </c>
      <c r="K416">
        <v>-1.51</v>
      </c>
    </row>
    <row r="417" spans="1:11" x14ac:dyDescent="0.3">
      <c r="A417" t="s">
        <v>101</v>
      </c>
      <c r="B417" t="s">
        <v>102</v>
      </c>
      <c r="C417">
        <v>2020</v>
      </c>
      <c r="D417">
        <v>384614759610</v>
      </c>
      <c r="E417">
        <v>251000000000</v>
      </c>
      <c r="F417">
        <v>10697858</v>
      </c>
      <c r="G417">
        <v>-5.3048795550000003</v>
      </c>
      <c r="H417">
        <v>128.78043030000001</v>
      </c>
      <c r="I417">
        <v>24</v>
      </c>
      <c r="J417">
        <v>398939420670</v>
      </c>
      <c r="K417">
        <v>-3.59</v>
      </c>
    </row>
    <row r="418" spans="1:11" x14ac:dyDescent="0.3">
      <c r="A418" t="s">
        <v>101</v>
      </c>
      <c r="B418" t="s">
        <v>102</v>
      </c>
      <c r="C418">
        <v>2021</v>
      </c>
      <c r="D418">
        <v>454336822044</v>
      </c>
      <c r="E418">
        <v>291000000000</v>
      </c>
      <c r="F418">
        <v>10505772</v>
      </c>
      <c r="G418">
        <v>4.0290183209999997</v>
      </c>
      <c r="H418">
        <v>137.37811629999999</v>
      </c>
      <c r="I418">
        <v>26</v>
      </c>
      <c r="J418">
        <v>384614759610</v>
      </c>
      <c r="K418">
        <v>18.13</v>
      </c>
    </row>
    <row r="419" spans="1:11" x14ac:dyDescent="0.3">
      <c r="A419" t="s">
        <v>101</v>
      </c>
      <c r="B419" t="s">
        <v>102</v>
      </c>
      <c r="C419">
        <v>2022</v>
      </c>
      <c r="D419">
        <v>483378262234</v>
      </c>
      <c r="E419">
        <v>302000000000</v>
      </c>
      <c r="F419">
        <v>10672118</v>
      </c>
      <c r="G419">
        <v>2.847170658</v>
      </c>
      <c r="H419">
        <v>144.01149409999999</v>
      </c>
      <c r="I419">
        <v>26</v>
      </c>
      <c r="J419">
        <v>454336822044</v>
      </c>
      <c r="K419">
        <v>6.39</v>
      </c>
    </row>
    <row r="420" spans="1:11" x14ac:dyDescent="0.3">
      <c r="A420" t="s">
        <v>101</v>
      </c>
      <c r="B420" t="s">
        <v>102</v>
      </c>
      <c r="C420">
        <v>2023</v>
      </c>
      <c r="D420">
        <v>506655042436</v>
      </c>
      <c r="E420">
        <v>345000000000</v>
      </c>
      <c r="F420">
        <v>10864042</v>
      </c>
      <c r="G420">
        <v>4.7580330999999997E-2</v>
      </c>
      <c r="H420">
        <v>131.8925983</v>
      </c>
      <c r="I420">
        <v>26</v>
      </c>
      <c r="J420">
        <v>483378262234</v>
      </c>
      <c r="K420">
        <v>4.82</v>
      </c>
    </row>
    <row r="421" spans="1:11" x14ac:dyDescent="0.3">
      <c r="A421" t="s">
        <v>101</v>
      </c>
      <c r="B421" t="s">
        <v>102</v>
      </c>
      <c r="C421">
        <v>2024</v>
      </c>
      <c r="D421">
        <v>518584864890</v>
      </c>
      <c r="E421">
        <v>347000000000</v>
      </c>
      <c r="F421">
        <v>10905028</v>
      </c>
      <c r="G421">
        <v>1.251310962</v>
      </c>
      <c r="H421">
        <v>131.4666081</v>
      </c>
      <c r="I421">
        <v>24</v>
      </c>
      <c r="J421">
        <v>506655042436</v>
      </c>
      <c r="K421">
        <v>2.35</v>
      </c>
    </row>
    <row r="422" spans="1:11" x14ac:dyDescent="0.3">
      <c r="A422" t="s">
        <v>103</v>
      </c>
      <c r="B422" t="s">
        <v>104</v>
      </c>
      <c r="C422">
        <v>2021</v>
      </c>
      <c r="D422">
        <v>7658600080.5089951</v>
      </c>
      <c r="E422">
        <v>3392796953</v>
      </c>
      <c r="F422">
        <v>1121248</v>
      </c>
      <c r="G422">
        <v>4.4071566759999996</v>
      </c>
      <c r="H422">
        <v>263.4777287</v>
      </c>
      <c r="I422">
        <v>111</v>
      </c>
    </row>
    <row r="423" spans="1:11" x14ac:dyDescent="0.3">
      <c r="A423" t="s">
        <v>103</v>
      </c>
      <c r="B423" t="s">
        <v>104</v>
      </c>
      <c r="C423">
        <v>2022</v>
      </c>
      <c r="D423">
        <v>9216604759.7199936</v>
      </c>
      <c r="E423">
        <v>3562814909</v>
      </c>
      <c r="F423">
        <v>1137096</v>
      </c>
      <c r="G423">
        <v>5.1665370289999997</v>
      </c>
      <c r="H423">
        <v>302.2854092</v>
      </c>
      <c r="I423">
        <v>105</v>
      </c>
      <c r="J423">
        <v>7658600080.5089951</v>
      </c>
      <c r="K423">
        <v>20.34</v>
      </c>
    </row>
    <row r="424" spans="1:11" x14ac:dyDescent="0.3">
      <c r="A424" t="s">
        <v>103</v>
      </c>
      <c r="B424" t="s">
        <v>104</v>
      </c>
      <c r="C424">
        <v>2023</v>
      </c>
      <c r="D424">
        <v>9569431364.6420021</v>
      </c>
      <c r="E424">
        <v>3898447007</v>
      </c>
      <c r="F424">
        <v>1152944</v>
      </c>
      <c r="G424">
        <v>6.8073352939999996</v>
      </c>
      <c r="H424">
        <v>285.9020438</v>
      </c>
      <c r="I424">
        <v>107</v>
      </c>
      <c r="J424">
        <v>9216604759.7199936</v>
      </c>
      <c r="K424">
        <v>3.83</v>
      </c>
    </row>
    <row r="425" spans="1:11" x14ac:dyDescent="0.3">
      <c r="A425" t="s">
        <v>105</v>
      </c>
      <c r="B425" t="s">
        <v>106</v>
      </c>
      <c r="C425">
        <v>2016</v>
      </c>
      <c r="D425">
        <v>35450300.103000015</v>
      </c>
      <c r="E425">
        <v>612711111.10000002</v>
      </c>
      <c r="F425">
        <v>69606</v>
      </c>
      <c r="G425">
        <v>1.447245565</v>
      </c>
      <c r="I425">
        <v>167</v>
      </c>
    </row>
    <row r="426" spans="1:11" x14ac:dyDescent="0.3">
      <c r="A426" t="s">
        <v>105</v>
      </c>
      <c r="B426" t="s">
        <v>106</v>
      </c>
      <c r="C426">
        <v>2017</v>
      </c>
      <c r="D426">
        <v>23452782.252000012</v>
      </c>
      <c r="E426">
        <v>563355555.60000002</v>
      </c>
      <c r="F426">
        <v>68496</v>
      </c>
      <c r="G426">
        <v>-7.544363755</v>
      </c>
      <c r="I426">
        <v>172</v>
      </c>
      <c r="J426">
        <v>35450300.103000015</v>
      </c>
      <c r="K426">
        <v>-33.840000000000003</v>
      </c>
    </row>
    <row r="427" spans="1:11" x14ac:dyDescent="0.3">
      <c r="A427" t="s">
        <v>105</v>
      </c>
      <c r="B427" t="s">
        <v>106</v>
      </c>
      <c r="C427">
        <v>2018</v>
      </c>
      <c r="D427">
        <v>20630418.065000001</v>
      </c>
      <c r="E427">
        <v>628244444.39999998</v>
      </c>
      <c r="F427">
        <v>68174</v>
      </c>
      <c r="G427">
        <v>2.9640106099999999</v>
      </c>
      <c r="I427">
        <v>169</v>
      </c>
      <c r="J427">
        <v>23452782.252000012</v>
      </c>
      <c r="K427">
        <v>-12.03</v>
      </c>
    </row>
    <row r="428" spans="1:11" x14ac:dyDescent="0.3">
      <c r="A428" t="s">
        <v>105</v>
      </c>
      <c r="B428" t="s">
        <v>106</v>
      </c>
      <c r="C428">
        <v>2019</v>
      </c>
      <c r="D428">
        <v>26424863.739000008</v>
      </c>
      <c r="E428">
        <v>644259259.29999995</v>
      </c>
      <c r="F428">
        <v>67880</v>
      </c>
      <c r="G428">
        <v>3.9480975790000001</v>
      </c>
      <c r="I428">
        <v>164</v>
      </c>
      <c r="J428">
        <v>20630418.065000001</v>
      </c>
      <c r="K428">
        <v>28.09</v>
      </c>
    </row>
    <row r="429" spans="1:11" x14ac:dyDescent="0.3">
      <c r="A429" t="s">
        <v>105</v>
      </c>
      <c r="B429" t="s">
        <v>106</v>
      </c>
      <c r="C429">
        <v>2020</v>
      </c>
      <c r="D429">
        <v>26289230.011</v>
      </c>
      <c r="E429">
        <v>528944444.39999998</v>
      </c>
      <c r="F429">
        <v>67573</v>
      </c>
      <c r="G429">
        <v>-15.706402450000001</v>
      </c>
      <c r="I429">
        <v>160</v>
      </c>
      <c r="J429">
        <v>26424863.739000008</v>
      </c>
      <c r="K429">
        <v>-0.51</v>
      </c>
    </row>
    <row r="430" spans="1:11" x14ac:dyDescent="0.3">
      <c r="A430" t="s">
        <v>105</v>
      </c>
      <c r="B430" t="s">
        <v>106</v>
      </c>
      <c r="C430">
        <v>2021</v>
      </c>
      <c r="D430">
        <v>28290383.559999995</v>
      </c>
      <c r="E430">
        <v>562911111.10000002</v>
      </c>
      <c r="F430">
        <v>67202</v>
      </c>
      <c r="G430">
        <v>5.3798383899999997</v>
      </c>
      <c r="I430">
        <v>160</v>
      </c>
      <c r="J430">
        <v>26289230.011</v>
      </c>
      <c r="K430">
        <v>7.61</v>
      </c>
    </row>
    <row r="431" spans="1:11" x14ac:dyDescent="0.3">
      <c r="A431" t="s">
        <v>105</v>
      </c>
      <c r="B431" t="s">
        <v>106</v>
      </c>
      <c r="C431">
        <v>2022</v>
      </c>
      <c r="D431">
        <v>44808568.522999994</v>
      </c>
      <c r="E431">
        <v>623062963</v>
      </c>
      <c r="F431">
        <v>66826</v>
      </c>
      <c r="G431">
        <v>10.39680766</v>
      </c>
      <c r="I431">
        <v>158</v>
      </c>
      <c r="J431">
        <v>28290383.559999995</v>
      </c>
      <c r="K431">
        <v>58.39</v>
      </c>
    </row>
    <row r="432" spans="1:11" x14ac:dyDescent="0.3">
      <c r="A432" t="s">
        <v>105</v>
      </c>
      <c r="B432" t="s">
        <v>106</v>
      </c>
      <c r="C432">
        <v>2023</v>
      </c>
      <c r="D432">
        <v>44084460.361000016</v>
      </c>
      <c r="E432">
        <v>659311111.10000002</v>
      </c>
      <c r="F432">
        <v>66510</v>
      </c>
      <c r="G432">
        <v>3.6522101220000001</v>
      </c>
      <c r="I432">
        <v>155</v>
      </c>
      <c r="J432">
        <v>44808568.522999994</v>
      </c>
      <c r="K432">
        <v>-1.62</v>
      </c>
    </row>
    <row r="433" spans="1:11" x14ac:dyDescent="0.3">
      <c r="A433" t="s">
        <v>107</v>
      </c>
      <c r="B433" t="s">
        <v>108</v>
      </c>
      <c r="C433">
        <v>2015</v>
      </c>
      <c r="D433">
        <v>189237633371</v>
      </c>
      <c r="E433">
        <v>302000000000</v>
      </c>
      <c r="F433">
        <v>5683483</v>
      </c>
      <c r="G433">
        <v>2.1044145639999998</v>
      </c>
      <c r="H433">
        <v>105.1303625</v>
      </c>
      <c r="I433">
        <v>32</v>
      </c>
    </row>
    <row r="434" spans="1:11" x14ac:dyDescent="0.3">
      <c r="A434" t="s">
        <v>107</v>
      </c>
      <c r="B434" t="s">
        <v>108</v>
      </c>
      <c r="C434">
        <v>2016</v>
      </c>
      <c r="D434">
        <v>189458026119.44293</v>
      </c>
      <c r="E434">
        <v>312000000000</v>
      </c>
      <c r="F434">
        <v>5728010</v>
      </c>
      <c r="G434">
        <v>3.0730454919999999</v>
      </c>
      <c r="H434">
        <v>101.45278380000001</v>
      </c>
      <c r="I434">
        <v>32</v>
      </c>
      <c r="J434">
        <v>189237633371</v>
      </c>
      <c r="K434">
        <v>0.12</v>
      </c>
    </row>
    <row r="435" spans="1:11" x14ac:dyDescent="0.3">
      <c r="A435" t="s">
        <v>107</v>
      </c>
      <c r="B435" t="s">
        <v>108</v>
      </c>
      <c r="C435">
        <v>2017</v>
      </c>
      <c r="D435">
        <v>202696982628.93997</v>
      </c>
      <c r="E435">
        <v>332000000000</v>
      </c>
      <c r="F435">
        <v>5764980</v>
      </c>
      <c r="G435">
        <v>3.0564772389999999</v>
      </c>
      <c r="H435">
        <v>104.21567690000001</v>
      </c>
      <c r="I435">
        <v>33</v>
      </c>
      <c r="J435">
        <v>189458026119.44293</v>
      </c>
      <c r="K435">
        <v>6.99</v>
      </c>
    </row>
    <row r="436" spans="1:11" x14ac:dyDescent="0.3">
      <c r="A436" t="s">
        <v>107</v>
      </c>
      <c r="B436" t="s">
        <v>108</v>
      </c>
      <c r="C436">
        <v>2018</v>
      </c>
      <c r="D436">
        <v>217042898828.03</v>
      </c>
      <c r="E436">
        <v>355000000000</v>
      </c>
      <c r="F436">
        <v>5793636</v>
      </c>
      <c r="G436">
        <v>1.8600074900000001</v>
      </c>
      <c r="H436">
        <v>108.8139855</v>
      </c>
      <c r="I436">
        <v>32</v>
      </c>
      <c r="J436">
        <v>202696982628.93997</v>
      </c>
      <c r="K436">
        <v>7.08</v>
      </c>
    </row>
    <row r="437" spans="1:11" x14ac:dyDescent="0.3">
      <c r="A437" t="s">
        <v>107</v>
      </c>
      <c r="B437" t="s">
        <v>108</v>
      </c>
      <c r="C437">
        <v>2019</v>
      </c>
      <c r="D437">
        <v>219758168898.93005</v>
      </c>
      <c r="E437">
        <v>345000000000</v>
      </c>
      <c r="F437">
        <v>5814422</v>
      </c>
      <c r="G437">
        <v>1.711400939</v>
      </c>
      <c r="H437">
        <v>111.89147509999999</v>
      </c>
      <c r="I437">
        <v>32</v>
      </c>
      <c r="J437">
        <v>217042898828.03</v>
      </c>
      <c r="K437">
        <v>1.25</v>
      </c>
    </row>
    <row r="438" spans="1:11" x14ac:dyDescent="0.3">
      <c r="A438" t="s">
        <v>107</v>
      </c>
      <c r="B438" t="s">
        <v>108</v>
      </c>
      <c r="C438">
        <v>2020</v>
      </c>
      <c r="D438">
        <v>213742308538.51624</v>
      </c>
      <c r="E438">
        <v>356000000000</v>
      </c>
      <c r="F438">
        <v>5831404</v>
      </c>
      <c r="G438">
        <v>-1.7801060179999999</v>
      </c>
      <c r="H438">
        <v>104.4334327</v>
      </c>
      <c r="I438">
        <v>32</v>
      </c>
      <c r="J438">
        <v>219758168898.93005</v>
      </c>
      <c r="K438">
        <v>-2.74</v>
      </c>
    </row>
    <row r="439" spans="1:11" x14ac:dyDescent="0.3">
      <c r="A439" t="s">
        <v>107</v>
      </c>
      <c r="B439" t="s">
        <v>108</v>
      </c>
      <c r="C439">
        <v>2021</v>
      </c>
      <c r="D439">
        <v>248527381842.0928</v>
      </c>
      <c r="E439">
        <v>406000000000</v>
      </c>
      <c r="F439">
        <v>5856733</v>
      </c>
      <c r="G439">
        <v>6.5002544579999997</v>
      </c>
      <c r="H439">
        <v>112.3214727</v>
      </c>
      <c r="I439">
        <v>32</v>
      </c>
      <c r="J439">
        <v>213742308538.51624</v>
      </c>
      <c r="K439">
        <v>16.27</v>
      </c>
    </row>
    <row r="440" spans="1:11" x14ac:dyDescent="0.3">
      <c r="A440" t="s">
        <v>107</v>
      </c>
      <c r="B440" t="s">
        <v>108</v>
      </c>
      <c r="C440">
        <v>2022</v>
      </c>
      <c r="D440">
        <v>258354709909.85007</v>
      </c>
      <c r="E440">
        <v>400000000000</v>
      </c>
      <c r="F440">
        <v>5903037</v>
      </c>
      <c r="G440">
        <v>0.44383261499999999</v>
      </c>
      <c r="H440">
        <v>131.9958249</v>
      </c>
      <c r="I440">
        <v>32</v>
      </c>
      <c r="J440">
        <v>248527381842.0928</v>
      </c>
      <c r="K440">
        <v>3.95</v>
      </c>
    </row>
    <row r="441" spans="1:11" x14ac:dyDescent="0.3">
      <c r="A441" t="s">
        <v>107</v>
      </c>
      <c r="B441" t="s">
        <v>108</v>
      </c>
      <c r="C441">
        <v>2023</v>
      </c>
      <c r="D441">
        <v>256848763022.51968</v>
      </c>
      <c r="E441">
        <v>405000000000</v>
      </c>
      <c r="F441">
        <v>5946952</v>
      </c>
      <c r="G441">
        <v>0.60458776599999997</v>
      </c>
      <c r="H441">
        <v>129.62533740000001</v>
      </c>
      <c r="I441">
        <v>31</v>
      </c>
      <c r="J441">
        <v>258354709909.85007</v>
      </c>
      <c r="K441">
        <v>-0.57999999999999996</v>
      </c>
    </row>
    <row r="442" spans="1:11" x14ac:dyDescent="0.3">
      <c r="A442" t="s">
        <v>107</v>
      </c>
      <c r="B442" t="s">
        <v>108</v>
      </c>
      <c r="C442">
        <v>2024</v>
      </c>
      <c r="D442">
        <v>267590308215.76886</v>
      </c>
      <c r="E442">
        <v>425000000000</v>
      </c>
      <c r="F442">
        <v>5976992</v>
      </c>
      <c r="G442">
        <v>3.477835931</v>
      </c>
      <c r="H442">
        <v>131.76503099999999</v>
      </c>
      <c r="I442">
        <v>29</v>
      </c>
      <c r="J442">
        <v>256848763022.51968</v>
      </c>
      <c r="K442">
        <v>4.18</v>
      </c>
    </row>
    <row r="443" spans="1:11" x14ac:dyDescent="0.3">
      <c r="A443" t="s">
        <v>109</v>
      </c>
      <c r="B443" t="s">
        <v>110</v>
      </c>
      <c r="C443">
        <v>2015</v>
      </c>
      <c r="D443">
        <v>18777473144.399994</v>
      </c>
      <c r="E443">
        <v>70966782572</v>
      </c>
      <c r="F443">
        <v>10434829</v>
      </c>
      <c r="G443">
        <v>6.9877113120000001</v>
      </c>
      <c r="H443">
        <v>52.347123869999997</v>
      </c>
      <c r="I443">
        <v>81</v>
      </c>
    </row>
    <row r="444" spans="1:11" x14ac:dyDescent="0.3">
      <c r="A444" t="s">
        <v>109</v>
      </c>
      <c r="B444" t="s">
        <v>110</v>
      </c>
      <c r="C444">
        <v>2016</v>
      </c>
      <c r="D444">
        <v>19570372479.476006</v>
      </c>
      <c r="E444">
        <v>75552902636</v>
      </c>
      <c r="F444">
        <v>10551430</v>
      </c>
      <c r="G444">
        <v>6.7197407870000001</v>
      </c>
      <c r="H444">
        <v>51.730657119999996</v>
      </c>
      <c r="I444">
        <v>81</v>
      </c>
      <c r="J444">
        <v>18777473144.399994</v>
      </c>
      <c r="K444">
        <v>4.22</v>
      </c>
    </row>
    <row r="445" spans="1:11" x14ac:dyDescent="0.3">
      <c r="A445" t="s">
        <v>109</v>
      </c>
      <c r="B445" t="s">
        <v>110</v>
      </c>
      <c r="C445">
        <v>2017</v>
      </c>
      <c r="D445">
        <v>20449316800.17601</v>
      </c>
      <c r="E445">
        <v>79070274743</v>
      </c>
      <c r="F445">
        <v>10666843</v>
      </c>
      <c r="G445">
        <v>3.933861764</v>
      </c>
      <c r="H445">
        <v>50.759535550000003</v>
      </c>
      <c r="I445">
        <v>81</v>
      </c>
      <c r="J445">
        <v>19570372479.476006</v>
      </c>
      <c r="K445">
        <v>4.49</v>
      </c>
    </row>
    <row r="446" spans="1:11" x14ac:dyDescent="0.3">
      <c r="A446" t="s">
        <v>109</v>
      </c>
      <c r="B446" t="s">
        <v>110</v>
      </c>
      <c r="C446">
        <v>2018</v>
      </c>
      <c r="D446">
        <v>21516021487.137001</v>
      </c>
      <c r="E446">
        <v>84994732049</v>
      </c>
      <c r="F446">
        <v>10782053</v>
      </c>
      <c r="G446">
        <v>7.0975164020000001</v>
      </c>
      <c r="H446">
        <v>52.335170959999999</v>
      </c>
      <c r="I446">
        <v>81</v>
      </c>
      <c r="J446">
        <v>20449316800.17601</v>
      </c>
      <c r="K446">
        <v>5.22</v>
      </c>
    </row>
    <row r="447" spans="1:11" x14ac:dyDescent="0.3">
      <c r="A447" t="s">
        <v>109</v>
      </c>
      <c r="B447" t="s">
        <v>110</v>
      </c>
      <c r="C447">
        <v>2019</v>
      </c>
      <c r="D447">
        <v>22574398663.794998</v>
      </c>
      <c r="E447">
        <v>89146130745</v>
      </c>
      <c r="F447">
        <v>10894043</v>
      </c>
      <c r="G447">
        <v>4.8940301149999996</v>
      </c>
      <c r="H447">
        <v>50.912982200000002</v>
      </c>
      <c r="I447">
        <v>79</v>
      </c>
      <c r="J447">
        <v>21516021487.137001</v>
      </c>
      <c r="K447">
        <v>4.92</v>
      </c>
    </row>
    <row r="448" spans="1:11" x14ac:dyDescent="0.3">
      <c r="A448" t="s">
        <v>109</v>
      </c>
      <c r="B448" t="s">
        <v>110</v>
      </c>
      <c r="C448">
        <v>2020</v>
      </c>
      <c r="D448">
        <v>19688142311.450993</v>
      </c>
      <c r="E448">
        <v>78546672407</v>
      </c>
      <c r="F448">
        <v>11008300</v>
      </c>
      <c r="G448">
        <v>-7.9290523420000003</v>
      </c>
      <c r="H448">
        <v>44.733161350000003</v>
      </c>
      <c r="I448">
        <v>78</v>
      </c>
      <c r="J448">
        <v>22574398663.794998</v>
      </c>
      <c r="K448">
        <v>-12.79</v>
      </c>
    </row>
    <row r="449" spans="1:11" x14ac:dyDescent="0.3">
      <c r="A449" t="s">
        <v>109</v>
      </c>
      <c r="B449" t="s">
        <v>110</v>
      </c>
      <c r="C449">
        <v>2021</v>
      </c>
      <c r="D449">
        <v>23286440008.37801</v>
      </c>
      <c r="E449">
        <v>94850719517</v>
      </c>
      <c r="F449">
        <v>11123476</v>
      </c>
      <c r="G449">
        <v>14.012428910000001</v>
      </c>
      <c r="H449">
        <v>51.950022730000001</v>
      </c>
      <c r="I449">
        <v>78</v>
      </c>
      <c r="J449">
        <v>19688142311.450993</v>
      </c>
      <c r="K449">
        <v>18.28</v>
      </c>
    </row>
    <row r="450" spans="1:11" x14ac:dyDescent="0.3">
      <c r="A450" t="s">
        <v>109</v>
      </c>
      <c r="B450" t="s">
        <v>110</v>
      </c>
      <c r="C450">
        <v>2022</v>
      </c>
      <c r="D450">
        <v>19672694477.309002</v>
      </c>
      <c r="E450">
        <v>113000000000</v>
      </c>
      <c r="F450">
        <v>11230734</v>
      </c>
      <c r="G450">
        <v>5.2379565289999999</v>
      </c>
      <c r="H450">
        <v>54.378197669999999</v>
      </c>
      <c r="I450">
        <v>87</v>
      </c>
      <c r="J450">
        <v>23286440008.37801</v>
      </c>
      <c r="K450">
        <v>-15.52</v>
      </c>
    </row>
    <row r="451" spans="1:11" x14ac:dyDescent="0.3">
      <c r="A451" t="s">
        <v>109</v>
      </c>
      <c r="B451" t="s">
        <v>110</v>
      </c>
      <c r="C451">
        <v>2023</v>
      </c>
      <c r="D451">
        <v>23863907572.090004</v>
      </c>
      <c r="E451">
        <v>120000000000</v>
      </c>
      <c r="F451">
        <v>11331265</v>
      </c>
      <c r="G451">
        <v>2.192298482</v>
      </c>
      <c r="H451">
        <v>49.843613179999998</v>
      </c>
      <c r="I451">
        <v>78</v>
      </c>
      <c r="J451">
        <v>19672694477.309002</v>
      </c>
      <c r="K451">
        <v>21.3</v>
      </c>
    </row>
    <row r="452" spans="1:11" x14ac:dyDescent="0.3">
      <c r="A452" t="s">
        <v>109</v>
      </c>
      <c r="B452" t="s">
        <v>110</v>
      </c>
      <c r="C452">
        <v>2024</v>
      </c>
      <c r="D452">
        <v>25847890994.663994</v>
      </c>
      <c r="E452">
        <v>124000000000</v>
      </c>
      <c r="F452">
        <v>11427557</v>
      </c>
      <c r="G452">
        <v>4.9535220449999997</v>
      </c>
      <c r="H452">
        <v>51.783514400000001</v>
      </c>
      <c r="I452">
        <v>73</v>
      </c>
      <c r="J452">
        <v>23863907572.090004</v>
      </c>
      <c r="K452">
        <v>8.31</v>
      </c>
    </row>
    <row r="453" spans="1:11" x14ac:dyDescent="0.3">
      <c r="A453" t="s">
        <v>111</v>
      </c>
      <c r="B453" t="s">
        <v>112</v>
      </c>
      <c r="C453">
        <v>2015</v>
      </c>
      <c r="D453">
        <v>69591902982</v>
      </c>
      <c r="E453">
        <v>187000000000</v>
      </c>
      <c r="F453">
        <v>40019529</v>
      </c>
      <c r="G453">
        <v>3.2000000009999998</v>
      </c>
      <c r="H453">
        <v>53.20462259</v>
      </c>
      <c r="I453">
        <v>52</v>
      </c>
    </row>
    <row r="454" spans="1:11" x14ac:dyDescent="0.3">
      <c r="A454" t="s">
        <v>111</v>
      </c>
      <c r="B454" t="s">
        <v>112</v>
      </c>
      <c r="C454">
        <v>2016</v>
      </c>
      <c r="D454">
        <v>59984202943</v>
      </c>
      <c r="E454">
        <v>181000000000</v>
      </c>
      <c r="F454">
        <v>40850721</v>
      </c>
      <c r="G454">
        <v>3.9</v>
      </c>
      <c r="H454">
        <v>49.760932789999998</v>
      </c>
      <c r="I454">
        <v>54</v>
      </c>
      <c r="J454">
        <v>69591902982</v>
      </c>
      <c r="K454">
        <v>-13.81</v>
      </c>
    </row>
    <row r="455" spans="1:11" x14ac:dyDescent="0.3">
      <c r="A455" t="s">
        <v>111</v>
      </c>
      <c r="B455" t="s">
        <v>112</v>
      </c>
      <c r="C455">
        <v>2017</v>
      </c>
      <c r="D455">
        <v>70382234832.200073</v>
      </c>
      <c r="E455">
        <v>190000000000</v>
      </c>
      <c r="F455">
        <v>41689299</v>
      </c>
      <c r="G455">
        <v>1.4999999989999999</v>
      </c>
      <c r="H455">
        <v>49.820816170000001</v>
      </c>
      <c r="I455">
        <v>53</v>
      </c>
      <c r="J455">
        <v>59984202943</v>
      </c>
      <c r="K455">
        <v>17.329999999999998</v>
      </c>
    </row>
    <row r="456" spans="1:11" x14ac:dyDescent="0.3">
      <c r="A456" t="s">
        <v>111</v>
      </c>
      <c r="B456" t="s">
        <v>112</v>
      </c>
      <c r="C456">
        <v>2024</v>
      </c>
      <c r="D456">
        <v>103714850221.95</v>
      </c>
      <c r="E456">
        <v>269000000000</v>
      </c>
      <c r="F456">
        <v>46814308</v>
      </c>
      <c r="G456">
        <v>3.6999999990000001</v>
      </c>
      <c r="H456">
        <v>40.134574120000003</v>
      </c>
      <c r="I456">
        <v>48</v>
      </c>
      <c r="J456">
        <v>70382234832.200073</v>
      </c>
      <c r="K456">
        <v>47.36</v>
      </c>
    </row>
    <row r="457" spans="1:11" x14ac:dyDescent="0.3">
      <c r="A457" t="s">
        <v>113</v>
      </c>
      <c r="B457" t="s">
        <v>114</v>
      </c>
      <c r="C457">
        <v>2015</v>
      </c>
      <c r="D457">
        <v>36661215391</v>
      </c>
      <c r="E457">
        <v>97209558000</v>
      </c>
      <c r="F457">
        <v>16266225</v>
      </c>
      <c r="G457">
        <v>0.119692109</v>
      </c>
      <c r="H457">
        <v>47.828039709999999</v>
      </c>
      <c r="I457">
        <v>64</v>
      </c>
    </row>
    <row r="458" spans="1:11" x14ac:dyDescent="0.3">
      <c r="A458" t="s">
        <v>113</v>
      </c>
      <c r="B458" t="s">
        <v>114</v>
      </c>
      <c r="C458">
        <v>2016</v>
      </c>
      <c r="D458">
        <v>33595329246</v>
      </c>
      <c r="E458">
        <v>97671433000</v>
      </c>
      <c r="F458">
        <v>16505139</v>
      </c>
      <c r="G458">
        <v>-0.68795424599999999</v>
      </c>
      <c r="H458">
        <v>40.534491799999998</v>
      </c>
      <c r="I458">
        <v>65</v>
      </c>
      <c r="J458">
        <v>36661215391</v>
      </c>
      <c r="K458">
        <v>-8.36</v>
      </c>
    </row>
    <row r="459" spans="1:11" x14ac:dyDescent="0.3">
      <c r="A459" t="s">
        <v>113</v>
      </c>
      <c r="B459" t="s">
        <v>114</v>
      </c>
      <c r="C459">
        <v>2017</v>
      </c>
      <c r="D459">
        <v>38184704485.122009</v>
      </c>
      <c r="E459">
        <v>104000000000</v>
      </c>
      <c r="F459">
        <v>16759519</v>
      </c>
      <c r="G459">
        <v>5.9703988099999998</v>
      </c>
      <c r="H459">
        <v>43.617723320000003</v>
      </c>
      <c r="I459">
        <v>64</v>
      </c>
      <c r="J459">
        <v>33595329246</v>
      </c>
      <c r="K459">
        <v>13.66</v>
      </c>
    </row>
    <row r="460" spans="1:11" x14ac:dyDescent="0.3">
      <c r="A460" t="s">
        <v>113</v>
      </c>
      <c r="B460" t="s">
        <v>114</v>
      </c>
      <c r="C460">
        <v>2018</v>
      </c>
      <c r="D460">
        <v>43303911100.812004</v>
      </c>
      <c r="E460">
        <v>107000000000</v>
      </c>
      <c r="F460">
        <v>17049547</v>
      </c>
      <c r="G460">
        <v>1.0442946070000001</v>
      </c>
      <c r="H460">
        <v>48.00934762</v>
      </c>
      <c r="I460">
        <v>63</v>
      </c>
      <c r="J460">
        <v>38184704485.122009</v>
      </c>
      <c r="K460">
        <v>13.41</v>
      </c>
    </row>
    <row r="461" spans="1:11" x14ac:dyDescent="0.3">
      <c r="A461" t="s">
        <v>113</v>
      </c>
      <c r="B461" t="s">
        <v>114</v>
      </c>
      <c r="C461">
        <v>2019</v>
      </c>
      <c r="D461">
        <v>44658757437.035995</v>
      </c>
      <c r="E461">
        <v>108000000000</v>
      </c>
      <c r="F461">
        <v>17340021</v>
      </c>
      <c r="G461">
        <v>0.165404465</v>
      </c>
      <c r="H461">
        <v>48.082849490000001</v>
      </c>
      <c r="I461">
        <v>62</v>
      </c>
      <c r="J461">
        <v>43303911100.812004</v>
      </c>
      <c r="K461">
        <v>3.13</v>
      </c>
    </row>
    <row r="462" spans="1:11" x14ac:dyDescent="0.3">
      <c r="A462" t="s">
        <v>113</v>
      </c>
      <c r="B462" t="s">
        <v>114</v>
      </c>
      <c r="C462">
        <v>2020</v>
      </c>
      <c r="D462">
        <v>40710722877.387985</v>
      </c>
      <c r="E462">
        <v>95865473000</v>
      </c>
      <c r="F462">
        <v>17546065</v>
      </c>
      <c r="G462">
        <v>-9.2450961920000001</v>
      </c>
      <c r="H462">
        <v>43.989310940000003</v>
      </c>
      <c r="I462">
        <v>61</v>
      </c>
      <c r="J462">
        <v>44658757437.035995</v>
      </c>
      <c r="K462">
        <v>-8.84</v>
      </c>
    </row>
    <row r="463" spans="1:11" x14ac:dyDescent="0.3">
      <c r="A463" t="s">
        <v>113</v>
      </c>
      <c r="B463" t="s">
        <v>114</v>
      </c>
      <c r="C463">
        <v>2021</v>
      </c>
      <c r="D463">
        <v>53398399688.74398</v>
      </c>
      <c r="E463">
        <v>107000000000</v>
      </c>
      <c r="F463">
        <v>17682454</v>
      </c>
      <c r="G463">
        <v>9.42189269</v>
      </c>
      <c r="H463">
        <v>53.261275609999998</v>
      </c>
      <c r="I463">
        <v>61</v>
      </c>
      <c r="J463">
        <v>40710722877.387985</v>
      </c>
      <c r="K463">
        <v>31.17</v>
      </c>
    </row>
    <row r="464" spans="1:11" x14ac:dyDescent="0.3">
      <c r="A464" t="s">
        <v>113</v>
      </c>
      <c r="B464" t="s">
        <v>114</v>
      </c>
      <c r="C464">
        <v>2022</v>
      </c>
      <c r="D464">
        <v>70760723413.999985</v>
      </c>
      <c r="E464">
        <v>116000000000</v>
      </c>
      <c r="F464">
        <v>17823897</v>
      </c>
      <c r="G464">
        <v>5.8684235490000001</v>
      </c>
      <c r="H464">
        <v>61.880792820000003</v>
      </c>
      <c r="I464">
        <v>59</v>
      </c>
      <c r="J464">
        <v>53398399688.74398</v>
      </c>
      <c r="K464">
        <v>32.51</v>
      </c>
    </row>
    <row r="465" spans="1:11" x14ac:dyDescent="0.3">
      <c r="A465" t="s">
        <v>113</v>
      </c>
      <c r="B465" t="s">
        <v>114</v>
      </c>
      <c r="C465">
        <v>2023</v>
      </c>
      <c r="D465">
        <v>62252848152.600014</v>
      </c>
      <c r="E465">
        <v>121000000000</v>
      </c>
      <c r="F465">
        <v>17980083</v>
      </c>
      <c r="G465">
        <v>1.832840611</v>
      </c>
      <c r="H465">
        <v>57.162693830000002</v>
      </c>
      <c r="I465">
        <v>58</v>
      </c>
      <c r="J465">
        <v>70760723413.999985</v>
      </c>
      <c r="K465">
        <v>-12.02</v>
      </c>
    </row>
    <row r="466" spans="1:11" x14ac:dyDescent="0.3">
      <c r="A466" t="s">
        <v>113</v>
      </c>
      <c r="B466" t="s">
        <v>114</v>
      </c>
      <c r="C466">
        <v>2024</v>
      </c>
      <c r="D466">
        <v>63116193242.536041</v>
      </c>
      <c r="E466">
        <v>124000000000</v>
      </c>
      <c r="F466">
        <v>18135478</v>
      </c>
      <c r="G466">
        <v>-1.9440902250000001</v>
      </c>
      <c r="H466">
        <v>57.443644820000003</v>
      </c>
      <c r="I466">
        <v>58</v>
      </c>
      <c r="J466">
        <v>62252848152.600014</v>
      </c>
      <c r="K466">
        <v>1.39</v>
      </c>
    </row>
    <row r="467" spans="1:11" x14ac:dyDescent="0.3">
      <c r="A467" t="s">
        <v>115</v>
      </c>
      <c r="B467" t="s">
        <v>116</v>
      </c>
      <c r="C467">
        <v>2015</v>
      </c>
      <c r="D467">
        <v>43717547649.941994</v>
      </c>
      <c r="E467">
        <v>329000000000</v>
      </c>
      <c r="F467">
        <v>99597342</v>
      </c>
      <c r="G467">
        <v>4.3720190780000001</v>
      </c>
      <c r="H467">
        <v>34.845942960000002</v>
      </c>
      <c r="I467">
        <v>63</v>
      </c>
    </row>
    <row r="468" spans="1:11" x14ac:dyDescent="0.3">
      <c r="A468" t="s">
        <v>115</v>
      </c>
      <c r="B468" t="s">
        <v>116</v>
      </c>
      <c r="C468">
        <v>2016</v>
      </c>
      <c r="D468">
        <v>45946737708.784981</v>
      </c>
      <c r="E468">
        <v>332000000000</v>
      </c>
      <c r="F468">
        <v>101644589</v>
      </c>
      <c r="G468">
        <v>4.3466434559999998</v>
      </c>
      <c r="H468">
        <v>30.246549049999999</v>
      </c>
      <c r="I468">
        <v>61</v>
      </c>
      <c r="J468">
        <v>43717547649.941994</v>
      </c>
      <c r="K468">
        <v>5.0999999999999996</v>
      </c>
    </row>
    <row r="469" spans="1:11" x14ac:dyDescent="0.3">
      <c r="A469" t="s">
        <v>115</v>
      </c>
      <c r="B469" t="s">
        <v>116</v>
      </c>
      <c r="C469">
        <v>2017</v>
      </c>
      <c r="D469">
        <v>52868076959.884041</v>
      </c>
      <c r="E469">
        <v>248000000000</v>
      </c>
      <c r="F469">
        <v>103696057</v>
      </c>
      <c r="G469">
        <v>4.1812209999999999</v>
      </c>
      <c r="H469">
        <v>42.832134359999998</v>
      </c>
      <c r="I469">
        <v>60</v>
      </c>
      <c r="J469">
        <v>45946737708.784981</v>
      </c>
      <c r="K469">
        <v>15.06</v>
      </c>
    </row>
    <row r="470" spans="1:11" x14ac:dyDescent="0.3">
      <c r="A470" t="s">
        <v>115</v>
      </c>
      <c r="B470" t="s">
        <v>116</v>
      </c>
      <c r="C470">
        <v>2018</v>
      </c>
      <c r="D470">
        <v>58607745146.746002</v>
      </c>
      <c r="E470">
        <v>263000000000</v>
      </c>
      <c r="F470">
        <v>105682094</v>
      </c>
      <c r="G470">
        <v>5.3311086190000001</v>
      </c>
      <c r="H470">
        <v>45.911019670000002</v>
      </c>
      <c r="I470">
        <v>61</v>
      </c>
      <c r="J470">
        <v>52868076959.884041</v>
      </c>
      <c r="K470">
        <v>10.86</v>
      </c>
    </row>
    <row r="471" spans="1:11" x14ac:dyDescent="0.3">
      <c r="A471" t="s">
        <v>115</v>
      </c>
      <c r="B471" t="s">
        <v>116</v>
      </c>
      <c r="C471">
        <v>2019</v>
      </c>
      <c r="D471">
        <v>61010503367.103981</v>
      </c>
      <c r="E471">
        <v>319000000000</v>
      </c>
      <c r="F471">
        <v>107553158</v>
      </c>
      <c r="G471">
        <v>5.5520930709999998</v>
      </c>
      <c r="H471">
        <v>41.124017160000001</v>
      </c>
      <c r="I471">
        <v>58</v>
      </c>
      <c r="J471">
        <v>58607745146.746002</v>
      </c>
      <c r="K471">
        <v>4.0999999999999996</v>
      </c>
    </row>
    <row r="472" spans="1:11" x14ac:dyDescent="0.3">
      <c r="A472" t="s">
        <v>115</v>
      </c>
      <c r="B472" t="s">
        <v>116</v>
      </c>
      <c r="C472">
        <v>2020</v>
      </c>
      <c r="D472">
        <v>58645839189.571976</v>
      </c>
      <c r="E472">
        <v>384000000000</v>
      </c>
      <c r="F472">
        <v>109315124</v>
      </c>
      <c r="G472">
        <v>3.5501648389999998</v>
      </c>
      <c r="H472">
        <v>32.126255569999998</v>
      </c>
      <c r="I472">
        <v>56</v>
      </c>
      <c r="J472">
        <v>61010503367.103981</v>
      </c>
      <c r="K472">
        <v>-3.88</v>
      </c>
    </row>
    <row r="473" spans="1:11" x14ac:dyDescent="0.3">
      <c r="A473" t="s">
        <v>115</v>
      </c>
      <c r="B473" t="s">
        <v>116</v>
      </c>
      <c r="C473">
        <v>2021</v>
      </c>
      <c r="D473">
        <v>87273703978.528961</v>
      </c>
      <c r="E473">
        <v>425000000000</v>
      </c>
      <c r="F473">
        <v>110957008</v>
      </c>
      <c r="G473">
        <v>3.2906460119999998</v>
      </c>
      <c r="H473">
        <v>29.856973480000001</v>
      </c>
      <c r="I473">
        <v>53</v>
      </c>
      <c r="J473">
        <v>58645839189.571976</v>
      </c>
      <c r="K473">
        <v>48.81</v>
      </c>
    </row>
    <row r="474" spans="1:11" x14ac:dyDescent="0.3">
      <c r="A474" t="s">
        <v>115</v>
      </c>
      <c r="B474" t="s">
        <v>116</v>
      </c>
      <c r="C474">
        <v>2022</v>
      </c>
      <c r="D474">
        <v>104231455826.59399</v>
      </c>
      <c r="E474">
        <v>477000000000</v>
      </c>
      <c r="F474">
        <v>112618250</v>
      </c>
      <c r="G474">
        <v>6.5878456090000004</v>
      </c>
      <c r="H474">
        <v>36.983104879999999</v>
      </c>
      <c r="I474">
        <v>51</v>
      </c>
      <c r="J474">
        <v>87273703978.528961</v>
      </c>
      <c r="K474">
        <v>19.43</v>
      </c>
    </row>
    <row r="475" spans="1:11" x14ac:dyDescent="0.3">
      <c r="A475" t="s">
        <v>115</v>
      </c>
      <c r="B475" t="s">
        <v>116</v>
      </c>
      <c r="C475">
        <v>2023</v>
      </c>
      <c r="D475">
        <v>85106486302.263062</v>
      </c>
      <c r="E475">
        <v>396000000000</v>
      </c>
      <c r="F475">
        <v>114535772</v>
      </c>
      <c r="G475">
        <v>3.760280523</v>
      </c>
      <c r="H475">
        <v>40.450400770000002</v>
      </c>
      <c r="I475">
        <v>52</v>
      </c>
      <c r="J475">
        <v>104231455826.59399</v>
      </c>
      <c r="K475">
        <v>-18.350000000000001</v>
      </c>
    </row>
    <row r="476" spans="1:11" x14ac:dyDescent="0.3">
      <c r="A476" t="s">
        <v>115</v>
      </c>
      <c r="B476" t="s">
        <v>116</v>
      </c>
      <c r="C476">
        <v>2024</v>
      </c>
      <c r="D476">
        <v>89693742702.608994</v>
      </c>
      <c r="E476">
        <v>389000000000</v>
      </c>
      <c r="F476">
        <v>116538258</v>
      </c>
      <c r="G476">
        <v>2.3991692680000001</v>
      </c>
      <c r="H476">
        <v>39.60075209</v>
      </c>
      <c r="I476">
        <v>51</v>
      </c>
      <c r="J476">
        <v>85106486302.263062</v>
      </c>
      <c r="K476">
        <v>5.39</v>
      </c>
    </row>
    <row r="477" spans="1:11" x14ac:dyDescent="0.3">
      <c r="A477" t="s">
        <v>117</v>
      </c>
      <c r="B477" t="s">
        <v>118</v>
      </c>
      <c r="C477">
        <v>2015</v>
      </c>
      <c r="D477">
        <v>553917023428.79993</v>
      </c>
      <c r="E477">
        <v>1210000000000</v>
      </c>
      <c r="F477">
        <v>46422303</v>
      </c>
      <c r="G477">
        <v>4.0608667250000003</v>
      </c>
      <c r="H477">
        <v>63.582041220000001</v>
      </c>
      <c r="I477">
        <v>15</v>
      </c>
    </row>
    <row r="478" spans="1:11" x14ac:dyDescent="0.3">
      <c r="A478" t="s">
        <v>117</v>
      </c>
      <c r="B478" t="s">
        <v>118</v>
      </c>
      <c r="C478">
        <v>2016</v>
      </c>
      <c r="D478">
        <v>567522131724.59558</v>
      </c>
      <c r="E478">
        <v>1240000000000</v>
      </c>
      <c r="F478">
        <v>46458139</v>
      </c>
      <c r="G478">
        <v>2.9151559859999998</v>
      </c>
      <c r="H478">
        <v>63.188677849999998</v>
      </c>
      <c r="I478">
        <v>15</v>
      </c>
      <c r="J478">
        <v>553917023428.79993</v>
      </c>
      <c r="K478">
        <v>2.46</v>
      </c>
    </row>
    <row r="479" spans="1:11" x14ac:dyDescent="0.3">
      <c r="A479" t="s">
        <v>117</v>
      </c>
      <c r="B479" t="s">
        <v>118</v>
      </c>
      <c r="C479">
        <v>2017</v>
      </c>
      <c r="D479">
        <v>623906789611.72253</v>
      </c>
      <c r="E479">
        <v>1320000000000</v>
      </c>
      <c r="F479">
        <v>46571232</v>
      </c>
      <c r="G479">
        <v>2.8960420789999999</v>
      </c>
      <c r="H479">
        <v>66.167446139999996</v>
      </c>
      <c r="I479">
        <v>15</v>
      </c>
      <c r="J479">
        <v>567522131724.59558</v>
      </c>
      <c r="K479">
        <v>9.94</v>
      </c>
    </row>
    <row r="480" spans="1:11" x14ac:dyDescent="0.3">
      <c r="A480" t="s">
        <v>117</v>
      </c>
      <c r="B480" t="s">
        <v>118</v>
      </c>
      <c r="C480">
        <v>2018</v>
      </c>
      <c r="D480">
        <v>692128630102.28186</v>
      </c>
      <c r="E480">
        <v>1430000000000</v>
      </c>
      <c r="F480">
        <v>46782011</v>
      </c>
      <c r="G480">
        <v>2.395411245</v>
      </c>
      <c r="H480">
        <v>67.009410399999993</v>
      </c>
      <c r="I480">
        <v>15</v>
      </c>
      <c r="J480">
        <v>623906789611.72253</v>
      </c>
      <c r="K480">
        <v>10.93</v>
      </c>
    </row>
    <row r="481" spans="1:11" x14ac:dyDescent="0.3">
      <c r="A481" t="s">
        <v>117</v>
      </c>
      <c r="B481" t="s">
        <v>118</v>
      </c>
      <c r="C481">
        <v>2019</v>
      </c>
      <c r="D481">
        <v>674405202815.61597</v>
      </c>
      <c r="E481">
        <v>1400000000000</v>
      </c>
      <c r="F481">
        <v>47118501</v>
      </c>
      <c r="G481">
        <v>1.9611785079999999</v>
      </c>
      <c r="H481">
        <v>66.366225040000003</v>
      </c>
      <c r="I481">
        <v>15</v>
      </c>
      <c r="J481">
        <v>692128630102.28186</v>
      </c>
      <c r="K481">
        <v>-2.56</v>
      </c>
    </row>
    <row r="482" spans="1:11" x14ac:dyDescent="0.3">
      <c r="A482" t="s">
        <v>117</v>
      </c>
      <c r="B482" t="s">
        <v>118</v>
      </c>
      <c r="C482">
        <v>2020</v>
      </c>
      <c r="D482">
        <v>624161026842.302</v>
      </c>
      <c r="E482">
        <v>1290000000000</v>
      </c>
      <c r="F482">
        <v>47359424</v>
      </c>
      <c r="G482">
        <v>-10.94007064</v>
      </c>
      <c r="H482">
        <v>59.446128010000002</v>
      </c>
      <c r="I482">
        <v>15</v>
      </c>
      <c r="J482">
        <v>674405202815.61597</v>
      </c>
      <c r="K482">
        <v>-7.45</v>
      </c>
    </row>
    <row r="483" spans="1:11" x14ac:dyDescent="0.3">
      <c r="A483" t="s">
        <v>117</v>
      </c>
      <c r="B483" t="s">
        <v>118</v>
      </c>
      <c r="C483">
        <v>2021</v>
      </c>
      <c r="D483">
        <v>783117038953.349</v>
      </c>
      <c r="E483">
        <v>1460000000000</v>
      </c>
      <c r="F483">
        <v>47443821</v>
      </c>
      <c r="G483">
        <v>6.6831442049999996</v>
      </c>
      <c r="H483">
        <v>66.524588940000001</v>
      </c>
      <c r="I483">
        <v>16</v>
      </c>
      <c r="J483">
        <v>624161026842.302</v>
      </c>
      <c r="K483">
        <v>25.47</v>
      </c>
    </row>
    <row r="484" spans="1:11" x14ac:dyDescent="0.3">
      <c r="A484" t="s">
        <v>117</v>
      </c>
      <c r="B484" t="s">
        <v>118</v>
      </c>
      <c r="C484">
        <v>2022</v>
      </c>
      <c r="D484">
        <v>848572109619.80359</v>
      </c>
      <c r="E484">
        <v>1450000000000</v>
      </c>
      <c r="F484">
        <v>47786102</v>
      </c>
      <c r="G484">
        <v>6.3703171210000002</v>
      </c>
      <c r="H484">
        <v>78.465733869999994</v>
      </c>
      <c r="I484">
        <v>16</v>
      </c>
      <c r="J484">
        <v>783117038953.349</v>
      </c>
      <c r="K484">
        <v>8.36</v>
      </c>
    </row>
    <row r="485" spans="1:11" x14ac:dyDescent="0.3">
      <c r="A485" t="s">
        <v>117</v>
      </c>
      <c r="B485" t="s">
        <v>118</v>
      </c>
      <c r="C485">
        <v>2023</v>
      </c>
      <c r="D485">
        <v>840339182005.09827</v>
      </c>
      <c r="E485">
        <v>1620000000000</v>
      </c>
      <c r="F485">
        <v>48352528</v>
      </c>
      <c r="G485">
        <v>2.460857968</v>
      </c>
      <c r="H485">
        <v>71.797636609999998</v>
      </c>
      <c r="I485">
        <v>15</v>
      </c>
      <c r="J485">
        <v>848572109619.80359</v>
      </c>
      <c r="K485">
        <v>-0.97</v>
      </c>
    </row>
    <row r="486" spans="1:11" x14ac:dyDescent="0.3">
      <c r="A486" t="s">
        <v>117</v>
      </c>
      <c r="B486" t="s">
        <v>118</v>
      </c>
      <c r="C486">
        <v>2024</v>
      </c>
      <c r="D486">
        <v>807405878311.62195</v>
      </c>
      <c r="E486">
        <v>1730000000000</v>
      </c>
      <c r="F486">
        <v>48848840</v>
      </c>
      <c r="G486">
        <v>3.4552540559999998</v>
      </c>
      <c r="H486">
        <v>69.950261240000003</v>
      </c>
      <c r="I486">
        <v>14</v>
      </c>
      <c r="J486">
        <v>840339182005.09827</v>
      </c>
      <c r="K486">
        <v>-3.92</v>
      </c>
    </row>
    <row r="487" spans="1:11" x14ac:dyDescent="0.3">
      <c r="A487" t="s">
        <v>119</v>
      </c>
      <c r="B487" t="s">
        <v>120</v>
      </c>
      <c r="C487">
        <v>2015</v>
      </c>
      <c r="D487">
        <v>27815219896</v>
      </c>
      <c r="E487">
        <v>23311847751</v>
      </c>
      <c r="F487">
        <v>1315407</v>
      </c>
      <c r="G487">
        <v>1.8381526290000001</v>
      </c>
      <c r="H487">
        <v>148.5071571</v>
      </c>
      <c r="I487">
        <v>66</v>
      </c>
    </row>
    <row r="488" spans="1:11" x14ac:dyDescent="0.3">
      <c r="A488" t="s">
        <v>119</v>
      </c>
      <c r="B488" t="s">
        <v>120</v>
      </c>
      <c r="C488">
        <v>2016</v>
      </c>
      <c r="D488">
        <v>27934858851.578003</v>
      </c>
      <c r="E488">
        <v>24561027788</v>
      </c>
      <c r="F488">
        <v>1315790</v>
      </c>
      <c r="G488">
        <v>3.0930192079999999</v>
      </c>
      <c r="H488">
        <v>147.74623270000001</v>
      </c>
      <c r="I488">
        <v>67</v>
      </c>
      <c r="J488">
        <v>27815219896</v>
      </c>
      <c r="K488">
        <v>0.43</v>
      </c>
    </row>
    <row r="489" spans="1:11" x14ac:dyDescent="0.3">
      <c r="A489" t="s">
        <v>119</v>
      </c>
      <c r="B489" t="s">
        <v>120</v>
      </c>
      <c r="C489">
        <v>2017</v>
      </c>
      <c r="D489">
        <v>30775470925.424011</v>
      </c>
      <c r="E489">
        <v>27469461919</v>
      </c>
      <c r="F489">
        <v>1317384</v>
      </c>
      <c r="G489">
        <v>5.6346724899999998</v>
      </c>
      <c r="H489">
        <v>144.6356509</v>
      </c>
      <c r="I489">
        <v>67</v>
      </c>
      <c r="J489">
        <v>27934858851.578003</v>
      </c>
      <c r="K489">
        <v>10.17</v>
      </c>
    </row>
    <row r="490" spans="1:11" x14ac:dyDescent="0.3">
      <c r="A490" t="s">
        <v>119</v>
      </c>
      <c r="B490" t="s">
        <v>120</v>
      </c>
      <c r="C490">
        <v>2018</v>
      </c>
      <c r="D490">
        <v>35702955421.402992</v>
      </c>
      <c r="E490">
        <v>31222632741</v>
      </c>
      <c r="F490">
        <v>1321977</v>
      </c>
      <c r="G490">
        <v>3.6996975619999999</v>
      </c>
      <c r="H490">
        <v>143.48522489999999</v>
      </c>
      <c r="I490">
        <v>67</v>
      </c>
      <c r="J490">
        <v>30775470925.424011</v>
      </c>
      <c r="K490">
        <v>16.010000000000002</v>
      </c>
    </row>
    <row r="491" spans="1:11" x14ac:dyDescent="0.3">
      <c r="A491" t="s">
        <v>119</v>
      </c>
      <c r="B491" t="s">
        <v>120</v>
      </c>
      <c r="C491">
        <v>2019</v>
      </c>
      <c r="D491">
        <v>33614816940.453979</v>
      </c>
      <c r="E491">
        <v>31873748770</v>
      </c>
      <c r="F491">
        <v>1326898</v>
      </c>
      <c r="G491">
        <v>3.7266494350000001</v>
      </c>
      <c r="H491">
        <v>140.352148</v>
      </c>
      <c r="I491">
        <v>67</v>
      </c>
      <c r="J491">
        <v>35702955421.402992</v>
      </c>
      <c r="K491">
        <v>-5.85</v>
      </c>
    </row>
    <row r="492" spans="1:11" x14ac:dyDescent="0.3">
      <c r="A492" t="s">
        <v>119</v>
      </c>
      <c r="B492" t="s">
        <v>120</v>
      </c>
      <c r="C492">
        <v>2020</v>
      </c>
      <c r="D492">
        <v>33803198128.179989</v>
      </c>
      <c r="E492">
        <v>31820771494</v>
      </c>
      <c r="F492">
        <v>1329522</v>
      </c>
      <c r="G492">
        <v>-2.883807515</v>
      </c>
      <c r="H492">
        <v>137.39264130000001</v>
      </c>
      <c r="I492">
        <v>66</v>
      </c>
      <c r="J492">
        <v>33614816940.453979</v>
      </c>
      <c r="K492">
        <v>0.56000000000000005</v>
      </c>
    </row>
    <row r="493" spans="1:11" x14ac:dyDescent="0.3">
      <c r="A493" t="s">
        <v>119</v>
      </c>
      <c r="B493" t="s">
        <v>120</v>
      </c>
      <c r="C493">
        <v>2021</v>
      </c>
      <c r="D493">
        <v>44606461942.140007</v>
      </c>
      <c r="E493">
        <v>37201101171</v>
      </c>
      <c r="F493">
        <v>1330932</v>
      </c>
      <c r="G493">
        <v>8.2548804459999996</v>
      </c>
      <c r="H493">
        <v>160.47192229999999</v>
      </c>
      <c r="I493">
        <v>63</v>
      </c>
      <c r="J493">
        <v>33803198128.179989</v>
      </c>
      <c r="K493">
        <v>31.96</v>
      </c>
    </row>
    <row r="494" spans="1:11" x14ac:dyDescent="0.3">
      <c r="A494" t="s">
        <v>119</v>
      </c>
      <c r="B494" t="s">
        <v>120</v>
      </c>
      <c r="C494">
        <v>2022</v>
      </c>
      <c r="D494">
        <v>47200388377.840004</v>
      </c>
      <c r="E494">
        <v>38226641740</v>
      </c>
      <c r="F494">
        <v>1348840</v>
      </c>
      <c r="G494">
        <v>-1.2261696660000001</v>
      </c>
      <c r="H494">
        <v>175.68711949999999</v>
      </c>
      <c r="I494">
        <v>63</v>
      </c>
      <c r="J494">
        <v>44606461942.140007</v>
      </c>
      <c r="K494">
        <v>5.82</v>
      </c>
    </row>
    <row r="495" spans="1:11" x14ac:dyDescent="0.3">
      <c r="A495" t="s">
        <v>119</v>
      </c>
      <c r="B495" t="s">
        <v>120</v>
      </c>
      <c r="C495">
        <v>2023</v>
      </c>
      <c r="D495">
        <v>40216393205.999992</v>
      </c>
      <c r="E495">
        <v>41470344395</v>
      </c>
      <c r="F495">
        <v>1370286</v>
      </c>
      <c r="G495">
        <v>-2.7442191459999998</v>
      </c>
      <c r="H495">
        <v>154.59261710000001</v>
      </c>
      <c r="I495">
        <v>66</v>
      </c>
      <c r="J495">
        <v>47200388377.840004</v>
      </c>
      <c r="K495">
        <v>-14.8</v>
      </c>
    </row>
    <row r="496" spans="1:11" x14ac:dyDescent="0.3">
      <c r="A496" t="s">
        <v>119</v>
      </c>
      <c r="B496" t="s">
        <v>120</v>
      </c>
      <c r="C496">
        <v>2024</v>
      </c>
      <c r="D496">
        <v>39546104318.239952</v>
      </c>
      <c r="E496">
        <v>43130419829</v>
      </c>
      <c r="F496">
        <v>1372341</v>
      </c>
      <c r="G496">
        <v>-9.0042865E-2</v>
      </c>
      <c r="H496">
        <v>151.0377024</v>
      </c>
      <c r="I496">
        <v>65</v>
      </c>
      <c r="J496">
        <v>40216393205.999992</v>
      </c>
      <c r="K496">
        <v>-1.67</v>
      </c>
    </row>
    <row r="497" spans="1:11" x14ac:dyDescent="0.3">
      <c r="A497" t="s">
        <v>121</v>
      </c>
      <c r="B497" t="s">
        <v>122</v>
      </c>
      <c r="C497">
        <v>2015</v>
      </c>
      <c r="D497">
        <v>4047104886.1990018</v>
      </c>
      <c r="E497">
        <v>62103418182</v>
      </c>
      <c r="F497">
        <v>103867135</v>
      </c>
      <c r="G497">
        <v>10.39246301</v>
      </c>
      <c r="H497">
        <v>39.656124140000003</v>
      </c>
      <c r="I497">
        <v>116</v>
      </c>
    </row>
    <row r="498" spans="1:11" x14ac:dyDescent="0.3">
      <c r="A498" t="s">
        <v>121</v>
      </c>
      <c r="B498" t="s">
        <v>122</v>
      </c>
      <c r="C498">
        <v>2016</v>
      </c>
      <c r="D498">
        <v>3977005859.6219997</v>
      </c>
      <c r="E498">
        <v>68475871210</v>
      </c>
      <c r="F498">
        <v>106718162</v>
      </c>
      <c r="G498">
        <v>9.4334826599999992</v>
      </c>
      <c r="H498">
        <v>34.899021079999997</v>
      </c>
      <c r="I498">
        <v>121</v>
      </c>
      <c r="J498">
        <v>4047104886.1990018</v>
      </c>
      <c r="K498">
        <v>-1.73</v>
      </c>
    </row>
    <row r="499" spans="1:11" x14ac:dyDescent="0.3">
      <c r="A499" t="s">
        <v>121</v>
      </c>
      <c r="B499" t="s">
        <v>122</v>
      </c>
      <c r="C499">
        <v>2017</v>
      </c>
      <c r="D499">
        <v>4611801955.2300005</v>
      </c>
      <c r="E499">
        <v>76366081767</v>
      </c>
      <c r="F499">
        <v>109666481</v>
      </c>
      <c r="G499">
        <v>9.5641896580000001</v>
      </c>
      <c r="H499">
        <v>31.103649489999999</v>
      </c>
      <c r="I499">
        <v>119</v>
      </c>
      <c r="J499">
        <v>3977005859.6219997</v>
      </c>
      <c r="K499">
        <v>15.96</v>
      </c>
    </row>
    <row r="500" spans="1:11" x14ac:dyDescent="0.3">
      <c r="A500" t="s">
        <v>121</v>
      </c>
      <c r="B500" t="s">
        <v>122</v>
      </c>
      <c r="C500">
        <v>2018</v>
      </c>
      <c r="D500">
        <v>3097109183.4350014</v>
      </c>
      <c r="E500">
        <v>83337901072</v>
      </c>
      <c r="F500">
        <v>112664152</v>
      </c>
      <c r="G500">
        <v>6.8161477860000002</v>
      </c>
      <c r="H500">
        <v>31.199368979999999</v>
      </c>
      <c r="I500">
        <v>125</v>
      </c>
      <c r="J500">
        <v>4611801955.2300005</v>
      </c>
      <c r="K500">
        <v>-32.840000000000003</v>
      </c>
    </row>
    <row r="501" spans="1:11" x14ac:dyDescent="0.3">
      <c r="A501" t="s">
        <v>121</v>
      </c>
      <c r="B501" t="s">
        <v>122</v>
      </c>
      <c r="C501">
        <v>2019</v>
      </c>
      <c r="D501">
        <v>5367504746.0199976</v>
      </c>
      <c r="E501">
        <v>91834517114</v>
      </c>
      <c r="F501">
        <v>115737383</v>
      </c>
      <c r="G501">
        <v>8.3640857309999994</v>
      </c>
      <c r="H501">
        <v>28.815293929999999</v>
      </c>
      <c r="I501">
        <v>116</v>
      </c>
      <c r="J501">
        <v>3097109183.4350014</v>
      </c>
      <c r="K501">
        <v>73.31</v>
      </c>
    </row>
    <row r="502" spans="1:11" x14ac:dyDescent="0.3">
      <c r="A502" t="s">
        <v>121</v>
      </c>
      <c r="B502" t="s">
        <v>122</v>
      </c>
      <c r="C502">
        <v>2020</v>
      </c>
      <c r="D502">
        <v>5066554457.6000023</v>
      </c>
      <c r="E502">
        <v>98676811062</v>
      </c>
      <c r="F502">
        <v>118917671</v>
      </c>
      <c r="G502">
        <v>6.0595308919999997</v>
      </c>
      <c r="H502">
        <v>24.00611434</v>
      </c>
      <c r="I502">
        <v>114</v>
      </c>
      <c r="J502">
        <v>5367504746.0199976</v>
      </c>
      <c r="K502">
        <v>-5.61</v>
      </c>
    </row>
    <row r="503" spans="1:11" x14ac:dyDescent="0.3">
      <c r="A503" t="s">
        <v>121</v>
      </c>
      <c r="B503" t="s">
        <v>122</v>
      </c>
      <c r="C503">
        <v>2021</v>
      </c>
      <c r="D503">
        <v>6115257653.1800013</v>
      </c>
      <c r="E503">
        <v>109000000000</v>
      </c>
      <c r="F503">
        <v>122138588</v>
      </c>
      <c r="G503">
        <v>5.641530693</v>
      </c>
      <c r="H503">
        <v>24.34505747</v>
      </c>
      <c r="I503">
        <v>117</v>
      </c>
      <c r="J503">
        <v>5066554457.6000023</v>
      </c>
      <c r="K503">
        <v>20.7</v>
      </c>
    </row>
    <row r="504" spans="1:11" x14ac:dyDescent="0.3">
      <c r="A504" t="s">
        <v>121</v>
      </c>
      <c r="B504" t="s">
        <v>122</v>
      </c>
      <c r="C504">
        <v>2022</v>
      </c>
      <c r="D504">
        <v>6170232218.0670013</v>
      </c>
      <c r="E504">
        <v>123000000000</v>
      </c>
      <c r="F504">
        <v>125384287</v>
      </c>
      <c r="G504">
        <v>5.3217598849999996</v>
      </c>
      <c r="H504">
        <v>26.595499700000001</v>
      </c>
      <c r="I504">
        <v>117</v>
      </c>
      <c r="J504">
        <v>6115257653.1800013</v>
      </c>
      <c r="K504">
        <v>0.9</v>
      </c>
    </row>
    <row r="505" spans="1:11" x14ac:dyDescent="0.3">
      <c r="A505" t="s">
        <v>121</v>
      </c>
      <c r="B505" t="s">
        <v>122</v>
      </c>
      <c r="C505">
        <v>2023</v>
      </c>
      <c r="D505">
        <v>5718913731.8980026</v>
      </c>
      <c r="E505">
        <v>136000000000</v>
      </c>
      <c r="F505">
        <v>128691692</v>
      </c>
      <c r="G505">
        <v>6.5942459910000002</v>
      </c>
      <c r="H505">
        <v>20.598201509999999</v>
      </c>
      <c r="I505">
        <v>118</v>
      </c>
      <c r="J505">
        <v>6170232218.0670013</v>
      </c>
      <c r="K505">
        <v>-7.31</v>
      </c>
    </row>
    <row r="506" spans="1:11" x14ac:dyDescent="0.3">
      <c r="A506" t="s">
        <v>123</v>
      </c>
      <c r="B506" t="s">
        <v>124</v>
      </c>
      <c r="C506">
        <v>2015</v>
      </c>
      <c r="D506">
        <v>119364622415</v>
      </c>
      <c r="E506">
        <v>233000000000</v>
      </c>
      <c r="F506">
        <v>5479531</v>
      </c>
      <c r="G506">
        <v>0.46650376599999999</v>
      </c>
      <c r="H506">
        <v>71.961825379999993</v>
      </c>
      <c r="I506">
        <v>40</v>
      </c>
    </row>
    <row r="507" spans="1:11" x14ac:dyDescent="0.3">
      <c r="A507" t="s">
        <v>123</v>
      </c>
      <c r="B507" t="s">
        <v>124</v>
      </c>
      <c r="C507">
        <v>2016</v>
      </c>
      <c r="D507">
        <v>114651743434</v>
      </c>
      <c r="E507">
        <v>239000000000</v>
      </c>
      <c r="F507">
        <v>5495303</v>
      </c>
      <c r="G507">
        <v>2.5719341490000001</v>
      </c>
      <c r="H507">
        <v>71.72221012</v>
      </c>
      <c r="I507">
        <v>40</v>
      </c>
      <c r="J507">
        <v>119364622415</v>
      </c>
      <c r="K507">
        <v>-3.95</v>
      </c>
    </row>
    <row r="508" spans="1:11" x14ac:dyDescent="0.3">
      <c r="A508" t="s">
        <v>123</v>
      </c>
      <c r="B508" t="s">
        <v>124</v>
      </c>
      <c r="C508">
        <v>2017</v>
      </c>
      <c r="D508">
        <v>134561281696.76402</v>
      </c>
      <c r="E508">
        <v>254000000000</v>
      </c>
      <c r="F508">
        <v>5508214</v>
      </c>
      <c r="G508">
        <v>3.303370036</v>
      </c>
      <c r="H508">
        <v>75.938782230000001</v>
      </c>
      <c r="I508">
        <v>40</v>
      </c>
      <c r="J508">
        <v>114651743434</v>
      </c>
      <c r="K508">
        <v>17.37</v>
      </c>
    </row>
    <row r="509" spans="1:11" x14ac:dyDescent="0.3">
      <c r="A509" t="s">
        <v>123</v>
      </c>
      <c r="B509" t="s">
        <v>124</v>
      </c>
      <c r="C509">
        <v>2018</v>
      </c>
      <c r="D509">
        <v>150516580919.62393</v>
      </c>
      <c r="E509">
        <v>274000000000</v>
      </c>
      <c r="F509">
        <v>5515525</v>
      </c>
      <c r="G509">
        <v>1.1929775970000001</v>
      </c>
      <c r="H509">
        <v>79.143614839999998</v>
      </c>
      <c r="I509">
        <v>38</v>
      </c>
      <c r="J509">
        <v>134561281696.76402</v>
      </c>
      <c r="K509">
        <v>11.86</v>
      </c>
    </row>
    <row r="510" spans="1:11" x14ac:dyDescent="0.3">
      <c r="A510" t="s">
        <v>123</v>
      </c>
      <c r="B510" t="s">
        <v>124</v>
      </c>
      <c r="C510">
        <v>2019</v>
      </c>
      <c r="D510">
        <v>145678352026.513</v>
      </c>
      <c r="E510">
        <v>267000000000</v>
      </c>
      <c r="F510">
        <v>5521606</v>
      </c>
      <c r="G510">
        <v>1.3497384569999999</v>
      </c>
      <c r="H510">
        <v>80.564150290000001</v>
      </c>
      <c r="I510">
        <v>37</v>
      </c>
      <c r="J510">
        <v>150516580919.62393</v>
      </c>
      <c r="K510">
        <v>-3.21</v>
      </c>
    </row>
    <row r="511" spans="1:11" x14ac:dyDescent="0.3">
      <c r="A511" t="s">
        <v>123</v>
      </c>
      <c r="B511" t="s">
        <v>124</v>
      </c>
      <c r="C511">
        <v>2020</v>
      </c>
      <c r="D511">
        <v>131213951680.317</v>
      </c>
      <c r="E511">
        <v>270000000000</v>
      </c>
      <c r="F511">
        <v>5529543</v>
      </c>
      <c r="G511">
        <v>-2.4910360549999999</v>
      </c>
      <c r="H511">
        <v>72.184595599999994</v>
      </c>
      <c r="I511">
        <v>37</v>
      </c>
      <c r="J511">
        <v>145678352026.513</v>
      </c>
      <c r="K511">
        <v>-9.93</v>
      </c>
    </row>
    <row r="512" spans="1:11" x14ac:dyDescent="0.3">
      <c r="A512" t="s">
        <v>123</v>
      </c>
      <c r="B512" t="s">
        <v>124</v>
      </c>
      <c r="C512">
        <v>2021</v>
      </c>
      <c r="D512">
        <v>163000530418.616</v>
      </c>
      <c r="E512">
        <v>294000000000</v>
      </c>
      <c r="F512">
        <v>5541017</v>
      </c>
      <c r="G512">
        <v>2.6763464149999998</v>
      </c>
      <c r="H512">
        <v>79.789278190000005</v>
      </c>
      <c r="I512">
        <v>38</v>
      </c>
      <c r="J512">
        <v>131213951680.317</v>
      </c>
      <c r="K512">
        <v>24.22</v>
      </c>
    </row>
    <row r="513" spans="1:11" x14ac:dyDescent="0.3">
      <c r="A513" t="s">
        <v>123</v>
      </c>
      <c r="B513" t="s">
        <v>124</v>
      </c>
      <c r="C513">
        <v>2022</v>
      </c>
      <c r="D513">
        <v>172456480361.64999</v>
      </c>
      <c r="E513">
        <v>280000000000</v>
      </c>
      <c r="F513">
        <v>5556106</v>
      </c>
      <c r="G513">
        <v>0.76304191300000002</v>
      </c>
      <c r="H513">
        <v>94.562534049999996</v>
      </c>
      <c r="I513">
        <v>39</v>
      </c>
      <c r="J513">
        <v>163000530418.616</v>
      </c>
      <c r="K513">
        <v>5.8</v>
      </c>
    </row>
    <row r="514" spans="1:11" x14ac:dyDescent="0.3">
      <c r="A514" t="s">
        <v>123</v>
      </c>
      <c r="B514" t="s">
        <v>124</v>
      </c>
      <c r="C514">
        <v>2023</v>
      </c>
      <c r="D514">
        <v>165135505345.51205</v>
      </c>
      <c r="E514">
        <v>295000000000</v>
      </c>
      <c r="F514">
        <v>5583911</v>
      </c>
      <c r="G514">
        <v>-1.2897348449999999</v>
      </c>
      <c r="H514">
        <v>85.514184720000003</v>
      </c>
      <c r="I514">
        <v>39</v>
      </c>
      <c r="J514">
        <v>172456480361.64999</v>
      </c>
      <c r="K514">
        <v>-4.25</v>
      </c>
    </row>
    <row r="515" spans="1:11" x14ac:dyDescent="0.3">
      <c r="A515" t="s">
        <v>123</v>
      </c>
      <c r="B515" t="s">
        <v>124</v>
      </c>
      <c r="C515">
        <v>2024</v>
      </c>
      <c r="D515">
        <v>151157449686.582</v>
      </c>
      <c r="E515">
        <v>299000000000</v>
      </c>
      <c r="F515">
        <v>5619911</v>
      </c>
      <c r="G515">
        <v>0.37456656900000002</v>
      </c>
      <c r="H515">
        <v>83.451029559999995</v>
      </c>
      <c r="I515">
        <v>40</v>
      </c>
      <c r="J515">
        <v>165135505345.51205</v>
      </c>
      <c r="K515">
        <v>-8.4600000000000009</v>
      </c>
    </row>
    <row r="516" spans="1:11" x14ac:dyDescent="0.3">
      <c r="A516" t="s">
        <v>125</v>
      </c>
      <c r="B516" t="s">
        <v>126</v>
      </c>
      <c r="C516">
        <v>2015</v>
      </c>
      <c r="D516">
        <v>1962481141.2609987</v>
      </c>
      <c r="E516">
        <v>4682479894</v>
      </c>
      <c r="F516">
        <v>918578</v>
      </c>
      <c r="G516">
        <v>4.5012006449999999</v>
      </c>
      <c r="H516">
        <v>101.189049</v>
      </c>
      <c r="I516">
        <v>130</v>
      </c>
    </row>
    <row r="517" spans="1:11" x14ac:dyDescent="0.3">
      <c r="A517" t="s">
        <v>125</v>
      </c>
      <c r="B517" t="s">
        <v>126</v>
      </c>
      <c r="C517">
        <v>2016</v>
      </c>
      <c r="D517">
        <v>1844074974.0140007</v>
      </c>
      <c r="E517">
        <v>4930213644</v>
      </c>
      <c r="F517">
        <v>919166</v>
      </c>
      <c r="G517">
        <v>2.4456520240000001</v>
      </c>
      <c r="H517">
        <v>97.174490579999997</v>
      </c>
      <c r="I517">
        <v>133</v>
      </c>
      <c r="J517">
        <v>1962481141.2609987</v>
      </c>
      <c r="K517">
        <v>-6.03</v>
      </c>
    </row>
    <row r="518" spans="1:11" x14ac:dyDescent="0.3">
      <c r="A518" t="s">
        <v>125</v>
      </c>
      <c r="B518" t="s">
        <v>126</v>
      </c>
      <c r="C518">
        <v>2017</v>
      </c>
      <c r="D518">
        <v>2072298388.2459993</v>
      </c>
      <c r="E518">
        <v>5353469174</v>
      </c>
      <c r="F518">
        <v>918759</v>
      </c>
      <c r="G518">
        <v>5.3533643499999997</v>
      </c>
      <c r="H518">
        <v>97.02166253</v>
      </c>
      <c r="I518">
        <v>131</v>
      </c>
      <c r="J518">
        <v>1844074974.0140007</v>
      </c>
      <c r="K518">
        <v>12.38</v>
      </c>
    </row>
    <row r="519" spans="1:11" x14ac:dyDescent="0.3">
      <c r="A519" t="s">
        <v>125</v>
      </c>
      <c r="B519" t="s">
        <v>126</v>
      </c>
      <c r="C519">
        <v>2018</v>
      </c>
      <c r="D519">
        <v>2013636884.059</v>
      </c>
      <c r="E519">
        <v>5581425327</v>
      </c>
      <c r="F519">
        <v>917180</v>
      </c>
      <c r="G519">
        <v>3.81235094</v>
      </c>
      <c r="H519">
        <v>103.2354199</v>
      </c>
      <c r="I519">
        <v>131</v>
      </c>
      <c r="J519">
        <v>2072298388.2459993</v>
      </c>
      <c r="K519">
        <v>-2.83</v>
      </c>
    </row>
    <row r="520" spans="1:11" x14ac:dyDescent="0.3">
      <c r="A520" t="s">
        <v>125</v>
      </c>
      <c r="B520" t="s">
        <v>126</v>
      </c>
      <c r="C520">
        <v>2019</v>
      </c>
      <c r="D520">
        <v>1930300275.2829998</v>
      </c>
      <c r="E520">
        <v>5344907153</v>
      </c>
      <c r="F520">
        <v>914899</v>
      </c>
      <c r="G520">
        <v>-0.58194659000000004</v>
      </c>
      <c r="H520">
        <v>110.6961921</v>
      </c>
      <c r="I520">
        <v>131</v>
      </c>
      <c r="J520">
        <v>2013636884.059</v>
      </c>
      <c r="K520">
        <v>-4.1399999999999997</v>
      </c>
    </row>
    <row r="521" spans="1:11" x14ac:dyDescent="0.3">
      <c r="A521" t="s">
        <v>125</v>
      </c>
      <c r="B521" t="s">
        <v>126</v>
      </c>
      <c r="C521">
        <v>2020</v>
      </c>
      <c r="D521">
        <v>1652469613.5809991</v>
      </c>
      <c r="E521">
        <v>4227719873</v>
      </c>
      <c r="F521">
        <v>914963</v>
      </c>
      <c r="G521">
        <v>-17.183535259999999</v>
      </c>
      <c r="H521">
        <v>78.076365179999996</v>
      </c>
      <c r="I521">
        <v>133</v>
      </c>
      <c r="J521">
        <v>1930300275.2829998</v>
      </c>
      <c r="K521">
        <v>-14.39</v>
      </c>
    </row>
    <row r="522" spans="1:11" x14ac:dyDescent="0.3">
      <c r="A522" t="s">
        <v>125</v>
      </c>
      <c r="B522" t="s">
        <v>126</v>
      </c>
      <c r="C522">
        <v>2021</v>
      </c>
      <c r="D522">
        <v>1630671306.3070014</v>
      </c>
      <c r="E522">
        <v>4158873156</v>
      </c>
      <c r="F522">
        <v>916711</v>
      </c>
      <c r="G522">
        <v>-4.345961999</v>
      </c>
      <c r="H522">
        <v>87.215932179999996</v>
      </c>
      <c r="I522">
        <v>136</v>
      </c>
      <c r="J522">
        <v>1652469613.5809991</v>
      </c>
      <c r="K522">
        <v>-1.32</v>
      </c>
    </row>
    <row r="523" spans="1:11" x14ac:dyDescent="0.3">
      <c r="A523" t="s">
        <v>125</v>
      </c>
      <c r="B523" t="s">
        <v>126</v>
      </c>
      <c r="C523">
        <v>2022</v>
      </c>
      <c r="D523">
        <v>2110458414.9309995</v>
      </c>
      <c r="E523">
        <v>4977861886</v>
      </c>
      <c r="F523">
        <v>919422</v>
      </c>
      <c r="G523">
        <v>17.745126979999998</v>
      </c>
      <c r="H523">
        <v>119.2137467</v>
      </c>
      <c r="I523">
        <v>130</v>
      </c>
      <c r="J523">
        <v>1630671306.3070014</v>
      </c>
      <c r="K523">
        <v>29.42</v>
      </c>
    </row>
    <row r="524" spans="1:11" x14ac:dyDescent="0.3">
      <c r="A524" t="s">
        <v>125</v>
      </c>
      <c r="B524" t="s">
        <v>126</v>
      </c>
      <c r="C524">
        <v>2023</v>
      </c>
      <c r="D524">
        <v>2135379395.2789984</v>
      </c>
      <c r="E524">
        <v>5476673518</v>
      </c>
      <c r="F524">
        <v>924145</v>
      </c>
      <c r="G524">
        <v>9.4424585669999992</v>
      </c>
      <c r="H524">
        <v>126.2821345</v>
      </c>
      <c r="I524">
        <v>127</v>
      </c>
      <c r="J524">
        <v>2110458414.9309995</v>
      </c>
      <c r="K524">
        <v>1.18</v>
      </c>
    </row>
    <row r="525" spans="1:11" x14ac:dyDescent="0.3">
      <c r="A525" t="s">
        <v>125</v>
      </c>
      <c r="B525" t="s">
        <v>126</v>
      </c>
      <c r="C525">
        <v>2024</v>
      </c>
      <c r="D525">
        <v>2247967134.031002</v>
      </c>
      <c r="E525">
        <v>5968125909</v>
      </c>
      <c r="F525">
        <v>928784</v>
      </c>
      <c r="G525">
        <v>3.5308589609999999</v>
      </c>
      <c r="H525">
        <v>118.9628809</v>
      </c>
      <c r="I525">
        <v>110</v>
      </c>
      <c r="J525">
        <v>2135379395.2789984</v>
      </c>
      <c r="K525">
        <v>5.27</v>
      </c>
    </row>
    <row r="526" spans="1:11" x14ac:dyDescent="0.3">
      <c r="A526" t="s">
        <v>127</v>
      </c>
      <c r="B526" t="s">
        <v>128</v>
      </c>
      <c r="C526">
        <v>2015</v>
      </c>
      <c r="D526">
        <v>987882428442</v>
      </c>
      <c r="E526">
        <v>2440000000000</v>
      </c>
      <c r="F526">
        <v>66548272</v>
      </c>
      <c r="G526">
        <v>1.0667547479999999</v>
      </c>
      <c r="H526">
        <v>63.504687199999999</v>
      </c>
      <c r="I526">
        <v>6</v>
      </c>
    </row>
    <row r="527" spans="1:11" x14ac:dyDescent="0.3">
      <c r="A527" t="s">
        <v>127</v>
      </c>
      <c r="B527" t="s">
        <v>128</v>
      </c>
      <c r="C527">
        <v>2016</v>
      </c>
      <c r="D527">
        <v>977770144882</v>
      </c>
      <c r="E527">
        <v>2470000000000</v>
      </c>
      <c r="F527">
        <v>66724104</v>
      </c>
      <c r="G527">
        <v>0.86003107499999998</v>
      </c>
      <c r="H527">
        <v>63.342756440000002</v>
      </c>
      <c r="I527">
        <v>6</v>
      </c>
      <c r="J527">
        <v>987882428442</v>
      </c>
      <c r="K527">
        <v>-1.02</v>
      </c>
    </row>
    <row r="528" spans="1:11" x14ac:dyDescent="0.3">
      <c r="A528" t="s">
        <v>127</v>
      </c>
      <c r="B528" t="s">
        <v>128</v>
      </c>
      <c r="C528">
        <v>2017</v>
      </c>
      <c r="D528">
        <v>1046770266568.9873</v>
      </c>
      <c r="E528">
        <v>2590000000000</v>
      </c>
      <c r="F528">
        <v>66918020</v>
      </c>
      <c r="G528">
        <v>2.08361486</v>
      </c>
      <c r="H528">
        <v>65.39584816</v>
      </c>
      <c r="I528">
        <v>7</v>
      </c>
      <c r="J528">
        <v>977770144882</v>
      </c>
      <c r="K528">
        <v>7.06</v>
      </c>
    </row>
    <row r="529" spans="1:11" x14ac:dyDescent="0.3">
      <c r="A529" t="s">
        <v>127</v>
      </c>
      <c r="B529" t="s">
        <v>128</v>
      </c>
      <c r="C529">
        <v>2018</v>
      </c>
      <c r="D529">
        <v>1137071759689.8562</v>
      </c>
      <c r="E529">
        <v>2780000000000</v>
      </c>
      <c r="F529">
        <v>67158348</v>
      </c>
      <c r="G529">
        <v>1.6459087240000001</v>
      </c>
      <c r="H529">
        <v>66.802260779999997</v>
      </c>
      <c r="I529">
        <v>7</v>
      </c>
      <c r="J529">
        <v>1046770266568.9873</v>
      </c>
      <c r="K529">
        <v>8.6300000000000008</v>
      </c>
    </row>
    <row r="530" spans="1:11" x14ac:dyDescent="0.3">
      <c r="A530" t="s">
        <v>127</v>
      </c>
      <c r="B530" t="s">
        <v>128</v>
      </c>
      <c r="C530">
        <v>2019</v>
      </c>
      <c r="D530">
        <v>1112728228016.6475</v>
      </c>
      <c r="E530">
        <v>2720000000000</v>
      </c>
      <c r="F530">
        <v>67382061</v>
      </c>
      <c r="G530">
        <v>2.0274464640000001</v>
      </c>
      <c r="H530">
        <v>66.42896073</v>
      </c>
      <c r="I530">
        <v>5</v>
      </c>
      <c r="J530">
        <v>1137071759689.8562</v>
      </c>
      <c r="K530">
        <v>-2.14</v>
      </c>
    </row>
    <row r="531" spans="1:11" x14ac:dyDescent="0.3">
      <c r="A531" t="s">
        <v>127</v>
      </c>
      <c r="B531" t="s">
        <v>128</v>
      </c>
      <c r="C531">
        <v>2020</v>
      </c>
      <c r="D531">
        <v>979808751542.88428</v>
      </c>
      <c r="E531">
        <v>2650000000000</v>
      </c>
      <c r="F531">
        <v>67601110</v>
      </c>
      <c r="G531">
        <v>-7.4406458989999997</v>
      </c>
      <c r="H531">
        <v>58.838890720000002</v>
      </c>
      <c r="I531">
        <v>8</v>
      </c>
      <c r="J531">
        <v>1112728228016.6475</v>
      </c>
      <c r="K531">
        <v>-11.95</v>
      </c>
    </row>
    <row r="532" spans="1:11" x14ac:dyDescent="0.3">
      <c r="A532" t="s">
        <v>127</v>
      </c>
      <c r="B532" t="s">
        <v>128</v>
      </c>
      <c r="C532">
        <v>2021</v>
      </c>
      <c r="D532">
        <v>1170354793956.5891</v>
      </c>
      <c r="E532">
        <v>2970000000000</v>
      </c>
      <c r="F532">
        <v>67842811</v>
      </c>
      <c r="G532">
        <v>6.8823378340000003</v>
      </c>
      <c r="H532">
        <v>63.788482629999997</v>
      </c>
      <c r="I532">
        <v>8</v>
      </c>
      <c r="J532">
        <v>979808751542.88428</v>
      </c>
      <c r="K532">
        <v>19.45</v>
      </c>
    </row>
    <row r="533" spans="1:11" x14ac:dyDescent="0.3">
      <c r="A533" t="s">
        <v>127</v>
      </c>
      <c r="B533" t="s">
        <v>128</v>
      </c>
      <c r="C533">
        <v>2022</v>
      </c>
      <c r="D533">
        <v>1265518486184.4741</v>
      </c>
      <c r="E533">
        <v>2790000000000</v>
      </c>
      <c r="F533">
        <v>68184457</v>
      </c>
      <c r="G533">
        <v>2.7167626419999999</v>
      </c>
      <c r="H533">
        <v>75.9630078</v>
      </c>
      <c r="I533">
        <v>7</v>
      </c>
      <c r="J533">
        <v>1170354793956.5891</v>
      </c>
      <c r="K533">
        <v>8.1300000000000008</v>
      </c>
    </row>
    <row r="534" spans="1:11" x14ac:dyDescent="0.3">
      <c r="A534" t="s">
        <v>127</v>
      </c>
      <c r="B534" t="s">
        <v>128</v>
      </c>
      <c r="C534">
        <v>2023</v>
      </c>
      <c r="D534">
        <v>1320897443921.1133</v>
      </c>
      <c r="E534">
        <v>3060000000000</v>
      </c>
      <c r="F534">
        <v>68372286</v>
      </c>
      <c r="G534">
        <v>1.4392149439999999</v>
      </c>
      <c r="H534">
        <v>70.626145059999999</v>
      </c>
      <c r="I534">
        <v>6</v>
      </c>
      <c r="J534">
        <v>1265518486184.4741</v>
      </c>
      <c r="K534">
        <v>4.38</v>
      </c>
    </row>
    <row r="535" spans="1:11" x14ac:dyDescent="0.3">
      <c r="A535" t="s">
        <v>127</v>
      </c>
      <c r="B535" t="s">
        <v>128</v>
      </c>
      <c r="C535">
        <v>2024</v>
      </c>
      <c r="D535">
        <v>1291917915048.0876</v>
      </c>
      <c r="E535">
        <v>3160000000000</v>
      </c>
      <c r="F535">
        <v>68551653</v>
      </c>
      <c r="G535">
        <v>1.190467983</v>
      </c>
      <c r="H535">
        <v>68.108187540000003</v>
      </c>
      <c r="I535">
        <v>7</v>
      </c>
      <c r="J535">
        <v>1320897443921.1133</v>
      </c>
      <c r="K535">
        <v>-2.19</v>
      </c>
    </row>
    <row r="536" spans="1:11" x14ac:dyDescent="0.3">
      <c r="A536" t="s">
        <v>129</v>
      </c>
      <c r="B536" t="s">
        <v>130</v>
      </c>
      <c r="C536">
        <v>2015</v>
      </c>
      <c r="D536">
        <v>21307029193.645988</v>
      </c>
      <c r="E536">
        <v>14383107763</v>
      </c>
      <c r="F536">
        <v>2040989</v>
      </c>
      <c r="G536">
        <v>3.8788993949999999</v>
      </c>
      <c r="H536">
        <v>73.949781459999997</v>
      </c>
      <c r="I536">
        <v>78</v>
      </c>
    </row>
    <row r="537" spans="1:11" x14ac:dyDescent="0.3">
      <c r="A537" t="s">
        <v>129</v>
      </c>
      <c r="B537" t="s">
        <v>130</v>
      </c>
      <c r="C537">
        <v>2016</v>
      </c>
      <c r="D537">
        <v>19006997967.314999</v>
      </c>
      <c r="E537">
        <v>14023890265</v>
      </c>
      <c r="F537">
        <v>2100306</v>
      </c>
      <c r="G537">
        <v>2.0914422080000001</v>
      </c>
      <c r="H537">
        <v>70.133381060000005</v>
      </c>
      <c r="I537">
        <v>82</v>
      </c>
      <c r="J537">
        <v>21307029193.645988</v>
      </c>
      <c r="K537">
        <v>-10.79</v>
      </c>
    </row>
    <row r="538" spans="1:11" x14ac:dyDescent="0.3">
      <c r="A538" t="s">
        <v>129</v>
      </c>
      <c r="B538" t="s">
        <v>130</v>
      </c>
      <c r="C538">
        <v>2017</v>
      </c>
      <c r="D538">
        <v>11542054406.409992</v>
      </c>
      <c r="E538">
        <v>14929487485</v>
      </c>
      <c r="F538">
        <v>2156900</v>
      </c>
      <c r="G538">
        <v>0.47264203100000002</v>
      </c>
      <c r="H538">
        <v>75.068740450000007</v>
      </c>
      <c r="I538">
        <v>93</v>
      </c>
      <c r="J538">
        <v>19006997967.314999</v>
      </c>
      <c r="K538">
        <v>-39.270000000000003</v>
      </c>
    </row>
    <row r="539" spans="1:11" x14ac:dyDescent="0.3">
      <c r="A539" t="s">
        <v>129</v>
      </c>
      <c r="B539" t="s">
        <v>130</v>
      </c>
      <c r="C539">
        <v>2018</v>
      </c>
      <c r="D539">
        <v>17167716419.689997</v>
      </c>
      <c r="E539">
        <v>16867326402</v>
      </c>
      <c r="F539">
        <v>2212318</v>
      </c>
      <c r="G539">
        <v>0.83791658099999999</v>
      </c>
      <c r="H539">
        <v>77.036597700000002</v>
      </c>
      <c r="I539">
        <v>86</v>
      </c>
      <c r="J539">
        <v>11542054406.409992</v>
      </c>
      <c r="K539">
        <v>48.74</v>
      </c>
    </row>
    <row r="540" spans="1:11" x14ac:dyDescent="0.3">
      <c r="A540" t="s">
        <v>129</v>
      </c>
      <c r="B540" t="s">
        <v>130</v>
      </c>
      <c r="C540">
        <v>2019</v>
      </c>
      <c r="D540">
        <v>15427085773.809994</v>
      </c>
      <c r="E540">
        <v>16874405465</v>
      </c>
      <c r="F540">
        <v>2267706</v>
      </c>
      <c r="G540">
        <v>3.9208087950000001</v>
      </c>
      <c r="H540">
        <v>73.428089450000002</v>
      </c>
      <c r="I540">
        <v>85</v>
      </c>
      <c r="J540">
        <v>17167716419.689997</v>
      </c>
      <c r="K540">
        <v>-10.14</v>
      </c>
    </row>
    <row r="541" spans="1:11" x14ac:dyDescent="0.3">
      <c r="A541" t="s">
        <v>129</v>
      </c>
      <c r="B541" t="s">
        <v>130</v>
      </c>
      <c r="C541">
        <v>2020</v>
      </c>
      <c r="D541">
        <v>14689572861.021004</v>
      </c>
      <c r="E541">
        <v>15342236164</v>
      </c>
      <c r="F541">
        <v>2322539</v>
      </c>
      <c r="G541">
        <v>-1.8377610639999999</v>
      </c>
      <c r="H541">
        <v>70.11405465</v>
      </c>
      <c r="I541">
        <v>84</v>
      </c>
      <c r="J541">
        <v>15427085773.809994</v>
      </c>
      <c r="K541">
        <v>-4.78</v>
      </c>
    </row>
    <row r="542" spans="1:11" x14ac:dyDescent="0.3">
      <c r="A542" t="s">
        <v>129</v>
      </c>
      <c r="B542" t="s">
        <v>130</v>
      </c>
      <c r="C542">
        <v>2021</v>
      </c>
      <c r="D542">
        <v>16062335692.988995</v>
      </c>
      <c r="E542">
        <v>19444935097</v>
      </c>
      <c r="F542">
        <v>2376722</v>
      </c>
      <c r="G542">
        <v>1.467957315</v>
      </c>
      <c r="H542">
        <v>85.348312210000003</v>
      </c>
      <c r="I542">
        <v>91</v>
      </c>
      <c r="J542">
        <v>14689572861.021004</v>
      </c>
      <c r="K542">
        <v>9.35</v>
      </c>
    </row>
    <row r="543" spans="1:11" x14ac:dyDescent="0.3">
      <c r="A543" t="s">
        <v>129</v>
      </c>
      <c r="B543" t="s">
        <v>130</v>
      </c>
      <c r="C543">
        <v>2022</v>
      </c>
      <c r="D543">
        <v>20940912957.212002</v>
      </c>
      <c r="E543">
        <v>20440655695</v>
      </c>
      <c r="F543">
        <v>2430747</v>
      </c>
      <c r="G543">
        <v>3.0376144950000001</v>
      </c>
      <c r="H543">
        <v>92.06308885</v>
      </c>
      <c r="I543">
        <v>85</v>
      </c>
      <c r="J543">
        <v>16062335692.988995</v>
      </c>
      <c r="K543">
        <v>30.37</v>
      </c>
    </row>
    <row r="544" spans="1:11" x14ac:dyDescent="0.3">
      <c r="A544" t="s">
        <v>129</v>
      </c>
      <c r="B544" t="s">
        <v>130</v>
      </c>
      <c r="C544">
        <v>2023</v>
      </c>
      <c r="D544">
        <v>25389935057.115002</v>
      </c>
      <c r="E544">
        <v>19388372071</v>
      </c>
      <c r="F544">
        <v>2484789</v>
      </c>
      <c r="G544">
        <v>2.43893665</v>
      </c>
      <c r="H544">
        <v>91.478653320000006</v>
      </c>
      <c r="I544">
        <v>74</v>
      </c>
      <c r="J544">
        <v>20940912957.212002</v>
      </c>
      <c r="K544">
        <v>21.25</v>
      </c>
    </row>
    <row r="545" spans="1:11" x14ac:dyDescent="0.3">
      <c r="A545" t="s">
        <v>131</v>
      </c>
      <c r="B545" t="s">
        <v>132</v>
      </c>
      <c r="C545">
        <v>2015</v>
      </c>
      <c r="D545">
        <v>932591365509</v>
      </c>
      <c r="E545">
        <v>2950000000000</v>
      </c>
      <c r="F545">
        <v>65087000</v>
      </c>
      <c r="G545">
        <v>2.1404055999999998</v>
      </c>
      <c r="H545">
        <v>57.125044610000003</v>
      </c>
      <c r="I545">
        <v>7</v>
      </c>
    </row>
    <row r="546" spans="1:11" x14ac:dyDescent="0.3">
      <c r="A546" t="s">
        <v>131</v>
      </c>
      <c r="B546" t="s">
        <v>132</v>
      </c>
      <c r="C546">
        <v>2016</v>
      </c>
      <c r="D546">
        <v>822926711253</v>
      </c>
      <c r="E546">
        <v>2710000000000</v>
      </c>
      <c r="F546">
        <v>65606000</v>
      </c>
      <c r="G546">
        <v>2.206520206</v>
      </c>
      <c r="H546">
        <v>59.83953151</v>
      </c>
      <c r="I546">
        <v>9</v>
      </c>
      <c r="J546">
        <v>932591365509</v>
      </c>
      <c r="K546">
        <v>-11.76</v>
      </c>
    </row>
    <row r="547" spans="1:11" x14ac:dyDescent="0.3">
      <c r="A547" t="s">
        <v>131</v>
      </c>
      <c r="B547" t="s">
        <v>132</v>
      </c>
      <c r="C547">
        <v>2017</v>
      </c>
      <c r="D547">
        <v>883694648428.58984</v>
      </c>
      <c r="E547">
        <v>2700000000000</v>
      </c>
      <c r="F547">
        <v>65964000</v>
      </c>
      <c r="G547">
        <v>3.023222198</v>
      </c>
      <c r="H547">
        <v>63.189924580000003</v>
      </c>
      <c r="I547">
        <v>9</v>
      </c>
      <c r="J547">
        <v>822926711253</v>
      </c>
      <c r="K547">
        <v>7.38</v>
      </c>
    </row>
    <row r="548" spans="1:11" x14ac:dyDescent="0.3">
      <c r="A548" t="s">
        <v>131</v>
      </c>
      <c r="B548" t="s">
        <v>132</v>
      </c>
      <c r="C548">
        <v>2018</v>
      </c>
      <c r="D548">
        <v>981680727107.14917</v>
      </c>
      <c r="E548">
        <v>2900000000000</v>
      </c>
      <c r="F548">
        <v>66287000</v>
      </c>
      <c r="G548">
        <v>1.551330951</v>
      </c>
      <c r="H548">
        <v>64.909772200000006</v>
      </c>
      <c r="I548">
        <v>9</v>
      </c>
      <c r="J548">
        <v>883694648428.58984</v>
      </c>
      <c r="K548">
        <v>11.09</v>
      </c>
    </row>
    <row r="549" spans="1:11" x14ac:dyDescent="0.3">
      <c r="A549" t="s">
        <v>131</v>
      </c>
      <c r="B549" t="s">
        <v>132</v>
      </c>
      <c r="C549">
        <v>2019</v>
      </c>
      <c r="D549">
        <v>936644832295.16675</v>
      </c>
      <c r="E549">
        <v>2880000000000</v>
      </c>
      <c r="F549">
        <v>66628000</v>
      </c>
      <c r="G549">
        <v>1.2562989979999999</v>
      </c>
      <c r="H549">
        <v>65.003566419999999</v>
      </c>
      <c r="I549">
        <v>9</v>
      </c>
      <c r="J549">
        <v>981680727107.14917</v>
      </c>
      <c r="K549">
        <v>-4.59</v>
      </c>
    </row>
    <row r="550" spans="1:11" x14ac:dyDescent="0.3">
      <c r="A550" t="s">
        <v>131</v>
      </c>
      <c r="B550" t="s">
        <v>132</v>
      </c>
      <c r="C550">
        <v>2020</v>
      </c>
      <c r="D550">
        <v>791384173172.27637</v>
      </c>
      <c r="E550">
        <v>2720000000000</v>
      </c>
      <c r="F550">
        <v>66740000</v>
      </c>
      <c r="G550">
        <v>-10.047896639999999</v>
      </c>
      <c r="H550">
        <v>59.159889300000003</v>
      </c>
      <c r="I550">
        <v>10</v>
      </c>
      <c r="J550">
        <v>936644832295.16675</v>
      </c>
      <c r="K550">
        <v>-15.51</v>
      </c>
    </row>
    <row r="551" spans="1:11" x14ac:dyDescent="0.3">
      <c r="A551" t="s">
        <v>131</v>
      </c>
      <c r="B551" t="s">
        <v>132</v>
      </c>
      <c r="C551">
        <v>2021</v>
      </c>
      <c r="D551">
        <v>941095572058.92432</v>
      </c>
      <c r="E551">
        <v>3190000000000</v>
      </c>
      <c r="F551">
        <v>66978000</v>
      </c>
      <c r="G551">
        <v>8.5431118450000003</v>
      </c>
      <c r="H551">
        <v>58.538386289999998</v>
      </c>
      <c r="I551">
        <v>12</v>
      </c>
      <c r="J551">
        <v>791384173172.27637</v>
      </c>
      <c r="K551">
        <v>18.920000000000002</v>
      </c>
    </row>
    <row r="552" spans="1:11" x14ac:dyDescent="0.3">
      <c r="A552" t="s">
        <v>131</v>
      </c>
      <c r="B552" t="s">
        <v>132</v>
      </c>
      <c r="C552">
        <v>2022</v>
      </c>
      <c r="D552">
        <v>1086372091001.4473</v>
      </c>
      <c r="E552">
        <v>3180000000000</v>
      </c>
      <c r="F552">
        <v>67636000</v>
      </c>
      <c r="G552">
        <v>5.1497038850000001</v>
      </c>
      <c r="H552">
        <v>69.198926439999994</v>
      </c>
      <c r="I552">
        <v>11</v>
      </c>
      <c r="J552">
        <v>941095572058.92432</v>
      </c>
      <c r="K552">
        <v>15.44</v>
      </c>
    </row>
    <row r="553" spans="1:11" x14ac:dyDescent="0.3">
      <c r="A553" t="s">
        <v>131</v>
      </c>
      <c r="B553" t="s">
        <v>132</v>
      </c>
      <c r="C553">
        <v>2023</v>
      </c>
      <c r="D553">
        <v>1042414445910.6543</v>
      </c>
      <c r="E553">
        <v>3420000000000</v>
      </c>
      <c r="F553">
        <v>68526000</v>
      </c>
      <c r="G553">
        <v>0.27165004799999998</v>
      </c>
      <c r="H553">
        <v>64.992384169999994</v>
      </c>
      <c r="I553">
        <v>12</v>
      </c>
      <c r="J553">
        <v>1086372091001.4473</v>
      </c>
      <c r="K553">
        <v>-4.05</v>
      </c>
    </row>
    <row r="554" spans="1:11" x14ac:dyDescent="0.3">
      <c r="A554" t="s">
        <v>131</v>
      </c>
      <c r="B554" t="s">
        <v>132</v>
      </c>
      <c r="C554">
        <v>2024</v>
      </c>
      <c r="D554">
        <v>1040331742475.95</v>
      </c>
      <c r="E554">
        <v>3700000000000</v>
      </c>
      <c r="F554">
        <v>69281000</v>
      </c>
      <c r="G554">
        <v>1.0802771689999999</v>
      </c>
      <c r="H554">
        <v>62.839052039999999</v>
      </c>
      <c r="I554">
        <v>11</v>
      </c>
      <c r="J554">
        <v>1042414445910.6543</v>
      </c>
      <c r="K554">
        <v>-0.2</v>
      </c>
    </row>
    <row r="555" spans="1:11" x14ac:dyDescent="0.3">
      <c r="A555" t="s">
        <v>133</v>
      </c>
      <c r="B555" t="s">
        <v>134</v>
      </c>
      <c r="C555">
        <v>2015</v>
      </c>
      <c r="D555">
        <v>4408349362.8600006</v>
      </c>
      <c r="E555">
        <v>15223796149</v>
      </c>
      <c r="F555">
        <v>3725276</v>
      </c>
      <c r="G555">
        <v>3.351023503</v>
      </c>
      <c r="H555">
        <v>97.016311509999994</v>
      </c>
      <c r="I555">
        <v>114</v>
      </c>
    </row>
    <row r="556" spans="1:11" x14ac:dyDescent="0.3">
      <c r="A556" t="s">
        <v>133</v>
      </c>
      <c r="B556" t="s">
        <v>134</v>
      </c>
      <c r="C556">
        <v>2016</v>
      </c>
      <c r="D556">
        <v>4234261415.1400013</v>
      </c>
      <c r="E556">
        <v>15444548902</v>
      </c>
      <c r="F556">
        <v>3727505</v>
      </c>
      <c r="G556">
        <v>3.4502151799999998</v>
      </c>
      <c r="H556">
        <v>94.926252840000004</v>
      </c>
      <c r="I556">
        <v>119</v>
      </c>
      <c r="J556">
        <v>4408349362.8600006</v>
      </c>
      <c r="K556">
        <v>-3.95</v>
      </c>
    </row>
    <row r="557" spans="1:11" x14ac:dyDescent="0.3">
      <c r="A557" t="s">
        <v>133</v>
      </c>
      <c r="B557" t="s">
        <v>134</v>
      </c>
      <c r="C557">
        <v>2017</v>
      </c>
      <c r="D557">
        <v>5491318518.7399998</v>
      </c>
      <c r="E557">
        <v>16473125375</v>
      </c>
      <c r="F557">
        <v>3728004</v>
      </c>
      <c r="G557">
        <v>5.1599026170000002</v>
      </c>
      <c r="H557">
        <v>102.5842777</v>
      </c>
      <c r="I557">
        <v>116</v>
      </c>
      <c r="J557">
        <v>4234261415.1400013</v>
      </c>
      <c r="K557">
        <v>29.69</v>
      </c>
    </row>
    <row r="558" spans="1:11" x14ac:dyDescent="0.3">
      <c r="A558" t="s">
        <v>133</v>
      </c>
      <c r="B558" t="s">
        <v>134</v>
      </c>
      <c r="C558">
        <v>2018</v>
      </c>
      <c r="D558">
        <v>6759299025.079999</v>
      </c>
      <c r="E558">
        <v>17902544881</v>
      </c>
      <c r="F558">
        <v>3726549</v>
      </c>
      <c r="G558">
        <v>6.0620364130000004</v>
      </c>
      <c r="H558">
        <v>109.84774059999999</v>
      </c>
      <c r="I558">
        <v>111</v>
      </c>
      <c r="J558">
        <v>5491318518.7399998</v>
      </c>
      <c r="K558">
        <v>23.09</v>
      </c>
    </row>
    <row r="559" spans="1:11" x14ac:dyDescent="0.3">
      <c r="A559" t="s">
        <v>133</v>
      </c>
      <c r="B559" t="s">
        <v>134</v>
      </c>
      <c r="C559">
        <v>2019</v>
      </c>
      <c r="D559">
        <v>7595931387.5000038</v>
      </c>
      <c r="E559">
        <v>17638337117</v>
      </c>
      <c r="F559">
        <v>3720161</v>
      </c>
      <c r="G559">
        <v>5.3807192659999998</v>
      </c>
      <c r="H559">
        <v>117.8100802</v>
      </c>
      <c r="I559">
        <v>107</v>
      </c>
      <c r="J559">
        <v>6759299025.079999</v>
      </c>
      <c r="K559">
        <v>12.38</v>
      </c>
    </row>
    <row r="560" spans="1:11" x14ac:dyDescent="0.3">
      <c r="A560" t="s">
        <v>133</v>
      </c>
      <c r="B560" t="s">
        <v>134</v>
      </c>
      <c r="C560">
        <v>2020</v>
      </c>
      <c r="D560">
        <v>6681395114.2599974</v>
      </c>
      <c r="E560">
        <v>16010869216</v>
      </c>
      <c r="F560">
        <v>3722716</v>
      </c>
      <c r="G560">
        <v>-6.2904717850000003</v>
      </c>
      <c r="H560">
        <v>92.891084179999993</v>
      </c>
      <c r="I560">
        <v>109</v>
      </c>
      <c r="J560">
        <v>7595931387.5000038</v>
      </c>
      <c r="K560">
        <v>-12.04</v>
      </c>
    </row>
    <row r="561" spans="1:11" x14ac:dyDescent="0.3">
      <c r="A561" t="s">
        <v>133</v>
      </c>
      <c r="B561" t="s">
        <v>134</v>
      </c>
      <c r="C561">
        <v>2021</v>
      </c>
      <c r="D561">
        <v>8485025870.1400023</v>
      </c>
      <c r="E561">
        <v>18853115589</v>
      </c>
      <c r="F561">
        <v>3708610</v>
      </c>
      <c r="G561">
        <v>10.644233659999999</v>
      </c>
      <c r="H561">
        <v>101.60090750000001</v>
      </c>
      <c r="I561">
        <v>106</v>
      </c>
      <c r="J561">
        <v>6681395114.2599974</v>
      </c>
      <c r="K561">
        <v>26.99</v>
      </c>
    </row>
    <row r="562" spans="1:11" x14ac:dyDescent="0.3">
      <c r="A562" t="s">
        <v>133</v>
      </c>
      <c r="B562" t="s">
        <v>134</v>
      </c>
      <c r="C562">
        <v>2022</v>
      </c>
      <c r="D562">
        <v>11165004433.390997</v>
      </c>
      <c r="E562">
        <v>24984568960</v>
      </c>
      <c r="F562">
        <v>3712502</v>
      </c>
      <c r="G562">
        <v>10.958532140000001</v>
      </c>
      <c r="H562">
        <v>114.6954377</v>
      </c>
      <c r="I562">
        <v>103</v>
      </c>
      <c r="J562">
        <v>8485025870.1400023</v>
      </c>
      <c r="K562">
        <v>31.58</v>
      </c>
    </row>
    <row r="563" spans="1:11" x14ac:dyDescent="0.3">
      <c r="A563" t="s">
        <v>133</v>
      </c>
      <c r="B563" t="s">
        <v>134</v>
      </c>
      <c r="C563">
        <v>2023</v>
      </c>
      <c r="D563">
        <v>12172651929.909992</v>
      </c>
      <c r="E563">
        <v>30777833601</v>
      </c>
      <c r="F563">
        <v>3715483</v>
      </c>
      <c r="G563">
        <v>7.8322012660000002</v>
      </c>
      <c r="H563">
        <v>107.1511792</v>
      </c>
      <c r="I563">
        <v>100</v>
      </c>
      <c r="J563">
        <v>11165004433.390997</v>
      </c>
      <c r="K563">
        <v>9.0299999999999994</v>
      </c>
    </row>
    <row r="564" spans="1:11" x14ac:dyDescent="0.3">
      <c r="A564" t="s">
        <v>133</v>
      </c>
      <c r="B564" t="s">
        <v>134</v>
      </c>
      <c r="C564">
        <v>2024</v>
      </c>
      <c r="D564">
        <v>13117377139.084993</v>
      </c>
      <c r="E564">
        <v>34189423333</v>
      </c>
      <c r="F564">
        <v>3812518</v>
      </c>
      <c r="G564">
        <v>9.6797937970000003</v>
      </c>
      <c r="H564">
        <v>103.45647150000001</v>
      </c>
      <c r="I564">
        <v>92</v>
      </c>
      <c r="J564">
        <v>12172651929.909992</v>
      </c>
      <c r="K564">
        <v>7.76</v>
      </c>
    </row>
    <row r="565" spans="1:11" x14ac:dyDescent="0.3">
      <c r="A565" t="s">
        <v>135</v>
      </c>
      <c r="B565" t="s">
        <v>136</v>
      </c>
      <c r="C565">
        <v>2015</v>
      </c>
      <c r="D565">
        <v>27511129874.545998</v>
      </c>
      <c r="E565">
        <v>49436806230</v>
      </c>
      <c r="F565">
        <v>28696068</v>
      </c>
      <c r="G565">
        <v>2.120759338</v>
      </c>
      <c r="H565">
        <v>76.521270920000006</v>
      </c>
      <c r="I565">
        <v>68</v>
      </c>
    </row>
    <row r="566" spans="1:11" x14ac:dyDescent="0.3">
      <c r="A566" t="s">
        <v>135</v>
      </c>
      <c r="B566" t="s">
        <v>136</v>
      </c>
      <c r="C566">
        <v>2016</v>
      </c>
      <c r="D566">
        <v>21311592830</v>
      </c>
      <c r="E566">
        <v>56144179398</v>
      </c>
      <c r="F566">
        <v>29356742</v>
      </c>
      <c r="G566">
        <v>3.3734657499999998</v>
      </c>
      <c r="H566">
        <v>67.876999440000006</v>
      </c>
      <c r="I566">
        <v>75</v>
      </c>
      <c r="J566">
        <v>27511129874.545998</v>
      </c>
      <c r="K566">
        <v>-22.53</v>
      </c>
    </row>
    <row r="567" spans="1:11" x14ac:dyDescent="0.3">
      <c r="A567" t="s">
        <v>135</v>
      </c>
      <c r="B567" t="s">
        <v>136</v>
      </c>
      <c r="C567">
        <v>2017</v>
      </c>
      <c r="D567">
        <v>28717019903.972004</v>
      </c>
      <c r="E567">
        <v>60385409435</v>
      </c>
      <c r="F567">
        <v>30008354</v>
      </c>
      <c r="G567">
        <v>8.1288948810000008</v>
      </c>
      <c r="H567">
        <v>70.548365290000007</v>
      </c>
      <c r="I567">
        <v>69</v>
      </c>
      <c r="J567">
        <v>21311592830</v>
      </c>
      <c r="K567">
        <v>34.75</v>
      </c>
    </row>
    <row r="568" spans="1:11" x14ac:dyDescent="0.3">
      <c r="A568" t="s">
        <v>135</v>
      </c>
      <c r="B568" t="s">
        <v>136</v>
      </c>
      <c r="C568">
        <v>2018</v>
      </c>
      <c r="D568">
        <v>34199176799.322002</v>
      </c>
      <c r="E568">
        <v>67259353966</v>
      </c>
      <c r="F568">
        <v>30637585</v>
      </c>
      <c r="G568">
        <v>6.2000776809999998</v>
      </c>
      <c r="H568">
        <v>67.958517459999996</v>
      </c>
      <c r="I568">
        <v>69</v>
      </c>
      <c r="J568">
        <v>28717019903.972004</v>
      </c>
      <c r="K568">
        <v>19.09</v>
      </c>
    </row>
    <row r="569" spans="1:11" x14ac:dyDescent="0.3">
      <c r="A569" t="s">
        <v>135</v>
      </c>
      <c r="B569" t="s">
        <v>136</v>
      </c>
      <c r="C569">
        <v>2019</v>
      </c>
      <c r="D569">
        <v>33536550379.847004</v>
      </c>
      <c r="E569">
        <v>68352629246</v>
      </c>
      <c r="F569">
        <v>31258945</v>
      </c>
      <c r="G569">
        <v>6.5077747940000004</v>
      </c>
      <c r="H569">
        <v>76.824802730000002</v>
      </c>
      <c r="I569">
        <v>68</v>
      </c>
      <c r="J569">
        <v>34199176799.322002</v>
      </c>
      <c r="K569">
        <v>-1.94</v>
      </c>
    </row>
    <row r="570" spans="1:11" x14ac:dyDescent="0.3">
      <c r="A570" t="s">
        <v>135</v>
      </c>
      <c r="B570" t="s">
        <v>136</v>
      </c>
      <c r="C570">
        <v>2021</v>
      </c>
      <c r="D570">
        <v>29646464976.175003</v>
      </c>
      <c r="E570">
        <v>79514204730</v>
      </c>
      <c r="F570">
        <v>32518665</v>
      </c>
      <c r="G570">
        <v>5.0764664350000004</v>
      </c>
      <c r="H570">
        <v>62.707830909999998</v>
      </c>
      <c r="I570">
        <v>73</v>
      </c>
      <c r="J570">
        <v>33536550379.847004</v>
      </c>
      <c r="K570">
        <v>-11.6</v>
      </c>
    </row>
    <row r="571" spans="1:11" x14ac:dyDescent="0.3">
      <c r="A571" t="s">
        <v>135</v>
      </c>
      <c r="B571" t="s">
        <v>136</v>
      </c>
      <c r="C571">
        <v>2022</v>
      </c>
      <c r="D571">
        <v>34757514773.783005</v>
      </c>
      <c r="E571">
        <v>73919003212</v>
      </c>
      <c r="F571">
        <v>33149152</v>
      </c>
      <c r="G571">
        <v>3.8048497819999998</v>
      </c>
      <c r="H571">
        <v>70.115455789999999</v>
      </c>
      <c r="I571">
        <v>69</v>
      </c>
      <c r="J571">
        <v>29646464976.175003</v>
      </c>
      <c r="K571">
        <v>17.239999999999998</v>
      </c>
    </row>
    <row r="572" spans="1:11" x14ac:dyDescent="0.3">
      <c r="A572" t="s">
        <v>135</v>
      </c>
      <c r="B572" t="s">
        <v>136</v>
      </c>
      <c r="C572">
        <v>2023</v>
      </c>
      <c r="D572">
        <v>33749324572.265999</v>
      </c>
      <c r="E572">
        <v>80547146876</v>
      </c>
      <c r="F572">
        <v>33787914</v>
      </c>
      <c r="G572">
        <v>3.140091001</v>
      </c>
      <c r="H572">
        <v>64.387861529999995</v>
      </c>
      <c r="I572">
        <v>69</v>
      </c>
      <c r="J572">
        <v>34757514773.783005</v>
      </c>
      <c r="K572">
        <v>-2.9</v>
      </c>
    </row>
    <row r="573" spans="1:11" x14ac:dyDescent="0.3">
      <c r="A573" t="s">
        <v>137</v>
      </c>
      <c r="B573" t="s">
        <v>138</v>
      </c>
      <c r="C573">
        <v>2015</v>
      </c>
      <c r="D573">
        <v>3147350405</v>
      </c>
      <c r="E573">
        <v>8794201743</v>
      </c>
      <c r="F573">
        <v>11767070</v>
      </c>
      <c r="G573">
        <v>3.8259105689999999</v>
      </c>
      <c r="H573">
        <v>72.442730749999996</v>
      </c>
      <c r="I573">
        <v>122</v>
      </c>
    </row>
    <row r="574" spans="1:11" x14ac:dyDescent="0.3">
      <c r="A574" t="s">
        <v>137</v>
      </c>
      <c r="B574" t="s">
        <v>138</v>
      </c>
      <c r="C574">
        <v>2016</v>
      </c>
      <c r="D574">
        <v>4789057041.9000006</v>
      </c>
      <c r="E574">
        <v>8595955222</v>
      </c>
      <c r="F574">
        <v>12073030</v>
      </c>
      <c r="G574">
        <v>10.820627200000001</v>
      </c>
      <c r="H574">
        <v>111.8394674</v>
      </c>
      <c r="I574">
        <v>114</v>
      </c>
      <c r="J574">
        <v>3147350405</v>
      </c>
      <c r="K574">
        <v>52.16</v>
      </c>
    </row>
    <row r="575" spans="1:11" x14ac:dyDescent="0.3">
      <c r="A575" t="s">
        <v>139</v>
      </c>
      <c r="B575" t="s">
        <v>140</v>
      </c>
      <c r="C575">
        <v>2015</v>
      </c>
      <c r="D575">
        <v>166648030.46300006</v>
      </c>
      <c r="E575">
        <v>1378176609</v>
      </c>
      <c r="F575">
        <v>2224529</v>
      </c>
      <c r="G575">
        <v>4.0580738040000002</v>
      </c>
      <c r="H575">
        <v>44.522373080000001</v>
      </c>
      <c r="I575">
        <v>156</v>
      </c>
    </row>
    <row r="576" spans="1:11" x14ac:dyDescent="0.3">
      <c r="A576" t="s">
        <v>139</v>
      </c>
      <c r="B576" t="s">
        <v>140</v>
      </c>
      <c r="C576">
        <v>2016</v>
      </c>
      <c r="D576">
        <v>68581874.193000004</v>
      </c>
      <c r="E576">
        <v>1484578886</v>
      </c>
      <c r="F576">
        <v>2283769</v>
      </c>
      <c r="G576">
        <v>1.9433596550000001</v>
      </c>
      <c r="H576">
        <v>38.114087959999999</v>
      </c>
      <c r="I576">
        <v>165</v>
      </c>
      <c r="J576">
        <v>166648030.46300006</v>
      </c>
      <c r="K576">
        <v>-58.85</v>
      </c>
    </row>
    <row r="577" spans="1:11" x14ac:dyDescent="0.3">
      <c r="A577" t="s">
        <v>139</v>
      </c>
      <c r="B577" t="s">
        <v>140</v>
      </c>
      <c r="C577">
        <v>2017</v>
      </c>
      <c r="D577">
        <v>27615743.997999996</v>
      </c>
      <c r="E577">
        <v>1504909463</v>
      </c>
      <c r="F577">
        <v>2342189</v>
      </c>
      <c r="G577">
        <v>4.8226112490000004</v>
      </c>
      <c r="H577">
        <v>55.73357961</v>
      </c>
      <c r="I577">
        <v>170</v>
      </c>
      <c r="J577">
        <v>68581874.193000004</v>
      </c>
      <c r="K577">
        <v>-59.73</v>
      </c>
    </row>
    <row r="578" spans="1:11" x14ac:dyDescent="0.3">
      <c r="A578" t="s">
        <v>139</v>
      </c>
      <c r="B578" t="s">
        <v>140</v>
      </c>
      <c r="C578">
        <v>2018</v>
      </c>
      <c r="D578">
        <v>22856929.745999992</v>
      </c>
      <c r="E578">
        <v>1670671328</v>
      </c>
      <c r="F578">
        <v>2399632</v>
      </c>
      <c r="G578">
        <v>7.2348903330000001</v>
      </c>
      <c r="H578">
        <v>64.812464000000006</v>
      </c>
      <c r="I578">
        <v>168</v>
      </c>
      <c r="J578">
        <v>27615743.997999996</v>
      </c>
      <c r="K578">
        <v>-17.23</v>
      </c>
    </row>
    <row r="579" spans="1:11" x14ac:dyDescent="0.3">
      <c r="A579" t="s">
        <v>139</v>
      </c>
      <c r="B579" t="s">
        <v>140</v>
      </c>
      <c r="C579">
        <v>2019</v>
      </c>
      <c r="D579">
        <v>49204541.782999985</v>
      </c>
      <c r="E579">
        <v>1813609692</v>
      </c>
      <c r="F579">
        <v>2456844</v>
      </c>
      <c r="G579">
        <v>6.2220531599999997</v>
      </c>
      <c r="H579">
        <v>55.997911620000004</v>
      </c>
      <c r="I579">
        <v>162</v>
      </c>
      <c r="J579">
        <v>22856929.745999992</v>
      </c>
      <c r="K579">
        <v>115.27</v>
      </c>
    </row>
    <row r="580" spans="1:11" x14ac:dyDescent="0.3">
      <c r="A580" t="s">
        <v>139</v>
      </c>
      <c r="B580" t="s">
        <v>140</v>
      </c>
      <c r="C580">
        <v>2020</v>
      </c>
      <c r="D580">
        <v>51720028.406000003</v>
      </c>
      <c r="E580">
        <v>1812170891</v>
      </c>
      <c r="F580">
        <v>2515733</v>
      </c>
      <c r="G580">
        <v>0.59148728800000006</v>
      </c>
      <c r="H580">
        <v>47.395520169999998</v>
      </c>
      <c r="I580">
        <v>153</v>
      </c>
      <c r="J580">
        <v>49204541.782999985</v>
      </c>
      <c r="K580">
        <v>5.1100000000000003</v>
      </c>
    </row>
    <row r="581" spans="1:11" x14ac:dyDescent="0.3">
      <c r="A581" t="s">
        <v>139</v>
      </c>
      <c r="B581" t="s">
        <v>140</v>
      </c>
      <c r="C581">
        <v>2021</v>
      </c>
      <c r="D581">
        <v>52802920.879999995</v>
      </c>
      <c r="E581">
        <v>2014158842</v>
      </c>
      <c r="F581">
        <v>2576010</v>
      </c>
      <c r="G581">
        <v>5.2559687879999997</v>
      </c>
      <c r="H581">
        <v>42.097982799999997</v>
      </c>
      <c r="I581">
        <v>156</v>
      </c>
      <c r="J581">
        <v>51720028.406000003</v>
      </c>
      <c r="K581">
        <v>2.09</v>
      </c>
    </row>
    <row r="582" spans="1:11" x14ac:dyDescent="0.3">
      <c r="A582" t="s">
        <v>139</v>
      </c>
      <c r="B582" t="s">
        <v>140</v>
      </c>
      <c r="C582">
        <v>2022</v>
      </c>
      <c r="D582">
        <v>109824591.567</v>
      </c>
      <c r="E582">
        <v>2204734528</v>
      </c>
      <c r="F582">
        <v>2636470</v>
      </c>
      <c r="G582">
        <v>5.4929982300000004</v>
      </c>
      <c r="H582">
        <v>44.721921539999997</v>
      </c>
      <c r="I582">
        <v>150</v>
      </c>
      <c r="J582">
        <v>52802920.879999995</v>
      </c>
      <c r="K582">
        <v>107.99</v>
      </c>
    </row>
    <row r="583" spans="1:11" x14ac:dyDescent="0.3">
      <c r="A583" t="s">
        <v>139</v>
      </c>
      <c r="B583" t="s">
        <v>140</v>
      </c>
      <c r="C583">
        <v>2023</v>
      </c>
      <c r="D583">
        <v>166899603.18799999</v>
      </c>
      <c r="E583">
        <v>2382262185</v>
      </c>
      <c r="F583">
        <v>2697845</v>
      </c>
      <c r="G583">
        <v>5.9167957659999999</v>
      </c>
      <c r="H583">
        <v>39.962017350000004</v>
      </c>
      <c r="I583">
        <v>147</v>
      </c>
      <c r="J583">
        <v>109824591.567</v>
      </c>
      <c r="K583">
        <v>51.97</v>
      </c>
    </row>
    <row r="584" spans="1:11" x14ac:dyDescent="0.3">
      <c r="A584" t="s">
        <v>139</v>
      </c>
      <c r="B584" t="s">
        <v>140</v>
      </c>
      <c r="C584">
        <v>2024</v>
      </c>
      <c r="D584">
        <v>99283798.947999999</v>
      </c>
      <c r="E584">
        <v>2404888738</v>
      </c>
      <c r="F584">
        <v>2759988</v>
      </c>
      <c r="G584">
        <v>5.5512606580000003</v>
      </c>
      <c r="H584">
        <v>42.170617210000003</v>
      </c>
      <c r="I584">
        <v>127</v>
      </c>
      <c r="J584">
        <v>166899603.18799999</v>
      </c>
      <c r="K584">
        <v>-40.51</v>
      </c>
    </row>
    <row r="585" spans="1:11" x14ac:dyDescent="0.3">
      <c r="A585" t="s">
        <v>141</v>
      </c>
      <c r="B585" t="s">
        <v>142</v>
      </c>
      <c r="C585">
        <v>2015</v>
      </c>
      <c r="D585">
        <v>654447951.55599999</v>
      </c>
      <c r="E585">
        <v>1152384167</v>
      </c>
      <c r="F585">
        <v>1786457</v>
      </c>
      <c r="G585">
        <v>6.1340893620000001</v>
      </c>
      <c r="H585">
        <v>54.370375590000002</v>
      </c>
      <c r="I585">
        <v>147</v>
      </c>
    </row>
    <row r="586" spans="1:11" x14ac:dyDescent="0.3">
      <c r="A586" t="s">
        <v>141</v>
      </c>
      <c r="B586" t="s">
        <v>142</v>
      </c>
      <c r="C586">
        <v>2016</v>
      </c>
      <c r="D586">
        <v>352527011.93800002</v>
      </c>
      <c r="E586">
        <v>1245074264</v>
      </c>
      <c r="F586">
        <v>1831893</v>
      </c>
      <c r="G586">
        <v>5.4326782649999998</v>
      </c>
      <c r="H586">
        <v>54.30067305</v>
      </c>
      <c r="I586">
        <v>152</v>
      </c>
      <c r="J586">
        <v>654447951.55599999</v>
      </c>
      <c r="K586">
        <v>-46.13</v>
      </c>
    </row>
    <row r="587" spans="1:11" x14ac:dyDescent="0.3">
      <c r="A587" t="s">
        <v>141</v>
      </c>
      <c r="B587" t="s">
        <v>142</v>
      </c>
      <c r="C587">
        <v>2017</v>
      </c>
      <c r="D587">
        <v>378538579.42000002</v>
      </c>
      <c r="E587">
        <v>1469978606</v>
      </c>
      <c r="F587">
        <v>1877072</v>
      </c>
      <c r="G587">
        <v>4.663679439</v>
      </c>
      <c r="H587">
        <v>56.91374759</v>
      </c>
      <c r="I587">
        <v>152</v>
      </c>
      <c r="J587">
        <v>352527011.93800002</v>
      </c>
      <c r="K587">
        <v>7.38</v>
      </c>
    </row>
    <row r="588" spans="1:11" x14ac:dyDescent="0.3">
      <c r="A588" t="s">
        <v>141</v>
      </c>
      <c r="B588" t="s">
        <v>142</v>
      </c>
      <c r="C588">
        <v>2018</v>
      </c>
      <c r="D588">
        <v>489597516.22799999</v>
      </c>
      <c r="E588">
        <v>1554133594</v>
      </c>
      <c r="F588">
        <v>1922168</v>
      </c>
      <c r="G588">
        <v>3.761453596</v>
      </c>
      <c r="H588">
        <v>55.01958904</v>
      </c>
      <c r="I588">
        <v>146</v>
      </c>
      <c r="J588">
        <v>378538579.42000002</v>
      </c>
      <c r="K588">
        <v>29.34</v>
      </c>
    </row>
    <row r="589" spans="1:11" x14ac:dyDescent="0.3">
      <c r="A589" t="s">
        <v>143</v>
      </c>
      <c r="B589" t="s">
        <v>144</v>
      </c>
      <c r="C589">
        <v>2015</v>
      </c>
      <c r="D589">
        <v>56578473162</v>
      </c>
      <c r="E589">
        <v>195000000000</v>
      </c>
      <c r="F589">
        <v>10820883</v>
      </c>
      <c r="G589">
        <v>-0.22830189200000001</v>
      </c>
      <c r="H589">
        <v>65.271645460000002</v>
      </c>
      <c r="I589">
        <v>56</v>
      </c>
    </row>
    <row r="590" spans="1:11" x14ac:dyDescent="0.3">
      <c r="A590" t="s">
        <v>143</v>
      </c>
      <c r="B590" t="s">
        <v>144</v>
      </c>
      <c r="C590">
        <v>2016</v>
      </c>
      <c r="D590">
        <v>55621849674</v>
      </c>
      <c r="E590">
        <v>193000000000</v>
      </c>
      <c r="F590">
        <v>10775971</v>
      </c>
      <c r="G590">
        <v>-3.1794768000000001E-2</v>
      </c>
      <c r="H590">
        <v>63.657549090000003</v>
      </c>
      <c r="I590">
        <v>56</v>
      </c>
      <c r="J590">
        <v>56578473162</v>
      </c>
      <c r="K590">
        <v>-1.69</v>
      </c>
    </row>
    <row r="591" spans="1:11" x14ac:dyDescent="0.3">
      <c r="A591" t="s">
        <v>143</v>
      </c>
      <c r="B591" t="s">
        <v>144</v>
      </c>
      <c r="C591">
        <v>2017</v>
      </c>
      <c r="D591">
        <v>64309632811.274979</v>
      </c>
      <c r="E591">
        <v>200000000000</v>
      </c>
      <c r="F591">
        <v>10754679</v>
      </c>
      <c r="G591">
        <v>1.4731247270000001</v>
      </c>
      <c r="H591">
        <v>70.882496739999993</v>
      </c>
      <c r="I591">
        <v>55</v>
      </c>
      <c r="J591">
        <v>55621849674</v>
      </c>
      <c r="K591">
        <v>15.62</v>
      </c>
    </row>
    <row r="592" spans="1:11" x14ac:dyDescent="0.3">
      <c r="A592" t="s">
        <v>143</v>
      </c>
      <c r="B592" t="s">
        <v>144</v>
      </c>
      <c r="C592">
        <v>2018</v>
      </c>
      <c r="D592">
        <v>78981042875.705994</v>
      </c>
      <c r="E592">
        <v>213000000000</v>
      </c>
      <c r="F592">
        <v>10732882</v>
      </c>
      <c r="G592">
        <v>2.0646720790000002</v>
      </c>
      <c r="H592">
        <v>79.237990859999996</v>
      </c>
      <c r="I592">
        <v>54</v>
      </c>
      <c r="J592">
        <v>64309632811.274979</v>
      </c>
      <c r="K592">
        <v>22.81</v>
      </c>
    </row>
    <row r="593" spans="1:11" x14ac:dyDescent="0.3">
      <c r="A593" t="s">
        <v>143</v>
      </c>
      <c r="B593" t="s">
        <v>144</v>
      </c>
      <c r="C593">
        <v>2019</v>
      </c>
      <c r="D593">
        <v>75771053008.740997</v>
      </c>
      <c r="E593">
        <v>207000000000</v>
      </c>
      <c r="F593">
        <v>10721582</v>
      </c>
      <c r="G593">
        <v>2.2771806529999998</v>
      </c>
      <c r="H593">
        <v>80.590094949999994</v>
      </c>
      <c r="I593">
        <v>52</v>
      </c>
      <c r="J593">
        <v>78981042875.705994</v>
      </c>
      <c r="K593">
        <v>-4.0599999999999996</v>
      </c>
    </row>
    <row r="594" spans="1:11" x14ac:dyDescent="0.3">
      <c r="A594" t="s">
        <v>143</v>
      </c>
      <c r="B594" t="s">
        <v>144</v>
      </c>
      <c r="C594">
        <v>2020</v>
      </c>
      <c r="D594">
        <v>70140923211.673981</v>
      </c>
      <c r="E594">
        <v>191000000000</v>
      </c>
      <c r="F594">
        <v>10698599</v>
      </c>
      <c r="G594">
        <v>-9.1962314969999994</v>
      </c>
      <c r="H594">
        <v>70.293746459999994</v>
      </c>
      <c r="I594">
        <v>49</v>
      </c>
      <c r="J594">
        <v>75771053008.740997</v>
      </c>
      <c r="K594">
        <v>-7.43</v>
      </c>
    </row>
    <row r="595" spans="1:11" x14ac:dyDescent="0.3">
      <c r="A595" t="s">
        <v>143</v>
      </c>
      <c r="B595" t="s">
        <v>144</v>
      </c>
      <c r="C595">
        <v>2021</v>
      </c>
      <c r="D595">
        <v>94488554633.391922</v>
      </c>
      <c r="E595">
        <v>218000000000</v>
      </c>
      <c r="F595">
        <v>10570130</v>
      </c>
      <c r="G595">
        <v>8.6544978599999993</v>
      </c>
      <c r="H595">
        <v>88.01266545</v>
      </c>
      <c r="I595">
        <v>48</v>
      </c>
      <c r="J595">
        <v>70140923211.673981</v>
      </c>
      <c r="K595">
        <v>34.71</v>
      </c>
    </row>
    <row r="596" spans="1:11" x14ac:dyDescent="0.3">
      <c r="A596" t="s">
        <v>143</v>
      </c>
      <c r="B596" t="s">
        <v>144</v>
      </c>
      <c r="C596">
        <v>2022</v>
      </c>
      <c r="D596">
        <v>115136049942.05496</v>
      </c>
      <c r="E596">
        <v>218000000000</v>
      </c>
      <c r="F596">
        <v>10437805</v>
      </c>
      <c r="G596">
        <v>5.521985806</v>
      </c>
      <c r="H596">
        <v>108.1218432</v>
      </c>
      <c r="I596">
        <v>48</v>
      </c>
      <c r="J596">
        <v>94488554633.391922</v>
      </c>
      <c r="K596">
        <v>21.85</v>
      </c>
    </row>
    <row r="597" spans="1:11" x14ac:dyDescent="0.3">
      <c r="A597" t="s">
        <v>143</v>
      </c>
      <c r="B597" t="s">
        <v>144</v>
      </c>
      <c r="C597">
        <v>2023</v>
      </c>
      <c r="D597">
        <v>110103173567.40707</v>
      </c>
      <c r="E597">
        <v>243000000000</v>
      </c>
      <c r="F597">
        <v>10407351</v>
      </c>
      <c r="G597">
        <v>2.1359113199999999</v>
      </c>
      <c r="H597">
        <v>92.471088289999997</v>
      </c>
      <c r="I597">
        <v>48</v>
      </c>
      <c r="J597">
        <v>115136049942.05496</v>
      </c>
      <c r="K597">
        <v>-4.37</v>
      </c>
    </row>
    <row r="598" spans="1:11" x14ac:dyDescent="0.3">
      <c r="A598" t="s">
        <v>143</v>
      </c>
      <c r="B598" t="s">
        <v>144</v>
      </c>
      <c r="C598">
        <v>2024</v>
      </c>
      <c r="D598">
        <v>106714297917.19612</v>
      </c>
      <c r="E598">
        <v>256000000000</v>
      </c>
      <c r="F598">
        <v>10405134</v>
      </c>
      <c r="G598">
        <v>2.0865743380000001</v>
      </c>
      <c r="H598">
        <v>89.776527939999994</v>
      </c>
      <c r="I598">
        <v>46</v>
      </c>
      <c r="J598">
        <v>110103173567.40707</v>
      </c>
      <c r="K598">
        <v>-3.08</v>
      </c>
    </row>
    <row r="599" spans="1:11" x14ac:dyDescent="0.3">
      <c r="A599" t="s">
        <v>145</v>
      </c>
      <c r="B599" t="s">
        <v>146</v>
      </c>
      <c r="C599">
        <v>2015</v>
      </c>
      <c r="D599">
        <v>66638825.210000016</v>
      </c>
      <c r="E599">
        <v>997007407.39999998</v>
      </c>
      <c r="F599">
        <v>114676</v>
      </c>
      <c r="G599">
        <v>6.4452231470000001</v>
      </c>
      <c r="I599">
        <v>161</v>
      </c>
    </row>
    <row r="600" spans="1:11" x14ac:dyDescent="0.3">
      <c r="A600" t="s">
        <v>145</v>
      </c>
      <c r="B600" t="s">
        <v>146</v>
      </c>
      <c r="C600">
        <v>2016</v>
      </c>
      <c r="D600">
        <v>70210083.860999987</v>
      </c>
      <c r="E600">
        <v>1061640741</v>
      </c>
      <c r="F600">
        <v>115130</v>
      </c>
      <c r="G600">
        <v>3.7396039559999998</v>
      </c>
      <c r="I600">
        <v>164</v>
      </c>
      <c r="J600">
        <v>66638825.210000016</v>
      </c>
      <c r="K600">
        <v>5.36</v>
      </c>
    </row>
    <row r="601" spans="1:11" x14ac:dyDescent="0.3">
      <c r="A601" t="s">
        <v>145</v>
      </c>
      <c r="B601" t="s">
        <v>146</v>
      </c>
      <c r="C601">
        <v>2017</v>
      </c>
      <c r="D601">
        <v>61036304.148999996</v>
      </c>
      <c r="E601">
        <v>1125685185</v>
      </c>
      <c r="F601">
        <v>115438</v>
      </c>
      <c r="G601">
        <v>4.4386756690000002</v>
      </c>
      <c r="I601">
        <v>167</v>
      </c>
      <c r="J601">
        <v>70210083.860999987</v>
      </c>
      <c r="K601">
        <v>-13.07</v>
      </c>
    </row>
    <row r="602" spans="1:11" x14ac:dyDescent="0.3">
      <c r="A602" t="s">
        <v>145</v>
      </c>
      <c r="B602" t="s">
        <v>146</v>
      </c>
      <c r="C602">
        <v>2018</v>
      </c>
      <c r="D602">
        <v>75492171.17400001</v>
      </c>
      <c r="E602">
        <v>1166514815</v>
      </c>
      <c r="F602">
        <v>115691</v>
      </c>
      <c r="G602">
        <v>4.3614403939999997</v>
      </c>
      <c r="I602">
        <v>161</v>
      </c>
      <c r="J602">
        <v>61036304.148999996</v>
      </c>
      <c r="K602">
        <v>23.68</v>
      </c>
    </row>
    <row r="603" spans="1:11" x14ac:dyDescent="0.3">
      <c r="A603" t="s">
        <v>145</v>
      </c>
      <c r="B603" t="s">
        <v>146</v>
      </c>
      <c r="C603">
        <v>2019</v>
      </c>
      <c r="D603">
        <v>68962373.664000005</v>
      </c>
      <c r="E603">
        <v>1213485185</v>
      </c>
      <c r="F603">
        <v>115981</v>
      </c>
      <c r="G603">
        <v>0.67651173899999995</v>
      </c>
      <c r="I603">
        <v>160</v>
      </c>
      <c r="J603">
        <v>75492171.17400001</v>
      </c>
      <c r="K603">
        <v>-8.65</v>
      </c>
    </row>
    <row r="604" spans="1:11" x14ac:dyDescent="0.3">
      <c r="A604" t="s">
        <v>145</v>
      </c>
      <c r="B604" t="s">
        <v>146</v>
      </c>
      <c r="C604">
        <v>2020</v>
      </c>
      <c r="D604">
        <v>49240965.418000005</v>
      </c>
      <c r="E604">
        <v>1043411111</v>
      </c>
      <c r="F604">
        <v>116341</v>
      </c>
      <c r="G604">
        <v>-13.75662226</v>
      </c>
      <c r="I604">
        <v>154</v>
      </c>
      <c r="J604">
        <v>68962373.664000005</v>
      </c>
      <c r="K604">
        <v>-28.6</v>
      </c>
    </row>
    <row r="605" spans="1:11" x14ac:dyDescent="0.3">
      <c r="A605" t="s">
        <v>145</v>
      </c>
      <c r="B605" t="s">
        <v>146</v>
      </c>
      <c r="C605">
        <v>2021</v>
      </c>
      <c r="D605">
        <v>70326788.817000002</v>
      </c>
      <c r="E605">
        <v>1122222222</v>
      </c>
      <c r="F605">
        <v>116688</v>
      </c>
      <c r="G605">
        <v>4.6977240230000001</v>
      </c>
      <c r="I605">
        <v>151</v>
      </c>
      <c r="J605">
        <v>49240965.418000005</v>
      </c>
      <c r="K605">
        <v>42.82</v>
      </c>
    </row>
    <row r="606" spans="1:11" x14ac:dyDescent="0.3">
      <c r="A606" t="s">
        <v>145</v>
      </c>
      <c r="B606" t="s">
        <v>146</v>
      </c>
      <c r="C606">
        <v>2022</v>
      </c>
      <c r="D606">
        <v>74944479.925999999</v>
      </c>
      <c r="E606">
        <v>1224007407</v>
      </c>
      <c r="F606">
        <v>116913</v>
      </c>
      <c r="G606">
        <v>7.3102380699999996</v>
      </c>
      <c r="I606">
        <v>155</v>
      </c>
      <c r="J606">
        <v>70326788.817000002</v>
      </c>
      <c r="K606">
        <v>6.57</v>
      </c>
    </row>
    <row r="607" spans="1:11" x14ac:dyDescent="0.3">
      <c r="A607" t="s">
        <v>145</v>
      </c>
      <c r="B607" t="s">
        <v>146</v>
      </c>
      <c r="C607">
        <v>2023</v>
      </c>
      <c r="D607">
        <v>92110188.111999989</v>
      </c>
      <c r="E607">
        <v>1336418519</v>
      </c>
      <c r="F607">
        <v>117081</v>
      </c>
      <c r="G607">
        <v>4.5265749749999999</v>
      </c>
      <c r="I607">
        <v>148</v>
      </c>
      <c r="J607">
        <v>74944479.925999999</v>
      </c>
      <c r="K607">
        <v>22.9</v>
      </c>
    </row>
    <row r="608" spans="1:11" x14ac:dyDescent="0.3">
      <c r="A608" t="s">
        <v>145</v>
      </c>
      <c r="B608" t="s">
        <v>146</v>
      </c>
      <c r="C608">
        <v>2024</v>
      </c>
      <c r="D608">
        <v>86867059.699999988</v>
      </c>
      <c r="E608">
        <v>1351270370</v>
      </c>
      <c r="F608">
        <v>117207</v>
      </c>
      <c r="G608">
        <v>2.3996478450000001</v>
      </c>
      <c r="I608">
        <v>128</v>
      </c>
      <c r="J608">
        <v>92110188.111999989</v>
      </c>
      <c r="K608">
        <v>-5.69</v>
      </c>
    </row>
    <row r="609" spans="1:11" x14ac:dyDescent="0.3">
      <c r="A609" t="s">
        <v>147</v>
      </c>
      <c r="B609" t="s">
        <v>148</v>
      </c>
      <c r="C609">
        <v>2015</v>
      </c>
      <c r="D609">
        <v>812603359.69999969</v>
      </c>
      <c r="E609">
        <v>2499113023</v>
      </c>
      <c r="F609">
        <v>56114</v>
      </c>
      <c r="G609">
        <v>-2.5293180240000002</v>
      </c>
      <c r="H609">
        <v>83.101381009999997</v>
      </c>
      <c r="I609">
        <v>144</v>
      </c>
    </row>
    <row r="610" spans="1:11" x14ac:dyDescent="0.3">
      <c r="A610" t="s">
        <v>147</v>
      </c>
      <c r="B610" t="s">
        <v>148</v>
      </c>
      <c r="C610">
        <v>2016</v>
      </c>
      <c r="D610">
        <v>1150666335.9399998</v>
      </c>
      <c r="E610">
        <v>2707139544</v>
      </c>
      <c r="F610">
        <v>56186</v>
      </c>
      <c r="G610">
        <v>4.6819541100000004</v>
      </c>
      <c r="H610">
        <v>85.837672920000003</v>
      </c>
      <c r="I610">
        <v>141</v>
      </c>
      <c r="J610">
        <v>812603359.69999969</v>
      </c>
      <c r="K610">
        <v>41.6</v>
      </c>
    </row>
    <row r="611" spans="1:11" x14ac:dyDescent="0.3">
      <c r="A611" t="s">
        <v>147</v>
      </c>
      <c r="B611" t="s">
        <v>148</v>
      </c>
      <c r="C611">
        <v>2017</v>
      </c>
      <c r="D611">
        <v>1191674380.3200002</v>
      </c>
      <c r="E611">
        <v>2851613679</v>
      </c>
      <c r="F611">
        <v>56172</v>
      </c>
      <c r="G611">
        <v>5.2728182999999998E-2</v>
      </c>
      <c r="H611">
        <v>84.207255869999997</v>
      </c>
      <c r="I611">
        <v>142</v>
      </c>
      <c r="J611">
        <v>1150666335.9399998</v>
      </c>
      <c r="K611">
        <v>3.56</v>
      </c>
    </row>
    <row r="612" spans="1:11" x14ac:dyDescent="0.3">
      <c r="A612" t="s">
        <v>147</v>
      </c>
      <c r="B612" t="s">
        <v>148</v>
      </c>
      <c r="C612">
        <v>2018</v>
      </c>
      <c r="D612">
        <v>1281794687.2800004</v>
      </c>
      <c r="E612">
        <v>3055782146</v>
      </c>
      <c r="F612">
        <v>56023</v>
      </c>
      <c r="G612">
        <v>0.62306542899999995</v>
      </c>
      <c r="H612">
        <v>89.776690630000004</v>
      </c>
      <c r="I612">
        <v>140</v>
      </c>
      <c r="J612">
        <v>1191674380.3200002</v>
      </c>
      <c r="K612">
        <v>7.56</v>
      </c>
    </row>
    <row r="613" spans="1:11" x14ac:dyDescent="0.3">
      <c r="A613" t="s">
        <v>149</v>
      </c>
      <c r="B613" t="s">
        <v>150</v>
      </c>
      <c r="C613">
        <v>2015</v>
      </c>
      <c r="D613">
        <v>21354788924</v>
      </c>
      <c r="E613">
        <v>62186066548</v>
      </c>
      <c r="F613">
        <v>15971743</v>
      </c>
      <c r="G613">
        <v>4.0921717009999998</v>
      </c>
      <c r="H613">
        <v>49.893451859999999</v>
      </c>
      <c r="I613">
        <v>77</v>
      </c>
    </row>
    <row r="614" spans="1:11" x14ac:dyDescent="0.3">
      <c r="A614" t="s">
        <v>149</v>
      </c>
      <c r="B614" t="s">
        <v>150</v>
      </c>
      <c r="C614">
        <v>2016</v>
      </c>
      <c r="D614">
        <v>21182659196</v>
      </c>
      <c r="E614">
        <v>66053408206</v>
      </c>
      <c r="F614">
        <v>16268760</v>
      </c>
      <c r="G614">
        <v>2.6778031929999999</v>
      </c>
      <c r="H614">
        <v>46.372734389999998</v>
      </c>
      <c r="I614">
        <v>76</v>
      </c>
      <c r="J614">
        <v>21354788924</v>
      </c>
      <c r="K614">
        <v>-0.81</v>
      </c>
    </row>
    <row r="615" spans="1:11" x14ac:dyDescent="0.3">
      <c r="A615" t="s">
        <v>149</v>
      </c>
      <c r="B615" t="s">
        <v>150</v>
      </c>
      <c r="C615">
        <v>2017</v>
      </c>
      <c r="D615">
        <v>22022782794</v>
      </c>
      <c r="E615">
        <v>71653780740</v>
      </c>
      <c r="F615">
        <v>16567357</v>
      </c>
      <c r="G615">
        <v>3.0798512210000002</v>
      </c>
      <c r="H615">
        <v>46.069403440000002</v>
      </c>
      <c r="I615">
        <v>80</v>
      </c>
      <c r="J615">
        <v>21182659196</v>
      </c>
      <c r="K615">
        <v>3.97</v>
      </c>
    </row>
    <row r="616" spans="1:11" x14ac:dyDescent="0.3">
      <c r="A616" t="s">
        <v>149</v>
      </c>
      <c r="B616" t="s">
        <v>150</v>
      </c>
      <c r="C616">
        <v>2018</v>
      </c>
      <c r="D616">
        <v>21726967872</v>
      </c>
      <c r="E616">
        <v>73328356008</v>
      </c>
      <c r="F616">
        <v>16845685</v>
      </c>
      <c r="G616">
        <v>3.4068732819999998</v>
      </c>
      <c r="H616">
        <v>47.01168534</v>
      </c>
      <c r="I616">
        <v>80</v>
      </c>
      <c r="J616">
        <v>22022782794</v>
      </c>
      <c r="K616">
        <v>-1.34</v>
      </c>
    </row>
    <row r="617" spans="1:11" x14ac:dyDescent="0.3">
      <c r="A617" t="s">
        <v>149</v>
      </c>
      <c r="B617" t="s">
        <v>150</v>
      </c>
      <c r="C617">
        <v>2019</v>
      </c>
      <c r="D617">
        <v>22578352248</v>
      </c>
      <c r="E617">
        <v>77172331693</v>
      </c>
      <c r="F617">
        <v>17103803</v>
      </c>
      <c r="G617">
        <v>4.0178983089999996</v>
      </c>
      <c r="H617">
        <v>45.51673418</v>
      </c>
      <c r="I617">
        <v>78</v>
      </c>
      <c r="J617">
        <v>21726967872</v>
      </c>
      <c r="K617">
        <v>3.92</v>
      </c>
    </row>
    <row r="618" spans="1:11" x14ac:dyDescent="0.3">
      <c r="A618" t="s">
        <v>149</v>
      </c>
      <c r="B618" t="s">
        <v>150</v>
      </c>
      <c r="C618">
        <v>2020</v>
      </c>
      <c r="D618">
        <v>23316938088</v>
      </c>
      <c r="E618">
        <v>77719468248</v>
      </c>
      <c r="F618">
        <v>17357325</v>
      </c>
      <c r="G618">
        <v>-1.785551176</v>
      </c>
      <c r="H618">
        <v>41.1407594</v>
      </c>
      <c r="I618">
        <v>73</v>
      </c>
      <c r="J618">
        <v>22578352248</v>
      </c>
      <c r="K618">
        <v>3.27</v>
      </c>
    </row>
    <row r="619" spans="1:11" x14ac:dyDescent="0.3">
      <c r="A619" t="s">
        <v>149</v>
      </c>
      <c r="B619" t="s">
        <v>150</v>
      </c>
      <c r="C619">
        <v>2021</v>
      </c>
      <c r="D619">
        <v>27471198390</v>
      </c>
      <c r="E619">
        <v>86455522273</v>
      </c>
      <c r="F619">
        <v>17598650</v>
      </c>
      <c r="G619">
        <v>8.0417039890000002</v>
      </c>
      <c r="H619">
        <v>49.261149439999997</v>
      </c>
      <c r="I619">
        <v>76</v>
      </c>
      <c r="J619">
        <v>23316938088</v>
      </c>
      <c r="K619">
        <v>17.82</v>
      </c>
    </row>
    <row r="620" spans="1:11" x14ac:dyDescent="0.3">
      <c r="A620" t="s">
        <v>149</v>
      </c>
      <c r="B620" t="s">
        <v>150</v>
      </c>
      <c r="C620">
        <v>2022</v>
      </c>
      <c r="D620">
        <v>31612304352</v>
      </c>
      <c r="E620">
        <v>95609727056</v>
      </c>
      <c r="F620">
        <v>17847877</v>
      </c>
      <c r="G620">
        <v>4.1549219659999999</v>
      </c>
      <c r="H620">
        <v>54.44909646</v>
      </c>
      <c r="I620">
        <v>72</v>
      </c>
      <c r="J620">
        <v>27471198390</v>
      </c>
      <c r="K620">
        <v>15.07</v>
      </c>
    </row>
    <row r="621" spans="1:11" x14ac:dyDescent="0.3">
      <c r="A621" t="s">
        <v>149</v>
      </c>
      <c r="B621" t="s">
        <v>150</v>
      </c>
      <c r="C621">
        <v>2023</v>
      </c>
      <c r="D621">
        <v>28522065256</v>
      </c>
      <c r="E621">
        <v>104000000000</v>
      </c>
      <c r="F621">
        <v>18124838</v>
      </c>
      <c r="G621">
        <v>3.52430434</v>
      </c>
      <c r="H621">
        <v>48.329797849999999</v>
      </c>
      <c r="I621">
        <v>73</v>
      </c>
      <c r="J621">
        <v>31612304352</v>
      </c>
      <c r="K621">
        <v>-9.7799999999999994</v>
      </c>
    </row>
    <row r="622" spans="1:11" x14ac:dyDescent="0.3">
      <c r="A622" t="s">
        <v>149</v>
      </c>
      <c r="B622" t="s">
        <v>150</v>
      </c>
      <c r="C622">
        <v>2024</v>
      </c>
      <c r="D622">
        <v>29520689580</v>
      </c>
      <c r="E622">
        <v>113000000000</v>
      </c>
      <c r="F622">
        <v>18406359</v>
      </c>
      <c r="G622">
        <v>3.7155845379999999</v>
      </c>
      <c r="H622">
        <v>47.305298139999998</v>
      </c>
      <c r="I622">
        <v>70</v>
      </c>
      <c r="J622">
        <v>28522065256</v>
      </c>
      <c r="K622">
        <v>3.5</v>
      </c>
    </row>
    <row r="623" spans="1:11" x14ac:dyDescent="0.3">
      <c r="A623" t="s">
        <v>151</v>
      </c>
      <c r="B623" t="s">
        <v>152</v>
      </c>
      <c r="C623">
        <v>2015</v>
      </c>
      <c r="D623">
        <v>2338734533.3459997</v>
      </c>
      <c r="E623">
        <v>4279840194</v>
      </c>
      <c r="F623">
        <v>758781</v>
      </c>
      <c r="G623">
        <v>0.68740459099999995</v>
      </c>
      <c r="I623">
        <v>128</v>
      </c>
    </row>
    <row r="624" spans="1:11" x14ac:dyDescent="0.3">
      <c r="A624" t="s">
        <v>151</v>
      </c>
      <c r="B624" t="s">
        <v>152</v>
      </c>
      <c r="C624">
        <v>2016</v>
      </c>
      <c r="D624">
        <v>2905263122</v>
      </c>
      <c r="E624">
        <v>4482697337</v>
      </c>
      <c r="F624">
        <v>763548</v>
      </c>
      <c r="G624">
        <v>3.8074562639999998</v>
      </c>
      <c r="I624">
        <v>126</v>
      </c>
      <c r="J624">
        <v>2338734533.3459997</v>
      </c>
      <c r="K624">
        <v>24.22</v>
      </c>
    </row>
    <row r="625" spans="1:11" x14ac:dyDescent="0.3">
      <c r="A625" t="s">
        <v>151</v>
      </c>
      <c r="B625" t="s">
        <v>152</v>
      </c>
      <c r="C625">
        <v>2017</v>
      </c>
      <c r="D625">
        <v>3579379815.5019989</v>
      </c>
      <c r="E625">
        <v>4748174334</v>
      </c>
      <c r="F625">
        <v>768479</v>
      </c>
      <c r="G625">
        <v>3.7344915460000001</v>
      </c>
      <c r="I625">
        <v>127</v>
      </c>
      <c r="J625">
        <v>2905263122</v>
      </c>
      <c r="K625">
        <v>23.2</v>
      </c>
    </row>
    <row r="626" spans="1:11" x14ac:dyDescent="0.3">
      <c r="A626" t="s">
        <v>151</v>
      </c>
      <c r="B626" t="s">
        <v>152</v>
      </c>
      <c r="C626">
        <v>2018</v>
      </c>
      <c r="D626">
        <v>2759004083.9770002</v>
      </c>
      <c r="E626">
        <v>4787636998</v>
      </c>
      <c r="F626">
        <v>791556</v>
      </c>
      <c r="G626">
        <v>4.4409128850000004</v>
      </c>
      <c r="I626">
        <v>126</v>
      </c>
      <c r="J626">
        <v>3579379815.5019989</v>
      </c>
      <c r="K626">
        <v>-22.92</v>
      </c>
    </row>
    <row r="627" spans="1:11" x14ac:dyDescent="0.3">
      <c r="A627" t="s">
        <v>151</v>
      </c>
      <c r="B627" t="s">
        <v>152</v>
      </c>
      <c r="C627">
        <v>2019</v>
      </c>
      <c r="D627">
        <v>3131446119.8559999</v>
      </c>
      <c r="E627">
        <v>5173760192</v>
      </c>
      <c r="F627">
        <v>807665</v>
      </c>
      <c r="G627">
        <v>5.3528400349999998</v>
      </c>
      <c r="I627">
        <v>126</v>
      </c>
      <c r="J627">
        <v>2759004083.9770002</v>
      </c>
      <c r="K627">
        <v>13.5</v>
      </c>
    </row>
    <row r="628" spans="1:11" x14ac:dyDescent="0.3">
      <c r="A628" t="s">
        <v>151</v>
      </c>
      <c r="B628" t="s">
        <v>152</v>
      </c>
      <c r="C628">
        <v>2020</v>
      </c>
      <c r="D628">
        <v>10393341195.877001</v>
      </c>
      <c r="E628">
        <v>5471256595</v>
      </c>
      <c r="F628">
        <v>807481</v>
      </c>
      <c r="G628">
        <v>43.47965172</v>
      </c>
      <c r="I628">
        <v>93</v>
      </c>
      <c r="J628">
        <v>3131446119.8559999</v>
      </c>
      <c r="K628">
        <v>231.9</v>
      </c>
    </row>
    <row r="629" spans="1:11" x14ac:dyDescent="0.3">
      <c r="A629" t="s">
        <v>151</v>
      </c>
      <c r="B629" t="s">
        <v>152</v>
      </c>
      <c r="C629">
        <v>2021</v>
      </c>
      <c r="D629">
        <v>17415812783.016994</v>
      </c>
      <c r="E629">
        <v>8041362110</v>
      </c>
      <c r="F629">
        <v>815482</v>
      </c>
      <c r="G629">
        <v>20.059997559999999</v>
      </c>
      <c r="I629">
        <v>87</v>
      </c>
      <c r="J629">
        <v>10393341195.877001</v>
      </c>
      <c r="K629">
        <v>67.569999999999993</v>
      </c>
    </row>
    <row r="630" spans="1:11" x14ac:dyDescent="0.3">
      <c r="A630" t="s">
        <v>151</v>
      </c>
      <c r="B630" t="s">
        <v>152</v>
      </c>
      <c r="C630">
        <v>2022</v>
      </c>
      <c r="D630">
        <v>45124693696.20697</v>
      </c>
      <c r="E630">
        <v>14718388489</v>
      </c>
      <c r="F630">
        <v>821637</v>
      </c>
      <c r="G630">
        <v>63.334634370000003</v>
      </c>
      <c r="I630">
        <v>64</v>
      </c>
      <c r="J630">
        <v>17415812783.016994</v>
      </c>
      <c r="K630">
        <v>159.1</v>
      </c>
    </row>
    <row r="631" spans="1:11" x14ac:dyDescent="0.3">
      <c r="A631" t="s">
        <v>151</v>
      </c>
      <c r="B631" t="s">
        <v>152</v>
      </c>
      <c r="C631">
        <v>2023</v>
      </c>
      <c r="D631">
        <v>21623512460.402004</v>
      </c>
      <c r="E631">
        <v>16918503597</v>
      </c>
      <c r="F631">
        <v>826353</v>
      </c>
      <c r="G631">
        <v>33.795011119999998</v>
      </c>
      <c r="I631">
        <v>82</v>
      </c>
      <c r="J631">
        <v>45124693696.20697</v>
      </c>
      <c r="K631">
        <v>-52.08</v>
      </c>
    </row>
    <row r="632" spans="1:11" x14ac:dyDescent="0.3">
      <c r="A632" t="s">
        <v>151</v>
      </c>
      <c r="B632" t="s">
        <v>152</v>
      </c>
      <c r="C632">
        <v>2024</v>
      </c>
      <c r="D632">
        <v>44829167100.029984</v>
      </c>
      <c r="E632">
        <v>24662714628</v>
      </c>
      <c r="F632">
        <v>831087</v>
      </c>
      <c r="G632">
        <v>43.819272640000001</v>
      </c>
      <c r="I632">
        <v>62</v>
      </c>
      <c r="J632">
        <v>21623512460.402004</v>
      </c>
      <c r="K632">
        <v>107.32</v>
      </c>
    </row>
    <row r="633" spans="1:11" x14ac:dyDescent="0.3">
      <c r="A633" t="s">
        <v>153</v>
      </c>
      <c r="B633" t="s">
        <v>154</v>
      </c>
      <c r="C633">
        <v>2015</v>
      </c>
      <c r="D633">
        <v>1021105557270.4033</v>
      </c>
      <c r="E633">
        <v>309000000000</v>
      </c>
      <c r="F633">
        <v>7291300</v>
      </c>
      <c r="G633">
        <v>2.38780116</v>
      </c>
      <c r="H633">
        <v>389.40594929999997</v>
      </c>
      <c r="I633">
        <v>5</v>
      </c>
    </row>
    <row r="634" spans="1:11" x14ac:dyDescent="0.3">
      <c r="A634" t="s">
        <v>153</v>
      </c>
      <c r="B634" t="s">
        <v>154</v>
      </c>
      <c r="C634">
        <v>2016</v>
      </c>
      <c r="D634">
        <v>1033176261866.1112</v>
      </c>
      <c r="E634">
        <v>321000000000</v>
      </c>
      <c r="F634">
        <v>7336600</v>
      </c>
      <c r="G634">
        <v>2.1754482030000002</v>
      </c>
      <c r="H634">
        <v>371.72723180000003</v>
      </c>
      <c r="I634">
        <v>4</v>
      </c>
      <c r="J634">
        <v>1021105557270.4033</v>
      </c>
      <c r="K634">
        <v>1.18</v>
      </c>
    </row>
    <row r="635" spans="1:11" x14ac:dyDescent="0.3">
      <c r="A635" t="s">
        <v>153</v>
      </c>
      <c r="B635" t="s">
        <v>154</v>
      </c>
      <c r="C635">
        <v>2017</v>
      </c>
      <c r="D635">
        <v>1099722910426.6221</v>
      </c>
      <c r="E635">
        <v>341000000000</v>
      </c>
      <c r="F635">
        <v>7393200</v>
      </c>
      <c r="G635">
        <v>3.7961093720000001</v>
      </c>
      <c r="H635">
        <v>376.79566670000003</v>
      </c>
      <c r="I635">
        <v>5</v>
      </c>
      <c r="J635">
        <v>1033176261866.1112</v>
      </c>
      <c r="K635">
        <v>6.44</v>
      </c>
    </row>
    <row r="636" spans="1:11" x14ac:dyDescent="0.3">
      <c r="A636" t="s">
        <v>153</v>
      </c>
      <c r="B636" t="s">
        <v>154</v>
      </c>
      <c r="C636">
        <v>2018</v>
      </c>
      <c r="D636">
        <v>1138211479462.2312</v>
      </c>
      <c r="E636">
        <v>362000000000</v>
      </c>
      <c r="F636">
        <v>7452600</v>
      </c>
      <c r="G636">
        <v>2.8469092269999998</v>
      </c>
      <c r="H636">
        <v>376.89277349999998</v>
      </c>
      <c r="I636">
        <v>6</v>
      </c>
      <c r="J636">
        <v>1099722910426.6221</v>
      </c>
      <c r="K636">
        <v>3.5</v>
      </c>
    </row>
    <row r="637" spans="1:11" x14ac:dyDescent="0.3">
      <c r="A637" t="s">
        <v>153</v>
      </c>
      <c r="B637" t="s">
        <v>154</v>
      </c>
      <c r="C637">
        <v>2019</v>
      </c>
      <c r="D637">
        <v>1071422037810.1497</v>
      </c>
      <c r="E637">
        <v>363000000000</v>
      </c>
      <c r="F637">
        <v>7507900</v>
      </c>
      <c r="G637">
        <v>-1.67242866</v>
      </c>
      <c r="H637">
        <v>353.74352110000001</v>
      </c>
      <c r="I637">
        <v>8</v>
      </c>
      <c r="J637">
        <v>1138211479462.2312</v>
      </c>
      <c r="K637">
        <v>-5.87</v>
      </c>
    </row>
    <row r="638" spans="1:11" x14ac:dyDescent="0.3">
      <c r="A638" t="s">
        <v>153</v>
      </c>
      <c r="B638" t="s">
        <v>154</v>
      </c>
      <c r="C638">
        <v>2020</v>
      </c>
      <c r="D638">
        <v>1103031511849.2498</v>
      </c>
      <c r="E638">
        <v>345000000000</v>
      </c>
      <c r="F638">
        <v>7481000</v>
      </c>
      <c r="G638">
        <v>-6.5447964049999996</v>
      </c>
      <c r="H638">
        <v>350.67970500000001</v>
      </c>
      <c r="I638">
        <v>4</v>
      </c>
      <c r="J638">
        <v>1071422037810.1497</v>
      </c>
      <c r="K638">
        <v>2.95</v>
      </c>
    </row>
    <row r="639" spans="1:11" x14ac:dyDescent="0.3">
      <c r="A639" t="s">
        <v>153</v>
      </c>
      <c r="B639" t="s">
        <v>154</v>
      </c>
      <c r="C639">
        <v>2021</v>
      </c>
      <c r="D639">
        <v>1341852158914.1067</v>
      </c>
      <c r="E639">
        <v>369000000000</v>
      </c>
      <c r="F639">
        <v>7413100</v>
      </c>
      <c r="G639">
        <v>6.454430383</v>
      </c>
      <c r="H639">
        <v>402.45968149999999</v>
      </c>
      <c r="I639">
        <v>5</v>
      </c>
      <c r="J639">
        <v>1103031511849.2498</v>
      </c>
      <c r="K639">
        <v>21.65</v>
      </c>
    </row>
    <row r="640" spans="1:11" x14ac:dyDescent="0.3">
      <c r="A640" t="s">
        <v>153</v>
      </c>
      <c r="B640" t="s">
        <v>154</v>
      </c>
      <c r="C640">
        <v>2022</v>
      </c>
      <c r="D640">
        <v>1220276708522.2219</v>
      </c>
      <c r="E640">
        <v>359000000000</v>
      </c>
      <c r="F640">
        <v>7346100</v>
      </c>
      <c r="G640">
        <v>-3.6852835929999999</v>
      </c>
      <c r="H640">
        <v>384.88591000000002</v>
      </c>
      <c r="I640">
        <v>8</v>
      </c>
      <c r="J640">
        <v>1341852158914.1067</v>
      </c>
      <c r="K640">
        <v>-9.06</v>
      </c>
    </row>
    <row r="641" spans="1:11" x14ac:dyDescent="0.3">
      <c r="A641" t="s">
        <v>153</v>
      </c>
      <c r="B641" t="s">
        <v>154</v>
      </c>
      <c r="C641">
        <v>2023</v>
      </c>
      <c r="D641">
        <v>1150088755291.6431</v>
      </c>
      <c r="E641">
        <v>381000000000</v>
      </c>
      <c r="F641">
        <v>7536100</v>
      </c>
      <c r="G641">
        <v>3.1503446180000001</v>
      </c>
      <c r="H641">
        <v>353.19460889999999</v>
      </c>
      <c r="I641">
        <v>9</v>
      </c>
      <c r="J641">
        <v>1220276708522.2219</v>
      </c>
      <c r="K641">
        <v>-5.75</v>
      </c>
    </row>
    <row r="642" spans="1:11" x14ac:dyDescent="0.3">
      <c r="A642" t="s">
        <v>153</v>
      </c>
      <c r="B642" t="s">
        <v>154</v>
      </c>
      <c r="C642">
        <v>2024</v>
      </c>
      <c r="D642">
        <v>1278821108595.5044</v>
      </c>
      <c r="E642">
        <v>408000000000</v>
      </c>
      <c r="F642">
        <v>7524100</v>
      </c>
      <c r="G642">
        <v>2.6293686119999999</v>
      </c>
      <c r="H642">
        <v>359.39066300000002</v>
      </c>
      <c r="I642">
        <v>8</v>
      </c>
      <c r="J642">
        <v>1150088755291.6431</v>
      </c>
      <c r="K642">
        <v>11.19</v>
      </c>
    </row>
    <row r="643" spans="1:11" x14ac:dyDescent="0.3">
      <c r="A643" t="s">
        <v>155</v>
      </c>
      <c r="B643" t="s">
        <v>156</v>
      </c>
      <c r="C643">
        <v>2015</v>
      </c>
      <c r="D643">
        <v>8402946762</v>
      </c>
      <c r="E643">
        <v>20979791685</v>
      </c>
      <c r="F643">
        <v>9237305</v>
      </c>
      <c r="G643">
        <v>3.8400799710000002</v>
      </c>
      <c r="H643">
        <v>107.2644054</v>
      </c>
      <c r="I643">
        <v>102</v>
      </c>
    </row>
    <row r="644" spans="1:11" x14ac:dyDescent="0.3">
      <c r="A644" t="s">
        <v>155</v>
      </c>
      <c r="B644" t="s">
        <v>156</v>
      </c>
      <c r="C644">
        <v>2016</v>
      </c>
      <c r="D644">
        <v>8169283832</v>
      </c>
      <c r="E644">
        <v>21717604952</v>
      </c>
      <c r="F644">
        <v>9412380</v>
      </c>
      <c r="G644">
        <v>3.8929721970000002</v>
      </c>
      <c r="H644">
        <v>99.815716949999995</v>
      </c>
      <c r="I644">
        <v>102</v>
      </c>
      <c r="J644">
        <v>8402946762</v>
      </c>
      <c r="K644">
        <v>-2.78</v>
      </c>
    </row>
    <row r="645" spans="1:11" x14ac:dyDescent="0.3">
      <c r="A645" t="s">
        <v>155</v>
      </c>
      <c r="B645" t="s">
        <v>156</v>
      </c>
      <c r="C645">
        <v>2017</v>
      </c>
      <c r="D645">
        <v>9940288791.960001</v>
      </c>
      <c r="E645">
        <v>23136247991</v>
      </c>
      <c r="F645">
        <v>9588137</v>
      </c>
      <c r="G645">
        <v>4.8429139110000001</v>
      </c>
      <c r="H645">
        <v>101.8131111</v>
      </c>
      <c r="I645">
        <v>99</v>
      </c>
      <c r="J645">
        <v>8169283832</v>
      </c>
      <c r="K645">
        <v>21.68</v>
      </c>
    </row>
    <row r="646" spans="1:11" x14ac:dyDescent="0.3">
      <c r="A646" t="s">
        <v>155</v>
      </c>
      <c r="B646" t="s">
        <v>156</v>
      </c>
      <c r="C646">
        <v>2018</v>
      </c>
      <c r="D646">
        <v>8973260364.3400002</v>
      </c>
      <c r="E646">
        <v>24067750760</v>
      </c>
      <c r="F646">
        <v>9765210</v>
      </c>
      <c r="G646">
        <v>3.84499477</v>
      </c>
      <c r="H646">
        <v>103.55116219999999</v>
      </c>
      <c r="I646">
        <v>102</v>
      </c>
      <c r="J646">
        <v>9940288791.960001</v>
      </c>
      <c r="K646">
        <v>-9.73</v>
      </c>
    </row>
    <row r="647" spans="1:11" x14ac:dyDescent="0.3">
      <c r="A647" t="s">
        <v>155</v>
      </c>
      <c r="B647" t="s">
        <v>156</v>
      </c>
      <c r="C647">
        <v>2019</v>
      </c>
      <c r="D647">
        <v>6182326198.4599991</v>
      </c>
      <c r="E647">
        <v>24882225742</v>
      </c>
      <c r="F647">
        <v>9943633</v>
      </c>
      <c r="G647">
        <v>2.5596343460000002</v>
      </c>
      <c r="H647">
        <v>99.459535250000002</v>
      </c>
      <c r="I647">
        <v>113</v>
      </c>
      <c r="J647">
        <v>8973260364.3400002</v>
      </c>
      <c r="K647">
        <v>-31.1</v>
      </c>
    </row>
    <row r="648" spans="1:11" x14ac:dyDescent="0.3">
      <c r="A648" t="s">
        <v>155</v>
      </c>
      <c r="B648" t="s">
        <v>156</v>
      </c>
      <c r="C648">
        <v>2020</v>
      </c>
      <c r="D648">
        <v>9332592872.8599987</v>
      </c>
      <c r="E648">
        <v>23352232484</v>
      </c>
      <c r="F648">
        <v>10119640</v>
      </c>
      <c r="G648">
        <v>-8.9650822330000004</v>
      </c>
      <c r="H648">
        <v>88.000856380000002</v>
      </c>
      <c r="I648">
        <v>98</v>
      </c>
      <c r="J648">
        <v>6182326198.4599991</v>
      </c>
      <c r="K648">
        <v>50.96</v>
      </c>
    </row>
    <row r="649" spans="1:11" x14ac:dyDescent="0.3">
      <c r="A649" t="s">
        <v>155</v>
      </c>
      <c r="B649" t="s">
        <v>156</v>
      </c>
      <c r="C649">
        <v>2021</v>
      </c>
      <c r="D649">
        <v>9951897976.2800007</v>
      </c>
      <c r="E649">
        <v>28144331507</v>
      </c>
      <c r="F649">
        <v>10289877</v>
      </c>
      <c r="G649">
        <v>12.56528438</v>
      </c>
      <c r="H649">
        <v>103.3726435</v>
      </c>
      <c r="I649">
        <v>103</v>
      </c>
      <c r="J649">
        <v>9332592872.8599987</v>
      </c>
      <c r="K649">
        <v>6.64</v>
      </c>
    </row>
    <row r="650" spans="1:11" x14ac:dyDescent="0.3">
      <c r="A650" t="s">
        <v>155</v>
      </c>
      <c r="B650" t="s">
        <v>156</v>
      </c>
      <c r="C650">
        <v>2023</v>
      </c>
      <c r="D650">
        <v>14341941548.779999</v>
      </c>
      <c r="E650">
        <v>34355805528</v>
      </c>
      <c r="F650">
        <v>10644851</v>
      </c>
      <c r="G650">
        <v>3.5758476049999999</v>
      </c>
      <c r="H650">
        <v>98.791979830000002</v>
      </c>
      <c r="I650">
        <v>95</v>
      </c>
      <c r="J650">
        <v>9951897976.2800007</v>
      </c>
      <c r="K650">
        <v>44.11</v>
      </c>
    </row>
    <row r="651" spans="1:11" x14ac:dyDescent="0.3">
      <c r="A651" t="s">
        <v>155</v>
      </c>
      <c r="B651" t="s">
        <v>156</v>
      </c>
      <c r="C651">
        <v>2024</v>
      </c>
      <c r="D651">
        <v>13941039744.739994</v>
      </c>
      <c r="E651">
        <v>36980171442</v>
      </c>
      <c r="F651">
        <v>10825703</v>
      </c>
      <c r="G651">
        <v>3.6324074550000001</v>
      </c>
      <c r="H651">
        <v>91.669411789999998</v>
      </c>
      <c r="I651">
        <v>90</v>
      </c>
      <c r="J651">
        <v>14341941548.779999</v>
      </c>
      <c r="K651">
        <v>-2.8</v>
      </c>
    </row>
    <row r="652" spans="1:11" x14ac:dyDescent="0.3">
      <c r="A652" t="s">
        <v>157</v>
      </c>
      <c r="B652" t="s">
        <v>158</v>
      </c>
      <c r="C652">
        <v>2015</v>
      </c>
      <c r="D652">
        <v>25687058644</v>
      </c>
      <c r="E652">
        <v>50999271059</v>
      </c>
      <c r="F652">
        <v>4151725</v>
      </c>
      <c r="G652">
        <v>2.3205667929999998</v>
      </c>
      <c r="H652">
        <v>90.651786099999995</v>
      </c>
      <c r="I652">
        <v>70</v>
      </c>
    </row>
    <row r="653" spans="1:11" x14ac:dyDescent="0.3">
      <c r="A653" t="s">
        <v>157</v>
      </c>
      <c r="B653" t="s">
        <v>158</v>
      </c>
      <c r="C653">
        <v>2016</v>
      </c>
      <c r="D653">
        <v>27295068116</v>
      </c>
      <c r="E653">
        <v>52650804052</v>
      </c>
      <c r="F653">
        <v>4106867</v>
      </c>
      <c r="G653">
        <v>3.4661314600000002</v>
      </c>
      <c r="H653">
        <v>92.139343229999994</v>
      </c>
      <c r="I653">
        <v>68</v>
      </c>
      <c r="J653">
        <v>25687058644</v>
      </c>
      <c r="K653">
        <v>6.26</v>
      </c>
    </row>
    <row r="654" spans="1:11" x14ac:dyDescent="0.3">
      <c r="A654" t="s">
        <v>157</v>
      </c>
      <c r="B654" t="s">
        <v>158</v>
      </c>
      <c r="C654">
        <v>2017</v>
      </c>
      <c r="D654">
        <v>31541981116</v>
      </c>
      <c r="E654">
        <v>56182225079</v>
      </c>
      <c r="F654">
        <v>4041407</v>
      </c>
      <c r="G654">
        <v>3.2840626940000002</v>
      </c>
      <c r="H654">
        <v>97.245234460000006</v>
      </c>
      <c r="I654">
        <v>66</v>
      </c>
      <c r="J654">
        <v>27295068116</v>
      </c>
      <c r="K654">
        <v>15.56</v>
      </c>
    </row>
    <row r="655" spans="1:11" x14ac:dyDescent="0.3">
      <c r="A655" t="s">
        <v>157</v>
      </c>
      <c r="B655" t="s">
        <v>158</v>
      </c>
      <c r="C655">
        <v>2018</v>
      </c>
      <c r="D655">
        <v>34420938580</v>
      </c>
      <c r="E655">
        <v>61668280700</v>
      </c>
      <c r="F655">
        <v>3988775</v>
      </c>
      <c r="G655">
        <v>2.9110714620000002</v>
      </c>
      <c r="H655">
        <v>99.084589309999998</v>
      </c>
      <c r="I655">
        <v>68</v>
      </c>
      <c r="J655">
        <v>31541981116</v>
      </c>
      <c r="K655">
        <v>9.1300000000000008</v>
      </c>
    </row>
    <row r="656" spans="1:11" x14ac:dyDescent="0.3">
      <c r="A656" t="s">
        <v>157</v>
      </c>
      <c r="B656" t="s">
        <v>158</v>
      </c>
      <c r="C656">
        <v>2019</v>
      </c>
      <c r="D656">
        <v>34126099630</v>
      </c>
      <c r="E656">
        <v>61467261345</v>
      </c>
      <c r="F656">
        <v>3949390</v>
      </c>
      <c r="G656">
        <v>3.1024728530000001</v>
      </c>
      <c r="H656">
        <v>101.39511160000001</v>
      </c>
      <c r="I656">
        <v>66</v>
      </c>
      <c r="J656">
        <v>34420938580</v>
      </c>
      <c r="K656">
        <v>-0.86</v>
      </c>
    </row>
    <row r="657" spans="1:11" x14ac:dyDescent="0.3">
      <c r="A657" t="s">
        <v>157</v>
      </c>
      <c r="B657" t="s">
        <v>158</v>
      </c>
      <c r="C657">
        <v>2020</v>
      </c>
      <c r="D657">
        <v>33982560596</v>
      </c>
      <c r="E657">
        <v>57959824238</v>
      </c>
      <c r="F657">
        <v>3914206</v>
      </c>
      <c r="G657">
        <v>-8.3104699530000001</v>
      </c>
      <c r="H657">
        <v>89.547532709999999</v>
      </c>
      <c r="I657">
        <v>64</v>
      </c>
      <c r="J657">
        <v>34126099630</v>
      </c>
      <c r="K657">
        <v>-0.42</v>
      </c>
    </row>
    <row r="658" spans="1:11" x14ac:dyDescent="0.3">
      <c r="A658" t="s">
        <v>157</v>
      </c>
      <c r="B658" t="s">
        <v>158</v>
      </c>
      <c r="C658">
        <v>2021</v>
      </c>
      <c r="D658">
        <v>43655897928</v>
      </c>
      <c r="E658">
        <v>69002262505</v>
      </c>
      <c r="F658">
        <v>3878981</v>
      </c>
      <c r="G658">
        <v>12.63127413</v>
      </c>
      <c r="H658">
        <v>102.32761429999999</v>
      </c>
      <c r="I658">
        <v>65</v>
      </c>
      <c r="J658">
        <v>33982560596</v>
      </c>
      <c r="K658">
        <v>28.47</v>
      </c>
    </row>
    <row r="659" spans="1:11" x14ac:dyDescent="0.3">
      <c r="A659" t="s">
        <v>157</v>
      </c>
      <c r="B659" t="s">
        <v>158</v>
      </c>
      <c r="C659">
        <v>2022</v>
      </c>
      <c r="D659">
        <v>50766089292</v>
      </c>
      <c r="E659">
        <v>71196460237</v>
      </c>
      <c r="F659">
        <v>3855641</v>
      </c>
      <c r="G659">
        <v>7.2947911489999999</v>
      </c>
      <c r="H659">
        <v>125.41079379999999</v>
      </c>
      <c r="I659">
        <v>62</v>
      </c>
      <c r="J659">
        <v>43655897928</v>
      </c>
      <c r="K659">
        <v>16.29</v>
      </c>
    </row>
    <row r="660" spans="1:11" x14ac:dyDescent="0.3">
      <c r="A660" t="s">
        <v>157</v>
      </c>
      <c r="B660" t="s">
        <v>158</v>
      </c>
      <c r="C660">
        <v>2023</v>
      </c>
      <c r="D660">
        <v>49340861516</v>
      </c>
      <c r="E660">
        <v>85621337533</v>
      </c>
      <c r="F660">
        <v>3859686</v>
      </c>
      <c r="G660">
        <v>3.7620409270000001</v>
      </c>
      <c r="H660">
        <v>107.2778016</v>
      </c>
      <c r="I660">
        <v>62</v>
      </c>
      <c r="J660">
        <v>50766089292</v>
      </c>
      <c r="K660">
        <v>-2.81</v>
      </c>
    </row>
    <row r="661" spans="1:11" x14ac:dyDescent="0.3">
      <c r="A661" t="s">
        <v>157</v>
      </c>
      <c r="B661" t="s">
        <v>158</v>
      </c>
      <c r="C661">
        <v>2024</v>
      </c>
      <c r="D661">
        <v>52125569766</v>
      </c>
      <c r="E661">
        <v>92981894168</v>
      </c>
      <c r="F661">
        <v>3866200</v>
      </c>
      <c r="G661">
        <v>3.8257844009999999</v>
      </c>
      <c r="H661">
        <v>104.9124032</v>
      </c>
      <c r="I661">
        <v>61</v>
      </c>
      <c r="J661">
        <v>49340861516</v>
      </c>
      <c r="K661">
        <v>5.64</v>
      </c>
    </row>
    <row r="662" spans="1:11" x14ac:dyDescent="0.3">
      <c r="A662" t="s">
        <v>159</v>
      </c>
      <c r="B662" t="s">
        <v>160</v>
      </c>
      <c r="C662">
        <v>2015</v>
      </c>
      <c r="D662">
        <v>432010201.0819999</v>
      </c>
      <c r="E662">
        <v>14849629309</v>
      </c>
      <c r="F662">
        <v>10523242</v>
      </c>
      <c r="G662">
        <v>1.400000009</v>
      </c>
      <c r="H662">
        <v>41.945738120000001</v>
      </c>
      <c r="I662">
        <v>149</v>
      </c>
    </row>
    <row r="663" spans="1:11" x14ac:dyDescent="0.3">
      <c r="A663" t="s">
        <v>159</v>
      </c>
      <c r="B663" t="s">
        <v>160</v>
      </c>
      <c r="C663">
        <v>2016</v>
      </c>
      <c r="D663">
        <v>710629410.88200009</v>
      </c>
      <c r="E663">
        <v>14069277526</v>
      </c>
      <c r="F663">
        <v>10671457</v>
      </c>
      <c r="G663">
        <v>1.812468078</v>
      </c>
      <c r="H663">
        <v>41.410902219999997</v>
      </c>
      <c r="I663">
        <v>148</v>
      </c>
      <c r="J663">
        <v>432010201.0819999</v>
      </c>
      <c r="K663">
        <v>64.489999999999995</v>
      </c>
    </row>
    <row r="664" spans="1:11" x14ac:dyDescent="0.3">
      <c r="A664" t="s">
        <v>159</v>
      </c>
      <c r="B664" t="s">
        <v>160</v>
      </c>
      <c r="C664">
        <v>2017</v>
      </c>
      <c r="D664">
        <v>347840461.62400001</v>
      </c>
      <c r="E664">
        <v>15093357161</v>
      </c>
      <c r="F664">
        <v>10817754</v>
      </c>
      <c r="G664">
        <v>2.510271345</v>
      </c>
      <c r="H664">
        <v>42.074547789999997</v>
      </c>
      <c r="I664">
        <v>153</v>
      </c>
      <c r="J664">
        <v>710629410.88200009</v>
      </c>
      <c r="K664">
        <v>-51.05</v>
      </c>
    </row>
    <row r="665" spans="1:11" x14ac:dyDescent="0.3">
      <c r="A665" t="s">
        <v>161</v>
      </c>
      <c r="B665" t="s">
        <v>162</v>
      </c>
      <c r="C665">
        <v>2015</v>
      </c>
      <c r="D665">
        <v>200593694646</v>
      </c>
      <c r="E665">
        <v>125000000000</v>
      </c>
      <c r="F665">
        <v>9797755</v>
      </c>
      <c r="G665">
        <v>3.659816154</v>
      </c>
      <c r="H665">
        <v>167.2907385</v>
      </c>
      <c r="I665">
        <v>31</v>
      </c>
    </row>
    <row r="666" spans="1:11" x14ac:dyDescent="0.3">
      <c r="A666" t="s">
        <v>161</v>
      </c>
      <c r="B666" t="s">
        <v>162</v>
      </c>
      <c r="C666">
        <v>2016</v>
      </c>
      <c r="D666">
        <v>206019016592</v>
      </c>
      <c r="E666">
        <v>129000000000</v>
      </c>
      <c r="F666">
        <v>9759755</v>
      </c>
      <c r="G666">
        <v>2.438641413</v>
      </c>
      <c r="H666">
        <v>163.97194450000001</v>
      </c>
      <c r="I666">
        <v>31</v>
      </c>
      <c r="J666">
        <v>200593694646</v>
      </c>
      <c r="K666">
        <v>2.7</v>
      </c>
    </row>
    <row r="667" spans="1:11" x14ac:dyDescent="0.3">
      <c r="A667" t="s">
        <v>161</v>
      </c>
      <c r="B667" t="s">
        <v>162</v>
      </c>
      <c r="C667">
        <v>2017</v>
      </c>
      <c r="D667">
        <v>226993483026</v>
      </c>
      <c r="E667">
        <v>143000000000</v>
      </c>
      <c r="F667">
        <v>9726756</v>
      </c>
      <c r="G667">
        <v>4.1241838949999998</v>
      </c>
      <c r="H667">
        <v>165.03285579999999</v>
      </c>
      <c r="I667">
        <v>31</v>
      </c>
      <c r="J667">
        <v>206019016592</v>
      </c>
      <c r="K667">
        <v>10.18</v>
      </c>
    </row>
    <row r="668" spans="1:11" x14ac:dyDescent="0.3">
      <c r="A668" t="s">
        <v>161</v>
      </c>
      <c r="B668" t="s">
        <v>162</v>
      </c>
      <c r="C668">
        <v>2018</v>
      </c>
      <c r="D668">
        <v>247915770096</v>
      </c>
      <c r="E668">
        <v>161000000000</v>
      </c>
      <c r="F668">
        <v>9706964</v>
      </c>
      <c r="G668">
        <v>5.6061381380000004</v>
      </c>
      <c r="H668">
        <v>162.70085879999999</v>
      </c>
      <c r="I668">
        <v>31</v>
      </c>
      <c r="J668">
        <v>226993483026</v>
      </c>
      <c r="K668">
        <v>9.2200000000000006</v>
      </c>
    </row>
    <row r="669" spans="1:11" x14ac:dyDescent="0.3">
      <c r="A669" t="s">
        <v>161</v>
      </c>
      <c r="B669" t="s">
        <v>162</v>
      </c>
      <c r="C669">
        <v>2019</v>
      </c>
      <c r="D669">
        <v>244361315390</v>
      </c>
      <c r="E669">
        <v>165000000000</v>
      </c>
      <c r="F669">
        <v>9694824</v>
      </c>
      <c r="G669">
        <v>5.0771849509999996</v>
      </c>
      <c r="H669">
        <v>159.9255565</v>
      </c>
      <c r="I669">
        <v>31</v>
      </c>
      <c r="J669">
        <v>247915770096</v>
      </c>
      <c r="K669">
        <v>-1.43</v>
      </c>
    </row>
    <row r="670" spans="1:11" x14ac:dyDescent="0.3">
      <c r="A670" t="s">
        <v>161</v>
      </c>
      <c r="B670" t="s">
        <v>162</v>
      </c>
      <c r="C670">
        <v>2020</v>
      </c>
      <c r="D670">
        <v>239941440964</v>
      </c>
      <c r="E670">
        <v>158000000000</v>
      </c>
      <c r="F670">
        <v>9670419</v>
      </c>
      <c r="G670">
        <v>-4.3387254000000004</v>
      </c>
      <c r="H670">
        <v>154.52700290000001</v>
      </c>
      <c r="I670">
        <v>31</v>
      </c>
      <c r="J670">
        <v>244361315390</v>
      </c>
      <c r="K670">
        <v>-1.81</v>
      </c>
    </row>
    <row r="671" spans="1:11" x14ac:dyDescent="0.3">
      <c r="A671" t="s">
        <v>161</v>
      </c>
      <c r="B671" t="s">
        <v>162</v>
      </c>
      <c r="C671">
        <v>2021</v>
      </c>
      <c r="D671">
        <v>282314183362</v>
      </c>
      <c r="E671">
        <v>183000000000</v>
      </c>
      <c r="F671">
        <v>9630932</v>
      </c>
      <c r="G671">
        <v>7.2229158079999998</v>
      </c>
      <c r="H671">
        <v>159.1875273</v>
      </c>
      <c r="I671">
        <v>31</v>
      </c>
      <c r="J671">
        <v>239941440964</v>
      </c>
      <c r="K671">
        <v>17.66</v>
      </c>
    </row>
    <row r="672" spans="1:11" x14ac:dyDescent="0.3">
      <c r="A672" t="s">
        <v>161</v>
      </c>
      <c r="B672" t="s">
        <v>162</v>
      </c>
      <c r="C672">
        <v>2022</v>
      </c>
      <c r="D672">
        <v>299868229428</v>
      </c>
      <c r="E672">
        <v>177000000000</v>
      </c>
      <c r="F672">
        <v>9605074</v>
      </c>
      <c r="G672">
        <v>4.1523805779999998</v>
      </c>
      <c r="H672">
        <v>184.9699526</v>
      </c>
      <c r="I672">
        <v>30</v>
      </c>
      <c r="J672">
        <v>282314183362</v>
      </c>
      <c r="K672">
        <v>6.22</v>
      </c>
    </row>
    <row r="673" spans="1:11" x14ac:dyDescent="0.3">
      <c r="A673" t="s">
        <v>161</v>
      </c>
      <c r="B673" t="s">
        <v>162</v>
      </c>
      <c r="C673">
        <v>2023</v>
      </c>
      <c r="D673">
        <v>317186178459.11792</v>
      </c>
      <c r="E673">
        <v>213000000000</v>
      </c>
      <c r="F673">
        <v>9592186</v>
      </c>
      <c r="G673">
        <v>-0.81710737099999997</v>
      </c>
      <c r="H673">
        <v>158.61882560000001</v>
      </c>
      <c r="I673">
        <v>30</v>
      </c>
      <c r="J673">
        <v>299868229428</v>
      </c>
      <c r="K673">
        <v>5.78</v>
      </c>
    </row>
    <row r="674" spans="1:11" x14ac:dyDescent="0.3">
      <c r="A674" t="s">
        <v>161</v>
      </c>
      <c r="B674" t="s">
        <v>162</v>
      </c>
      <c r="C674">
        <v>2024</v>
      </c>
      <c r="D674">
        <v>309091427650.07983</v>
      </c>
      <c r="E674">
        <v>223000000000</v>
      </c>
      <c r="F674">
        <v>9562065</v>
      </c>
      <c r="G674">
        <v>0.70907059900000002</v>
      </c>
      <c r="H674">
        <v>147.92666650000001</v>
      </c>
      <c r="I674">
        <v>28</v>
      </c>
      <c r="J674">
        <v>317186178459.11792</v>
      </c>
      <c r="K674">
        <v>-2.5499999999999998</v>
      </c>
    </row>
    <row r="675" spans="1:11" x14ac:dyDescent="0.3">
      <c r="A675" t="s">
        <v>163</v>
      </c>
      <c r="B675" t="s">
        <v>164</v>
      </c>
      <c r="C675">
        <v>2015</v>
      </c>
      <c r="D675">
        <v>300732562610</v>
      </c>
      <c r="E675">
        <v>861000000000</v>
      </c>
      <c r="F675">
        <v>261799249</v>
      </c>
      <c r="G675">
        <v>4.8763223</v>
      </c>
      <c r="H675">
        <v>41.93764024</v>
      </c>
      <c r="I675">
        <v>27</v>
      </c>
    </row>
    <row r="676" spans="1:11" x14ac:dyDescent="0.3">
      <c r="A676" t="s">
        <v>163</v>
      </c>
      <c r="B676" t="s">
        <v>164</v>
      </c>
      <c r="C676">
        <v>2016</v>
      </c>
      <c r="D676">
        <v>288979592833</v>
      </c>
      <c r="E676">
        <v>932000000000</v>
      </c>
      <c r="F676">
        <v>264627418</v>
      </c>
      <c r="G676">
        <v>5.0330691830000003</v>
      </c>
      <c r="H676">
        <v>37.4213418</v>
      </c>
      <c r="I676">
        <v>28</v>
      </c>
      <c r="J676">
        <v>300732562610</v>
      </c>
      <c r="K676">
        <v>-3.91</v>
      </c>
    </row>
    <row r="677" spans="1:11" x14ac:dyDescent="0.3">
      <c r="A677" t="s">
        <v>163</v>
      </c>
      <c r="B677" t="s">
        <v>164</v>
      </c>
      <c r="C677">
        <v>2017</v>
      </c>
      <c r="D677">
        <v>337655108085.16779</v>
      </c>
      <c r="E677">
        <v>1020000000000</v>
      </c>
      <c r="F677">
        <v>267346658</v>
      </c>
      <c r="G677">
        <v>5.0697859010000004</v>
      </c>
      <c r="H677">
        <v>39.355497069999998</v>
      </c>
      <c r="I677">
        <v>26</v>
      </c>
      <c r="J677">
        <v>288979592833</v>
      </c>
      <c r="K677">
        <v>16.84</v>
      </c>
    </row>
    <row r="678" spans="1:11" x14ac:dyDescent="0.3">
      <c r="A678" t="s">
        <v>163</v>
      </c>
      <c r="B678" t="s">
        <v>164</v>
      </c>
      <c r="C678">
        <v>2018</v>
      </c>
      <c r="D678">
        <v>360430068189.06616</v>
      </c>
      <c r="E678">
        <v>1040000000000</v>
      </c>
      <c r="F678">
        <v>269951846</v>
      </c>
      <c r="G678">
        <v>5.1742915399999996</v>
      </c>
      <c r="H678">
        <v>43.074308960000003</v>
      </c>
      <c r="I678">
        <v>26</v>
      </c>
      <c r="J678">
        <v>337655108085.16779</v>
      </c>
      <c r="K678">
        <v>6.75</v>
      </c>
    </row>
    <row r="679" spans="1:11" x14ac:dyDescent="0.3">
      <c r="A679" t="s">
        <v>163</v>
      </c>
      <c r="B679" t="s">
        <v>164</v>
      </c>
      <c r="C679">
        <v>2019</v>
      </c>
      <c r="D679">
        <v>335365990266.44824</v>
      </c>
      <c r="E679">
        <v>1120000000000</v>
      </c>
      <c r="F679">
        <v>272489381</v>
      </c>
      <c r="G679">
        <v>5.0192876799999997</v>
      </c>
      <c r="H679">
        <v>37.627777539999997</v>
      </c>
      <c r="I679">
        <v>29</v>
      </c>
      <c r="J679">
        <v>360430068189.06616</v>
      </c>
      <c r="K679">
        <v>-6.95</v>
      </c>
    </row>
    <row r="680" spans="1:11" x14ac:dyDescent="0.3">
      <c r="A680" t="s">
        <v>163</v>
      </c>
      <c r="B680" t="s">
        <v>164</v>
      </c>
      <c r="C680">
        <v>2020</v>
      </c>
      <c r="D680">
        <v>326383674621.25189</v>
      </c>
      <c r="E680">
        <v>1060000000000</v>
      </c>
      <c r="F680">
        <v>274814866</v>
      </c>
      <c r="G680">
        <v>-2.0655118290000001</v>
      </c>
      <c r="H680">
        <v>32.972175399999998</v>
      </c>
      <c r="I680">
        <v>28</v>
      </c>
      <c r="J680">
        <v>335365990266.44824</v>
      </c>
      <c r="K680">
        <v>-2.68</v>
      </c>
    </row>
    <row r="681" spans="1:11" x14ac:dyDescent="0.3">
      <c r="A681" t="s">
        <v>163</v>
      </c>
      <c r="B681" t="s">
        <v>164</v>
      </c>
      <c r="C681">
        <v>2021</v>
      </c>
      <c r="D681">
        <v>463420197050.34381</v>
      </c>
      <c r="E681">
        <v>1190000000000</v>
      </c>
      <c r="F681">
        <v>276758053</v>
      </c>
      <c r="G681">
        <v>3.7028856280000002</v>
      </c>
      <c r="H681">
        <v>40.204758269999999</v>
      </c>
      <c r="I681">
        <v>25</v>
      </c>
      <c r="J681">
        <v>326383674621.25189</v>
      </c>
      <c r="K681">
        <v>41.99</v>
      </c>
    </row>
    <row r="682" spans="1:11" x14ac:dyDescent="0.3">
      <c r="A682" t="s">
        <v>163</v>
      </c>
      <c r="B682" t="s">
        <v>164</v>
      </c>
      <c r="C682">
        <v>2022</v>
      </c>
      <c r="D682">
        <v>584373354989.7439</v>
      </c>
      <c r="E682">
        <v>1320000000000</v>
      </c>
      <c r="F682">
        <v>278830529</v>
      </c>
      <c r="G682">
        <v>5.3071972269999996</v>
      </c>
      <c r="H682">
        <v>45.4646702</v>
      </c>
      <c r="I682">
        <v>23</v>
      </c>
      <c r="J682">
        <v>463420197050.34381</v>
      </c>
      <c r="K682">
        <v>26.1</v>
      </c>
    </row>
    <row r="683" spans="1:11" x14ac:dyDescent="0.3">
      <c r="A683" t="s">
        <v>163</v>
      </c>
      <c r="B683" t="s">
        <v>164</v>
      </c>
      <c r="C683">
        <v>2023</v>
      </c>
      <c r="D683">
        <v>519055448232.97803</v>
      </c>
      <c r="E683">
        <v>1370000000000</v>
      </c>
      <c r="F683">
        <v>281190067</v>
      </c>
      <c r="G683">
        <v>5.0488311789999996</v>
      </c>
      <c r="H683">
        <v>41.460476540000002</v>
      </c>
      <c r="I683">
        <v>24</v>
      </c>
      <c r="J683">
        <v>584373354989.7439</v>
      </c>
      <c r="K683">
        <v>-11.18</v>
      </c>
    </row>
    <row r="684" spans="1:11" x14ac:dyDescent="0.3">
      <c r="A684" t="s">
        <v>163</v>
      </c>
      <c r="B684" t="s">
        <v>164</v>
      </c>
      <c r="C684">
        <v>2024</v>
      </c>
      <c r="D684">
        <v>532643941213.37598</v>
      </c>
      <c r="E684">
        <v>1400000000000</v>
      </c>
      <c r="F684">
        <v>283487931</v>
      </c>
      <c r="G684">
        <v>5.0325747710000002</v>
      </c>
      <c r="H684">
        <v>42.809937869999999</v>
      </c>
      <c r="I684">
        <v>22</v>
      </c>
      <c r="J684">
        <v>519055448232.97803</v>
      </c>
      <c r="K684">
        <v>2.62</v>
      </c>
    </row>
    <row r="685" spans="1:11" x14ac:dyDescent="0.3">
      <c r="A685" t="s">
        <v>165</v>
      </c>
      <c r="B685" t="s">
        <v>166</v>
      </c>
      <c r="C685">
        <v>2015</v>
      </c>
      <c r="D685">
        <v>528762007255</v>
      </c>
      <c r="E685">
        <v>2100000000000</v>
      </c>
      <c r="F685">
        <v>1328024498</v>
      </c>
      <c r="G685">
        <v>7.9962537859999996</v>
      </c>
      <c r="H685">
        <v>41.922913870000002</v>
      </c>
      <c r="I685">
        <v>16</v>
      </c>
    </row>
    <row r="686" spans="1:11" x14ac:dyDescent="0.3">
      <c r="A686" t="s">
        <v>165</v>
      </c>
      <c r="B686" t="s">
        <v>166</v>
      </c>
      <c r="C686">
        <v>2016</v>
      </c>
      <c r="D686">
        <v>520653824665</v>
      </c>
      <c r="E686">
        <v>2290000000000</v>
      </c>
      <c r="F686">
        <v>1343944296</v>
      </c>
      <c r="G686">
        <v>8.256305502</v>
      </c>
      <c r="H686">
        <v>40.08248571</v>
      </c>
      <c r="I686">
        <v>17</v>
      </c>
      <c r="J686">
        <v>528762007255</v>
      </c>
      <c r="K686">
        <v>-1.53</v>
      </c>
    </row>
    <row r="687" spans="1:11" x14ac:dyDescent="0.3">
      <c r="A687" t="s">
        <v>165</v>
      </c>
      <c r="B687" t="s">
        <v>166</v>
      </c>
      <c r="C687">
        <v>2017</v>
      </c>
      <c r="D687">
        <v>588728980325.17981</v>
      </c>
      <c r="E687">
        <v>2650000000000</v>
      </c>
      <c r="F687">
        <v>1359657400</v>
      </c>
      <c r="G687">
        <v>6.7953834190000002</v>
      </c>
      <c r="H687">
        <v>40.742496950000003</v>
      </c>
      <c r="I687">
        <v>17</v>
      </c>
      <c r="J687">
        <v>520653824665</v>
      </c>
      <c r="K687">
        <v>13.07</v>
      </c>
    </row>
    <row r="688" spans="1:11" x14ac:dyDescent="0.3">
      <c r="A688" t="s">
        <v>165</v>
      </c>
      <c r="B688" t="s">
        <v>166</v>
      </c>
      <c r="C688">
        <v>2018</v>
      </c>
      <c r="D688">
        <v>644984199794.04224</v>
      </c>
      <c r="E688">
        <v>2700000000000</v>
      </c>
      <c r="F688">
        <v>1374659064</v>
      </c>
      <c r="G688">
        <v>6.4538513450000004</v>
      </c>
      <c r="H688">
        <v>43.616969330000003</v>
      </c>
      <c r="I688">
        <v>17</v>
      </c>
      <c r="J688">
        <v>588728980325.17981</v>
      </c>
      <c r="K688">
        <v>9.56</v>
      </c>
    </row>
    <row r="689" spans="1:11" x14ac:dyDescent="0.3">
      <c r="A689" t="s">
        <v>165</v>
      </c>
      <c r="B689" t="s">
        <v>166</v>
      </c>
      <c r="C689">
        <v>2019</v>
      </c>
      <c r="D689">
        <v>646501452849.44202</v>
      </c>
      <c r="E689">
        <v>2840000000000</v>
      </c>
      <c r="F689">
        <v>1389030312</v>
      </c>
      <c r="G689">
        <v>3.8714369409999998</v>
      </c>
      <c r="H689">
        <v>39.905403530000001</v>
      </c>
      <c r="I689">
        <v>16</v>
      </c>
      <c r="J689">
        <v>644984199794.04224</v>
      </c>
      <c r="K689">
        <v>0.24</v>
      </c>
    </row>
    <row r="690" spans="1:11" x14ac:dyDescent="0.3">
      <c r="A690" t="s">
        <v>165</v>
      </c>
      <c r="B690" t="s">
        <v>166</v>
      </c>
      <c r="C690">
        <v>2020</v>
      </c>
      <c r="D690">
        <v>550977489855.09692</v>
      </c>
      <c r="E690">
        <v>2670000000000</v>
      </c>
      <c r="F690">
        <v>1402617695</v>
      </c>
      <c r="G690">
        <v>-5.777724707</v>
      </c>
      <c r="H690">
        <v>37.758105329999999</v>
      </c>
      <c r="I690">
        <v>18</v>
      </c>
      <c r="J690">
        <v>646501452849.44202</v>
      </c>
      <c r="K690">
        <v>-14.78</v>
      </c>
    </row>
    <row r="691" spans="1:11" x14ac:dyDescent="0.3">
      <c r="A691" t="s">
        <v>165</v>
      </c>
      <c r="B691" t="s">
        <v>166</v>
      </c>
      <c r="C691">
        <v>2021</v>
      </c>
      <c r="D691">
        <v>789627346694.59387</v>
      </c>
      <c r="E691">
        <v>3170000000000</v>
      </c>
      <c r="F691">
        <v>1414203896</v>
      </c>
      <c r="G691">
        <v>9.6895924919999992</v>
      </c>
      <c r="H691">
        <v>45.42308878</v>
      </c>
      <c r="I691">
        <v>15</v>
      </c>
      <c r="J691">
        <v>550977489855.09692</v>
      </c>
      <c r="K691">
        <v>43.31</v>
      </c>
    </row>
    <row r="692" spans="1:11" x14ac:dyDescent="0.3">
      <c r="A692" t="s">
        <v>165</v>
      </c>
      <c r="B692" t="s">
        <v>166</v>
      </c>
      <c r="C692">
        <v>2022</v>
      </c>
      <c r="D692">
        <v>905368427293.49768</v>
      </c>
      <c r="E692">
        <v>3250000000000</v>
      </c>
      <c r="F692">
        <v>1425423212</v>
      </c>
      <c r="G692">
        <v>7.6093649780000003</v>
      </c>
      <c r="H692">
        <v>50.697938280000002</v>
      </c>
      <c r="I692">
        <v>15</v>
      </c>
      <c r="J692">
        <v>789627346694.59387</v>
      </c>
      <c r="K692">
        <v>14.66</v>
      </c>
    </row>
    <row r="693" spans="1:11" x14ac:dyDescent="0.3">
      <c r="A693" t="s">
        <v>165</v>
      </c>
      <c r="B693" t="s">
        <v>166</v>
      </c>
      <c r="C693">
        <v>2023</v>
      </c>
      <c r="D693">
        <v>862823954422.59949</v>
      </c>
      <c r="E693">
        <v>3500000000000</v>
      </c>
      <c r="F693">
        <v>1438069596</v>
      </c>
      <c r="G693">
        <v>7.2102246289999998</v>
      </c>
      <c r="H693">
        <v>46.322952059999999</v>
      </c>
      <c r="I693">
        <v>14</v>
      </c>
      <c r="J693">
        <v>905368427293.49768</v>
      </c>
      <c r="K693">
        <v>-4.7</v>
      </c>
    </row>
    <row r="694" spans="1:11" x14ac:dyDescent="0.3">
      <c r="A694" t="s">
        <v>165</v>
      </c>
      <c r="B694" t="s">
        <v>166</v>
      </c>
      <c r="C694">
        <v>2024</v>
      </c>
      <c r="D694">
        <v>868870968427.89001</v>
      </c>
      <c r="E694">
        <v>3760000000000</v>
      </c>
      <c r="F694">
        <v>1450935791</v>
      </c>
      <c r="G694">
        <v>7.0992789319999998</v>
      </c>
      <c r="H694">
        <v>45.916690770000002</v>
      </c>
      <c r="I694">
        <v>13</v>
      </c>
      <c r="J694">
        <v>862823954422.59949</v>
      </c>
      <c r="K694">
        <v>0.7</v>
      </c>
    </row>
    <row r="695" spans="1:11" x14ac:dyDescent="0.3">
      <c r="A695" t="s">
        <v>167</v>
      </c>
      <c r="B695" t="s">
        <v>168</v>
      </c>
      <c r="C695">
        <v>2015</v>
      </c>
      <c r="D695">
        <v>249434727545.23495</v>
      </c>
      <c r="E695">
        <v>302000000000</v>
      </c>
      <c r="F695">
        <v>4701957</v>
      </c>
      <c r="G695">
        <v>24.623985640000001</v>
      </c>
      <c r="H695">
        <v>223.7029383</v>
      </c>
      <c r="I695">
        <v>30</v>
      </c>
    </row>
    <row r="696" spans="1:11" x14ac:dyDescent="0.3">
      <c r="A696" t="s">
        <v>167</v>
      </c>
      <c r="B696" t="s">
        <v>168</v>
      </c>
      <c r="C696">
        <v>2016</v>
      </c>
      <c r="D696">
        <v>264089424378.22809</v>
      </c>
      <c r="E696">
        <v>305000000000</v>
      </c>
      <c r="F696">
        <v>4762722</v>
      </c>
      <c r="G696">
        <v>1.2227166110000001</v>
      </c>
      <c r="H696">
        <v>239.70852780000001</v>
      </c>
      <c r="I696">
        <v>30</v>
      </c>
      <c r="J696">
        <v>249434727545.23495</v>
      </c>
      <c r="K696">
        <v>5.88</v>
      </c>
    </row>
    <row r="697" spans="1:11" x14ac:dyDescent="0.3">
      <c r="A697" t="s">
        <v>167</v>
      </c>
      <c r="B697" t="s">
        <v>168</v>
      </c>
      <c r="C697">
        <v>2017</v>
      </c>
      <c r="D697">
        <v>277414895382.94373</v>
      </c>
      <c r="E697">
        <v>348000000000</v>
      </c>
      <c r="F697">
        <v>4827445</v>
      </c>
      <c r="G697">
        <v>10.108857609999999</v>
      </c>
      <c r="H697">
        <v>233.3040833</v>
      </c>
      <c r="I697">
        <v>30</v>
      </c>
      <c r="J697">
        <v>264089424378.22809</v>
      </c>
      <c r="K697">
        <v>5.05</v>
      </c>
    </row>
    <row r="698" spans="1:11" x14ac:dyDescent="0.3">
      <c r="A698" t="s">
        <v>167</v>
      </c>
      <c r="B698" t="s">
        <v>168</v>
      </c>
      <c r="C698">
        <v>2018</v>
      </c>
      <c r="D698">
        <v>332190443117.60785</v>
      </c>
      <c r="E698">
        <v>396000000000</v>
      </c>
      <c r="F698">
        <v>4898022</v>
      </c>
      <c r="G698">
        <v>7.6886593740000002</v>
      </c>
      <c r="H698">
        <v>222.45371599999999</v>
      </c>
      <c r="I698">
        <v>29</v>
      </c>
      <c r="J698">
        <v>277414895382.94373</v>
      </c>
      <c r="K698">
        <v>19.739999999999998</v>
      </c>
    </row>
    <row r="699" spans="1:11" x14ac:dyDescent="0.3">
      <c r="A699" t="s">
        <v>167</v>
      </c>
      <c r="B699" t="s">
        <v>168</v>
      </c>
      <c r="C699">
        <v>2019</v>
      </c>
      <c r="D699">
        <v>341515977682.94391</v>
      </c>
      <c r="E699">
        <v>407000000000</v>
      </c>
      <c r="F699">
        <v>4976456</v>
      </c>
      <c r="G699">
        <v>4.9728800379999996</v>
      </c>
      <c r="H699">
        <v>257.6527729</v>
      </c>
      <c r="I699">
        <v>28</v>
      </c>
      <c r="J699">
        <v>332190443117.60785</v>
      </c>
      <c r="K699">
        <v>2.81</v>
      </c>
    </row>
    <row r="700" spans="1:11" x14ac:dyDescent="0.3">
      <c r="A700" t="s">
        <v>167</v>
      </c>
      <c r="B700" t="s">
        <v>168</v>
      </c>
      <c r="C700">
        <v>2020</v>
      </c>
      <c r="D700">
        <v>370370729970.15399</v>
      </c>
      <c r="E700">
        <v>436000000000</v>
      </c>
      <c r="F700">
        <v>5039747</v>
      </c>
      <c r="G700">
        <v>7.1536950570000002</v>
      </c>
      <c r="H700">
        <v>258.78043700000001</v>
      </c>
      <c r="I700">
        <v>25</v>
      </c>
      <c r="J700">
        <v>341515977682.94391</v>
      </c>
      <c r="K700">
        <v>8.4499999999999993</v>
      </c>
    </row>
    <row r="701" spans="1:11" x14ac:dyDescent="0.3">
      <c r="A701" t="s">
        <v>167</v>
      </c>
      <c r="B701" t="s">
        <v>168</v>
      </c>
      <c r="C701">
        <v>2021</v>
      </c>
      <c r="D701">
        <v>391995751770.94281</v>
      </c>
      <c r="E701">
        <v>530000000000</v>
      </c>
      <c r="F701">
        <v>5110585</v>
      </c>
      <c r="G701">
        <v>16.25818812</v>
      </c>
      <c r="H701">
        <v>231.03235090000001</v>
      </c>
      <c r="I701">
        <v>28</v>
      </c>
      <c r="J701">
        <v>370370729970.15399</v>
      </c>
      <c r="K701">
        <v>5.84</v>
      </c>
    </row>
    <row r="702" spans="1:11" x14ac:dyDescent="0.3">
      <c r="A702" t="s">
        <v>167</v>
      </c>
      <c r="B702" t="s">
        <v>168</v>
      </c>
      <c r="C702">
        <v>2022</v>
      </c>
      <c r="D702">
        <v>439673430252.34503</v>
      </c>
      <c r="E702">
        <v>548000000000</v>
      </c>
      <c r="F702">
        <v>5212836</v>
      </c>
      <c r="G702">
        <v>7.5111388840000002</v>
      </c>
      <c r="H702">
        <v>237.75541960000001</v>
      </c>
      <c r="I702">
        <v>27</v>
      </c>
      <c r="J702">
        <v>391995751770.94281</v>
      </c>
      <c r="K702">
        <v>12.16</v>
      </c>
    </row>
    <row r="703" spans="1:11" x14ac:dyDescent="0.3">
      <c r="A703" t="s">
        <v>167</v>
      </c>
      <c r="B703" t="s">
        <v>168</v>
      </c>
      <c r="C703">
        <v>2023</v>
      </c>
      <c r="D703">
        <v>425739028481.67877</v>
      </c>
      <c r="E703">
        <v>567000000000</v>
      </c>
      <c r="F703">
        <v>5311538</v>
      </c>
      <c r="G703">
        <v>-2.5363740930000001</v>
      </c>
      <c r="H703">
        <v>239.6496276</v>
      </c>
      <c r="I703">
        <v>28</v>
      </c>
      <c r="J703">
        <v>439673430252.34503</v>
      </c>
      <c r="K703">
        <v>-3.17</v>
      </c>
    </row>
    <row r="704" spans="1:11" x14ac:dyDescent="0.3">
      <c r="A704" t="s">
        <v>167</v>
      </c>
      <c r="B704" t="s">
        <v>168</v>
      </c>
      <c r="C704">
        <v>2024</v>
      </c>
      <c r="D704">
        <v>484437944679.24823</v>
      </c>
      <c r="E704">
        <v>609000000000</v>
      </c>
      <c r="F704">
        <v>5395790</v>
      </c>
      <c r="G704">
        <v>2.5994672159999999</v>
      </c>
      <c r="H704">
        <v>246.1698749</v>
      </c>
      <c r="I704">
        <v>25</v>
      </c>
      <c r="J704">
        <v>425739028481.67877</v>
      </c>
      <c r="K704">
        <v>13.79</v>
      </c>
    </row>
    <row r="705" spans="1:11" x14ac:dyDescent="0.3">
      <c r="A705" t="s">
        <v>169</v>
      </c>
      <c r="B705" t="s">
        <v>170</v>
      </c>
      <c r="C705">
        <v>2015</v>
      </c>
      <c r="D705">
        <v>120081284217.39999</v>
      </c>
      <c r="E705">
        <v>409000000000</v>
      </c>
      <c r="F705">
        <v>82619362</v>
      </c>
      <c r="G705">
        <v>-1.424884939</v>
      </c>
      <c r="H705">
        <v>39.422588660000002</v>
      </c>
      <c r="I705">
        <v>39</v>
      </c>
    </row>
    <row r="706" spans="1:11" x14ac:dyDescent="0.3">
      <c r="A706" t="s">
        <v>169</v>
      </c>
      <c r="B706" t="s">
        <v>170</v>
      </c>
      <c r="C706">
        <v>2016</v>
      </c>
      <c r="D706">
        <v>166296388367.07993</v>
      </c>
      <c r="E706">
        <v>479000000000</v>
      </c>
      <c r="F706">
        <v>83812228</v>
      </c>
      <c r="G706">
        <v>8.8150866430000008</v>
      </c>
      <c r="H706">
        <v>39.877241769999998</v>
      </c>
      <c r="I706">
        <v>33</v>
      </c>
      <c r="J706">
        <v>120081284217.39999</v>
      </c>
      <c r="K706">
        <v>38.49</v>
      </c>
    </row>
    <row r="707" spans="1:11" x14ac:dyDescent="0.3">
      <c r="A707" t="s">
        <v>169</v>
      </c>
      <c r="B707" t="s">
        <v>170</v>
      </c>
      <c r="C707">
        <v>2017</v>
      </c>
      <c r="D707">
        <v>211688171497.88</v>
      </c>
      <c r="E707">
        <v>510000000000</v>
      </c>
      <c r="F707">
        <v>85026754</v>
      </c>
      <c r="G707">
        <v>3.0268546870000002</v>
      </c>
      <c r="H707">
        <v>43.155693139999997</v>
      </c>
      <c r="I707">
        <v>32</v>
      </c>
      <c r="J707">
        <v>166296388367.07993</v>
      </c>
      <c r="K707">
        <v>27.3</v>
      </c>
    </row>
    <row r="708" spans="1:11" x14ac:dyDescent="0.3">
      <c r="A708" t="s">
        <v>169</v>
      </c>
      <c r="B708" t="s">
        <v>170</v>
      </c>
      <c r="C708">
        <v>2018</v>
      </c>
      <c r="D708">
        <v>193235042552.32001</v>
      </c>
      <c r="E708">
        <v>412000000000</v>
      </c>
      <c r="F708">
        <v>86117998</v>
      </c>
      <c r="G708">
        <v>-3.7479601570000001</v>
      </c>
      <c r="H708">
        <v>56.615349610000003</v>
      </c>
      <c r="I708">
        <v>33</v>
      </c>
      <c r="J708">
        <v>211688171497.88</v>
      </c>
      <c r="K708">
        <v>-8.7200000000000006</v>
      </c>
    </row>
    <row r="709" spans="1:11" x14ac:dyDescent="0.3">
      <c r="A709" t="s">
        <v>169</v>
      </c>
      <c r="B709" t="s">
        <v>170</v>
      </c>
      <c r="C709">
        <v>2019</v>
      </c>
      <c r="D709">
        <v>83847615168.355011</v>
      </c>
      <c r="E709">
        <v>348000000000</v>
      </c>
      <c r="F709">
        <v>87051648</v>
      </c>
      <c r="G709">
        <v>-2.3614353879999999</v>
      </c>
      <c r="H709">
        <v>48.591771209999997</v>
      </c>
      <c r="I709">
        <v>48</v>
      </c>
      <c r="J709">
        <v>193235042552.32001</v>
      </c>
      <c r="K709">
        <v>-56.61</v>
      </c>
    </row>
    <row r="710" spans="1:11" x14ac:dyDescent="0.3">
      <c r="A710" t="s">
        <v>169</v>
      </c>
      <c r="B710" t="s">
        <v>170</v>
      </c>
      <c r="C710">
        <v>2020</v>
      </c>
      <c r="D710">
        <v>68818209623.199997</v>
      </c>
      <c r="E710">
        <v>281000000000</v>
      </c>
      <c r="F710">
        <v>87723443</v>
      </c>
      <c r="G710">
        <v>4.4418086539999999</v>
      </c>
      <c r="H710">
        <v>43.884467489999999</v>
      </c>
      <c r="I710">
        <v>51</v>
      </c>
      <c r="J710">
        <v>83847615168.355011</v>
      </c>
      <c r="K710">
        <v>-17.920000000000002</v>
      </c>
    </row>
    <row r="711" spans="1:11" x14ac:dyDescent="0.3">
      <c r="A711" t="s">
        <v>169</v>
      </c>
      <c r="B711" t="s">
        <v>170</v>
      </c>
      <c r="C711">
        <v>2021</v>
      </c>
      <c r="D711">
        <v>134542809864.82002</v>
      </c>
      <c r="E711">
        <v>407000000000</v>
      </c>
      <c r="F711">
        <v>88455488</v>
      </c>
      <c r="G711">
        <v>4.1308968500000001</v>
      </c>
      <c r="H711">
        <v>42.672379540000001</v>
      </c>
      <c r="I711">
        <v>42</v>
      </c>
      <c r="J711">
        <v>68818209623.199997</v>
      </c>
      <c r="K711">
        <v>95.5</v>
      </c>
    </row>
    <row r="712" spans="1:11" x14ac:dyDescent="0.3">
      <c r="A712" t="s">
        <v>169</v>
      </c>
      <c r="B712" t="s">
        <v>170</v>
      </c>
      <c r="C712">
        <v>2022</v>
      </c>
      <c r="D712">
        <v>161800796503.60001</v>
      </c>
      <c r="E712">
        <v>423000000000</v>
      </c>
      <c r="F712">
        <v>89524246</v>
      </c>
      <c r="G712">
        <v>4.3528108750000003</v>
      </c>
      <c r="H712">
        <v>48.918350820000001</v>
      </c>
      <c r="I712">
        <v>41</v>
      </c>
      <c r="J712">
        <v>134542809864.82002</v>
      </c>
      <c r="K712">
        <v>20.260000000000002</v>
      </c>
    </row>
    <row r="713" spans="1:11" x14ac:dyDescent="0.3">
      <c r="A713" t="s">
        <v>171</v>
      </c>
      <c r="B713" t="s">
        <v>172</v>
      </c>
      <c r="C713">
        <v>2015</v>
      </c>
      <c r="D713">
        <v>98805164560</v>
      </c>
      <c r="E713">
        <v>167000000000</v>
      </c>
      <c r="F713">
        <v>37560535</v>
      </c>
      <c r="G713">
        <v>2.6067664289999999</v>
      </c>
      <c r="H713">
        <v>69.591768599999995</v>
      </c>
      <c r="I713">
        <v>45</v>
      </c>
    </row>
    <row r="714" spans="1:11" x14ac:dyDescent="0.3">
      <c r="A714" t="s">
        <v>171</v>
      </c>
      <c r="B714" t="s">
        <v>172</v>
      </c>
      <c r="C714">
        <v>2016</v>
      </c>
      <c r="D714">
        <v>87548035618</v>
      </c>
      <c r="E714">
        <v>167000000000</v>
      </c>
      <c r="F714">
        <v>38469627</v>
      </c>
      <c r="G714">
        <v>13.78737302</v>
      </c>
      <c r="H714">
        <v>54.588320189999997</v>
      </c>
      <c r="I714">
        <v>45</v>
      </c>
      <c r="J714">
        <v>98805164560</v>
      </c>
      <c r="K714">
        <v>-11.39</v>
      </c>
    </row>
    <row r="715" spans="1:11" x14ac:dyDescent="0.3">
      <c r="A715" t="s">
        <v>173</v>
      </c>
      <c r="B715" t="s">
        <v>174</v>
      </c>
      <c r="C715">
        <v>2015</v>
      </c>
      <c r="D715">
        <v>9443969893</v>
      </c>
      <c r="E715">
        <v>17700486957</v>
      </c>
      <c r="F715">
        <v>330815</v>
      </c>
      <c r="G715">
        <v>3.7685902019999999</v>
      </c>
      <c r="H715">
        <v>94.888802749999996</v>
      </c>
      <c r="I715">
        <v>97</v>
      </c>
    </row>
    <row r="716" spans="1:11" x14ac:dyDescent="0.3">
      <c r="A716" t="s">
        <v>173</v>
      </c>
      <c r="B716" t="s">
        <v>174</v>
      </c>
      <c r="C716">
        <v>2016</v>
      </c>
      <c r="D716">
        <v>8899459507</v>
      </c>
      <c r="E716">
        <v>21083713310</v>
      </c>
      <c r="F716">
        <v>335439</v>
      </c>
      <c r="G716">
        <v>6.2180876469999999</v>
      </c>
      <c r="H716">
        <v>87.7600166</v>
      </c>
      <c r="I716">
        <v>101</v>
      </c>
      <c r="J716">
        <v>9443969893</v>
      </c>
      <c r="K716">
        <v>-5.77</v>
      </c>
    </row>
    <row r="717" spans="1:11" x14ac:dyDescent="0.3">
      <c r="A717" t="s">
        <v>173</v>
      </c>
      <c r="B717" t="s">
        <v>174</v>
      </c>
      <c r="C717">
        <v>2017</v>
      </c>
      <c r="D717">
        <v>9765211770.0690002</v>
      </c>
      <c r="E717">
        <v>25060086488</v>
      </c>
      <c r="F717">
        <v>343400</v>
      </c>
      <c r="G717">
        <v>3.4850670419999998</v>
      </c>
      <c r="H717">
        <v>86.358533690000002</v>
      </c>
      <c r="I717">
        <v>102</v>
      </c>
      <c r="J717">
        <v>8899459507</v>
      </c>
      <c r="K717">
        <v>9.73</v>
      </c>
    </row>
    <row r="718" spans="1:11" x14ac:dyDescent="0.3">
      <c r="A718" t="s">
        <v>173</v>
      </c>
      <c r="B718" t="s">
        <v>174</v>
      </c>
      <c r="C718">
        <v>2018</v>
      </c>
      <c r="D718">
        <v>11122951682.257996</v>
      </c>
      <c r="E718">
        <v>26677652544</v>
      </c>
      <c r="F718">
        <v>352721</v>
      </c>
      <c r="G718">
        <v>4.6607703620000001</v>
      </c>
      <c r="H718">
        <v>88.93499697</v>
      </c>
      <c r="I718">
        <v>99</v>
      </c>
      <c r="J718">
        <v>9765211770.0690002</v>
      </c>
      <c r="K718">
        <v>13.9</v>
      </c>
    </row>
    <row r="719" spans="1:11" x14ac:dyDescent="0.3">
      <c r="A719" t="s">
        <v>173</v>
      </c>
      <c r="B719" t="s">
        <v>174</v>
      </c>
      <c r="C719">
        <v>2019</v>
      </c>
      <c r="D719">
        <v>10456721033.019001</v>
      </c>
      <c r="E719">
        <v>24985687022</v>
      </c>
      <c r="F719">
        <v>360563</v>
      </c>
      <c r="G719">
        <v>1.1382122729999999</v>
      </c>
      <c r="H719">
        <v>83.792365950000004</v>
      </c>
      <c r="I719">
        <v>99</v>
      </c>
      <c r="J719">
        <v>11122951682.257996</v>
      </c>
      <c r="K719">
        <v>-5.99</v>
      </c>
    </row>
    <row r="720" spans="1:11" x14ac:dyDescent="0.3">
      <c r="A720" t="s">
        <v>173</v>
      </c>
      <c r="B720" t="s">
        <v>174</v>
      </c>
      <c r="C720">
        <v>2020</v>
      </c>
      <c r="D720">
        <v>9160830980.4509964</v>
      </c>
      <c r="E720">
        <v>22034665041</v>
      </c>
      <c r="F720">
        <v>366463</v>
      </c>
      <c r="G720">
        <v>-6.6458781050000004</v>
      </c>
      <c r="H720">
        <v>68.655023349999993</v>
      </c>
      <c r="I720">
        <v>99</v>
      </c>
      <c r="J720">
        <v>10456721033.019001</v>
      </c>
      <c r="K720">
        <v>-12.39</v>
      </c>
    </row>
    <row r="721" spans="1:11" x14ac:dyDescent="0.3">
      <c r="A721" t="s">
        <v>173</v>
      </c>
      <c r="B721" t="s">
        <v>174</v>
      </c>
      <c r="C721">
        <v>2021</v>
      </c>
      <c r="D721">
        <v>11947485300.917004</v>
      </c>
      <c r="E721">
        <v>26234872402</v>
      </c>
      <c r="F721">
        <v>372520</v>
      </c>
      <c r="G721">
        <v>5.180571907</v>
      </c>
      <c r="H721">
        <v>76.231724990000004</v>
      </c>
      <c r="I721">
        <v>99</v>
      </c>
      <c r="J721">
        <v>9160830980.4509964</v>
      </c>
      <c r="K721">
        <v>30.42</v>
      </c>
    </row>
    <row r="722" spans="1:11" x14ac:dyDescent="0.3">
      <c r="A722" t="s">
        <v>173</v>
      </c>
      <c r="B722" t="s">
        <v>174</v>
      </c>
      <c r="C722">
        <v>2022</v>
      </c>
      <c r="D722">
        <v>14807594738.176001</v>
      </c>
      <c r="E722">
        <v>29176227825</v>
      </c>
      <c r="F722">
        <v>382003</v>
      </c>
      <c r="G722">
        <v>8.8572989789999994</v>
      </c>
      <c r="H722">
        <v>93.016429509999995</v>
      </c>
      <c r="I722">
        <v>94</v>
      </c>
      <c r="J722">
        <v>11947485300.917004</v>
      </c>
      <c r="K722">
        <v>23.94</v>
      </c>
    </row>
    <row r="723" spans="1:11" x14ac:dyDescent="0.3">
      <c r="A723" t="s">
        <v>173</v>
      </c>
      <c r="B723" t="s">
        <v>174</v>
      </c>
      <c r="C723">
        <v>2023</v>
      </c>
      <c r="D723">
        <v>13615079953.443998</v>
      </c>
      <c r="E723">
        <v>31701996434</v>
      </c>
      <c r="F723">
        <v>385663</v>
      </c>
      <c r="G723">
        <v>5.0322597379999996</v>
      </c>
      <c r="H723">
        <v>87.238881090000007</v>
      </c>
      <c r="I723">
        <v>97</v>
      </c>
      <c r="J723">
        <v>14807594738.176001</v>
      </c>
      <c r="K723">
        <v>-8.0500000000000007</v>
      </c>
    </row>
    <row r="724" spans="1:11" x14ac:dyDescent="0.3">
      <c r="A724" t="s">
        <v>173</v>
      </c>
      <c r="B724" t="s">
        <v>174</v>
      </c>
      <c r="C724">
        <v>2024</v>
      </c>
      <c r="D724">
        <v>13894315840.779997</v>
      </c>
      <c r="E724">
        <v>33186621855</v>
      </c>
      <c r="F724">
        <v>386506</v>
      </c>
      <c r="G724">
        <v>-1.282876444</v>
      </c>
      <c r="H724">
        <v>86.181579279999994</v>
      </c>
      <c r="I724">
        <v>91</v>
      </c>
      <c r="J724">
        <v>13615079953.443998</v>
      </c>
      <c r="K724">
        <v>2.0499999999999998</v>
      </c>
    </row>
    <row r="725" spans="1:11" x14ac:dyDescent="0.3">
      <c r="A725" t="s">
        <v>175</v>
      </c>
      <c r="B725" t="s">
        <v>176</v>
      </c>
      <c r="C725">
        <v>2015</v>
      </c>
      <c r="D725">
        <v>128124434000</v>
      </c>
      <c r="E725">
        <v>303000000000</v>
      </c>
      <c r="F725">
        <v>8380100</v>
      </c>
      <c r="G725">
        <v>2.2359988959999999</v>
      </c>
      <c r="H725">
        <v>59.020155709999997</v>
      </c>
      <c r="I725">
        <v>36</v>
      </c>
    </row>
    <row r="726" spans="1:11" x14ac:dyDescent="0.3">
      <c r="A726" t="s">
        <v>175</v>
      </c>
      <c r="B726" t="s">
        <v>176</v>
      </c>
      <c r="C726">
        <v>2016</v>
      </c>
      <c r="D726">
        <v>121141192000</v>
      </c>
      <c r="E726">
        <v>321000000000</v>
      </c>
      <c r="F726">
        <v>8546000</v>
      </c>
      <c r="G726">
        <v>4.536019392</v>
      </c>
      <c r="H726">
        <v>57.953305159999999</v>
      </c>
      <c r="I726">
        <v>38</v>
      </c>
      <c r="J726">
        <v>128124434000</v>
      </c>
      <c r="K726">
        <v>-5.45</v>
      </c>
    </row>
    <row r="727" spans="1:11" x14ac:dyDescent="0.3">
      <c r="A727" t="s">
        <v>175</v>
      </c>
      <c r="B727" t="s">
        <v>176</v>
      </c>
      <c r="C727">
        <v>2017</v>
      </c>
      <c r="D727">
        <v>122300282000</v>
      </c>
      <c r="E727">
        <v>357000000000</v>
      </c>
      <c r="F727">
        <v>8713300</v>
      </c>
      <c r="G727">
        <v>4.3439451890000003</v>
      </c>
      <c r="H727">
        <v>56.451937379999997</v>
      </c>
      <c r="I727">
        <v>42</v>
      </c>
      <c r="J727">
        <v>121141192000</v>
      </c>
      <c r="K727">
        <v>0.96</v>
      </c>
    </row>
    <row r="728" spans="1:11" x14ac:dyDescent="0.3">
      <c r="A728" t="s">
        <v>175</v>
      </c>
      <c r="B728" t="s">
        <v>176</v>
      </c>
      <c r="C728">
        <v>2018</v>
      </c>
      <c r="D728">
        <v>123812824000</v>
      </c>
      <c r="E728">
        <v>375000000000</v>
      </c>
      <c r="F728">
        <v>8882800</v>
      </c>
      <c r="G728">
        <v>4.0534995289999998</v>
      </c>
      <c r="H728">
        <v>58.873401340000001</v>
      </c>
      <c r="I728">
        <v>44</v>
      </c>
      <c r="J728">
        <v>122300282000</v>
      </c>
      <c r="K728">
        <v>1.24</v>
      </c>
    </row>
    <row r="729" spans="1:11" x14ac:dyDescent="0.3">
      <c r="A729" t="s">
        <v>175</v>
      </c>
      <c r="B729" t="s">
        <v>176</v>
      </c>
      <c r="C729">
        <v>2019</v>
      </c>
      <c r="D729">
        <v>116976932000</v>
      </c>
      <c r="E729">
        <v>399000000000</v>
      </c>
      <c r="F729">
        <v>9054000</v>
      </c>
      <c r="G729">
        <v>3.5789876289999998</v>
      </c>
      <c r="H729">
        <v>56.528161840000003</v>
      </c>
      <c r="I729">
        <v>43</v>
      </c>
      <c r="J729">
        <v>123812824000</v>
      </c>
      <c r="K729">
        <v>-5.52</v>
      </c>
    </row>
    <row r="730" spans="1:11" x14ac:dyDescent="0.3">
      <c r="A730" t="s">
        <v>175</v>
      </c>
      <c r="B730" t="s">
        <v>176</v>
      </c>
      <c r="C730">
        <v>2020</v>
      </c>
      <c r="D730">
        <v>100306492000</v>
      </c>
      <c r="E730">
        <v>411000000000</v>
      </c>
      <c r="F730">
        <v>9215100</v>
      </c>
      <c r="G730">
        <v>-1.80206928</v>
      </c>
      <c r="H730">
        <v>51.14039846</v>
      </c>
      <c r="I730">
        <v>42</v>
      </c>
      <c r="J730">
        <v>116976932000</v>
      </c>
      <c r="K730">
        <v>-14.25</v>
      </c>
    </row>
    <row r="731" spans="1:11" x14ac:dyDescent="0.3">
      <c r="A731" t="s">
        <v>175</v>
      </c>
      <c r="B731" t="s">
        <v>176</v>
      </c>
      <c r="C731">
        <v>2021</v>
      </c>
      <c r="D731">
        <v>120319468000</v>
      </c>
      <c r="E731">
        <v>490000000000</v>
      </c>
      <c r="F731">
        <v>9371400</v>
      </c>
      <c r="G731">
        <v>9.3353469019999995</v>
      </c>
      <c r="H731">
        <v>54.818403660000001</v>
      </c>
      <c r="I731">
        <v>45</v>
      </c>
      <c r="J731">
        <v>100306492000</v>
      </c>
      <c r="K731">
        <v>19.95</v>
      </c>
    </row>
    <row r="732" spans="1:11" x14ac:dyDescent="0.3">
      <c r="A732" t="s">
        <v>175</v>
      </c>
      <c r="B732" t="s">
        <v>176</v>
      </c>
      <c r="C732">
        <v>2022</v>
      </c>
      <c r="D732">
        <v>145137762000</v>
      </c>
      <c r="E732">
        <v>525000000000</v>
      </c>
      <c r="F732">
        <v>9557500</v>
      </c>
      <c r="G732">
        <v>6.3640723479999997</v>
      </c>
      <c r="H732">
        <v>60.635842830000001</v>
      </c>
      <c r="I732">
        <v>44</v>
      </c>
      <c r="J732">
        <v>120319468000</v>
      </c>
      <c r="K732">
        <v>20.63</v>
      </c>
    </row>
    <row r="733" spans="1:11" x14ac:dyDescent="0.3">
      <c r="A733" t="s">
        <v>175</v>
      </c>
      <c r="B733" t="s">
        <v>176</v>
      </c>
      <c r="C733">
        <v>2023</v>
      </c>
      <c r="D733">
        <v>117809216000</v>
      </c>
      <c r="E733">
        <v>513000000000</v>
      </c>
      <c r="F733">
        <v>9849000</v>
      </c>
      <c r="G733">
        <v>2.0627250469999998</v>
      </c>
      <c r="H733">
        <v>57.977782329999997</v>
      </c>
      <c r="I733">
        <v>47</v>
      </c>
      <c r="J733">
        <v>145137762000</v>
      </c>
      <c r="K733">
        <v>-18.829999999999998</v>
      </c>
    </row>
    <row r="734" spans="1:11" x14ac:dyDescent="0.3">
      <c r="A734" t="s">
        <v>175</v>
      </c>
      <c r="B734" t="s">
        <v>176</v>
      </c>
      <c r="C734">
        <v>2024</v>
      </c>
      <c r="D734">
        <v>120513860000</v>
      </c>
      <c r="E734">
        <v>542000000000</v>
      </c>
      <c r="F734">
        <v>10002200</v>
      </c>
      <c r="G734">
        <v>0.95361846900000002</v>
      </c>
      <c r="H734">
        <v>54.382256380000001</v>
      </c>
      <c r="I734">
        <v>45</v>
      </c>
      <c r="J734">
        <v>117809216000</v>
      </c>
      <c r="K734">
        <v>2.2999999999999998</v>
      </c>
    </row>
    <row r="735" spans="1:11" x14ac:dyDescent="0.3">
      <c r="A735" t="s">
        <v>177</v>
      </c>
      <c r="B735" t="s">
        <v>178</v>
      </c>
      <c r="C735">
        <v>2015</v>
      </c>
      <c r="D735">
        <v>913977251028.95496</v>
      </c>
      <c r="E735">
        <v>1850000000000</v>
      </c>
      <c r="F735">
        <v>60229605</v>
      </c>
      <c r="G735">
        <v>0.88566763500000001</v>
      </c>
      <c r="H735">
        <v>55.435685810000003</v>
      </c>
      <c r="I735">
        <v>9</v>
      </c>
    </row>
    <row r="736" spans="1:11" x14ac:dyDescent="0.3">
      <c r="A736" t="s">
        <v>177</v>
      </c>
      <c r="B736" t="s">
        <v>178</v>
      </c>
      <c r="C736">
        <v>2016</v>
      </c>
      <c r="D736">
        <v>923335250858.48071</v>
      </c>
      <c r="E736">
        <v>1890000000000</v>
      </c>
      <c r="F736">
        <v>60115223</v>
      </c>
      <c r="G736">
        <v>1.2362210849999999</v>
      </c>
      <c r="H736">
        <v>54.432146699999997</v>
      </c>
      <c r="I736">
        <v>8</v>
      </c>
      <c r="J736">
        <v>913977251028.95496</v>
      </c>
      <c r="K736">
        <v>1.02</v>
      </c>
    </row>
    <row r="737" spans="1:11" x14ac:dyDescent="0.3">
      <c r="A737" t="s">
        <v>177</v>
      </c>
      <c r="B737" t="s">
        <v>178</v>
      </c>
      <c r="C737">
        <v>2017</v>
      </c>
      <c r="D737">
        <v>1014722799680.5225</v>
      </c>
      <c r="E737">
        <v>1970000000000</v>
      </c>
      <c r="F737">
        <v>60002252</v>
      </c>
      <c r="G737">
        <v>1.603699953</v>
      </c>
      <c r="H737">
        <v>57.582994030000002</v>
      </c>
      <c r="I737">
        <v>8</v>
      </c>
      <c r="J737">
        <v>923335250858.48071</v>
      </c>
      <c r="K737">
        <v>9.9</v>
      </c>
    </row>
    <row r="738" spans="1:11" x14ac:dyDescent="0.3">
      <c r="A738" t="s">
        <v>177</v>
      </c>
      <c r="B738" t="s">
        <v>178</v>
      </c>
      <c r="C738">
        <v>2018</v>
      </c>
      <c r="D738">
        <v>1099029545921.7782</v>
      </c>
      <c r="E738">
        <v>2100000000000</v>
      </c>
      <c r="F738">
        <v>59877221</v>
      </c>
      <c r="G738">
        <v>0.82664671199999995</v>
      </c>
      <c r="H738">
        <v>59.274983509999998</v>
      </c>
      <c r="I738">
        <v>8</v>
      </c>
      <c r="J738">
        <v>1014722799680.5225</v>
      </c>
      <c r="K738">
        <v>8.31</v>
      </c>
    </row>
    <row r="739" spans="1:11" x14ac:dyDescent="0.3">
      <c r="A739" t="s">
        <v>177</v>
      </c>
      <c r="B739" t="s">
        <v>178</v>
      </c>
      <c r="C739">
        <v>2019</v>
      </c>
      <c r="D739">
        <v>1075496857635.8364</v>
      </c>
      <c r="E739">
        <v>2020000000000</v>
      </c>
      <c r="F739">
        <v>59729081</v>
      </c>
      <c r="G739">
        <v>0.42916253399999998</v>
      </c>
      <c r="H739">
        <v>58.694190259999999</v>
      </c>
      <c r="I739">
        <v>7</v>
      </c>
      <c r="J739">
        <v>1099029545921.7782</v>
      </c>
      <c r="K739">
        <v>-2.14</v>
      </c>
    </row>
    <row r="740" spans="1:11" x14ac:dyDescent="0.3">
      <c r="A740" t="s">
        <v>177</v>
      </c>
      <c r="B740" t="s">
        <v>178</v>
      </c>
      <c r="C740">
        <v>2020</v>
      </c>
      <c r="D740">
        <v>997607663941.25305</v>
      </c>
      <c r="E740">
        <v>1910000000000</v>
      </c>
      <c r="F740">
        <v>59438851</v>
      </c>
      <c r="G740">
        <v>-8.8682212220000007</v>
      </c>
      <c r="H740">
        <v>53.939483899999999</v>
      </c>
      <c r="I740">
        <v>7</v>
      </c>
      <c r="J740">
        <v>1075496857635.8364</v>
      </c>
      <c r="K740">
        <v>-7.24</v>
      </c>
    </row>
    <row r="741" spans="1:11" x14ac:dyDescent="0.3">
      <c r="A741" t="s">
        <v>177</v>
      </c>
      <c r="B741" t="s">
        <v>178</v>
      </c>
      <c r="C741">
        <v>2021</v>
      </c>
      <c r="D741">
        <v>1231820520121.5537</v>
      </c>
      <c r="E741">
        <v>2180000000000</v>
      </c>
      <c r="F741">
        <v>59133173</v>
      </c>
      <c r="G741">
        <v>8.9310621080000008</v>
      </c>
      <c r="H741">
        <v>60.301977620000002</v>
      </c>
      <c r="I741">
        <v>7</v>
      </c>
      <c r="J741">
        <v>997607663941.25305</v>
      </c>
      <c r="K741">
        <v>23.48</v>
      </c>
    </row>
    <row r="742" spans="1:11" x14ac:dyDescent="0.3">
      <c r="A742" t="s">
        <v>177</v>
      </c>
      <c r="B742" t="s">
        <v>178</v>
      </c>
      <c r="C742">
        <v>2022</v>
      </c>
      <c r="D742">
        <v>1318774418267.6069</v>
      </c>
      <c r="E742">
        <v>2100000000000</v>
      </c>
      <c r="F742">
        <v>59013667</v>
      </c>
      <c r="G742">
        <v>4.8211766989999996</v>
      </c>
      <c r="H742">
        <v>72.016502299999999</v>
      </c>
      <c r="I742">
        <v>6</v>
      </c>
      <c r="J742">
        <v>1231820520121.5537</v>
      </c>
      <c r="K742">
        <v>7.06</v>
      </c>
    </row>
    <row r="743" spans="1:11" x14ac:dyDescent="0.3">
      <c r="A743" t="s">
        <v>177</v>
      </c>
      <c r="B743" t="s">
        <v>178</v>
      </c>
      <c r="C743">
        <v>2023</v>
      </c>
      <c r="D743">
        <v>1353639636863.4006</v>
      </c>
      <c r="E743">
        <v>2320000000000</v>
      </c>
      <c r="F743">
        <v>58984216</v>
      </c>
      <c r="G743">
        <v>0.922796544</v>
      </c>
      <c r="H743">
        <v>65.102841940000005</v>
      </c>
      <c r="I743">
        <v>5</v>
      </c>
      <c r="J743">
        <v>1318774418267.6069</v>
      </c>
      <c r="K743">
        <v>2.64</v>
      </c>
    </row>
    <row r="744" spans="1:11" x14ac:dyDescent="0.3">
      <c r="A744" t="s">
        <v>177</v>
      </c>
      <c r="B744" t="s">
        <v>178</v>
      </c>
      <c r="C744">
        <v>2024</v>
      </c>
      <c r="D744">
        <v>1347795243406.4392</v>
      </c>
      <c r="E744">
        <v>2380000000000</v>
      </c>
      <c r="F744">
        <v>58952704</v>
      </c>
      <c r="G744">
        <v>0.783039135</v>
      </c>
      <c r="H744">
        <v>62.592614490000003</v>
      </c>
      <c r="I744">
        <v>6</v>
      </c>
      <c r="J744">
        <v>1353639636863.4006</v>
      </c>
      <c r="K744">
        <v>-0.43</v>
      </c>
    </row>
    <row r="745" spans="1:11" x14ac:dyDescent="0.3">
      <c r="A745" t="s">
        <v>179</v>
      </c>
      <c r="B745" t="s">
        <v>180</v>
      </c>
      <c r="C745">
        <v>2015</v>
      </c>
      <c r="D745">
        <v>2525169701</v>
      </c>
      <c r="E745">
        <v>14963589916</v>
      </c>
      <c r="F745">
        <v>2802534</v>
      </c>
      <c r="G745">
        <v>0.92148712399999999</v>
      </c>
      <c r="I745">
        <v>126</v>
      </c>
    </row>
    <row r="746" spans="1:11" x14ac:dyDescent="0.3">
      <c r="A746" t="s">
        <v>179</v>
      </c>
      <c r="B746" t="s">
        <v>180</v>
      </c>
      <c r="C746">
        <v>2016</v>
      </c>
      <c r="D746">
        <v>2403573119</v>
      </c>
      <c r="E746">
        <v>14898999754</v>
      </c>
      <c r="F746">
        <v>2809915</v>
      </c>
      <c r="G746">
        <v>2.7604376140000002</v>
      </c>
      <c r="I746">
        <v>130</v>
      </c>
      <c r="J746">
        <v>2525169701</v>
      </c>
      <c r="K746">
        <v>-4.82</v>
      </c>
    </row>
    <row r="747" spans="1:11" x14ac:dyDescent="0.3">
      <c r="A747" t="s">
        <v>179</v>
      </c>
      <c r="B747" t="s">
        <v>180</v>
      </c>
      <c r="C747">
        <v>2017</v>
      </c>
      <c r="D747">
        <v>2619436886.9919996</v>
      </c>
      <c r="E747">
        <v>15783583237</v>
      </c>
      <c r="F747">
        <v>2815764</v>
      </c>
      <c r="G747">
        <v>2.2930337129999998</v>
      </c>
      <c r="I747">
        <v>129</v>
      </c>
      <c r="J747">
        <v>2403573119</v>
      </c>
      <c r="K747">
        <v>8.98</v>
      </c>
    </row>
    <row r="748" spans="1:11" x14ac:dyDescent="0.3">
      <c r="A748" t="s">
        <v>179</v>
      </c>
      <c r="B748" t="s">
        <v>180</v>
      </c>
      <c r="C748">
        <v>2018</v>
      </c>
      <c r="D748">
        <v>3921479413.3399982</v>
      </c>
      <c r="E748">
        <v>16855447986</v>
      </c>
      <c r="F748">
        <v>2820097</v>
      </c>
      <c r="G748">
        <v>2.515844586</v>
      </c>
      <c r="I748">
        <v>122</v>
      </c>
      <c r="J748">
        <v>2619436886.9919996</v>
      </c>
      <c r="K748">
        <v>49.71</v>
      </c>
    </row>
    <row r="749" spans="1:11" x14ac:dyDescent="0.3">
      <c r="A749" t="s">
        <v>179</v>
      </c>
      <c r="B749" t="s">
        <v>180</v>
      </c>
      <c r="C749">
        <v>2019</v>
      </c>
      <c r="D749">
        <v>3302322168.4719992</v>
      </c>
      <c r="E749">
        <v>17026269263</v>
      </c>
      <c r="F749">
        <v>2823271</v>
      </c>
      <c r="G749">
        <v>1.8094314730000001</v>
      </c>
      <c r="I749">
        <v>125</v>
      </c>
      <c r="J749">
        <v>3921479413.3399982</v>
      </c>
      <c r="K749">
        <v>-15.79</v>
      </c>
    </row>
    <row r="750" spans="1:11" x14ac:dyDescent="0.3">
      <c r="A750" t="s">
        <v>179</v>
      </c>
      <c r="B750" t="s">
        <v>180</v>
      </c>
      <c r="C750">
        <v>2020</v>
      </c>
      <c r="D750">
        <v>2501198872.3799996</v>
      </c>
      <c r="E750">
        <v>15000214216</v>
      </c>
      <c r="F750">
        <v>2830739</v>
      </c>
      <c r="G750">
        <v>-8.3044192359999993</v>
      </c>
      <c r="I750">
        <v>125</v>
      </c>
      <c r="J750">
        <v>3302322168.4719992</v>
      </c>
      <c r="K750">
        <v>-24.26</v>
      </c>
    </row>
    <row r="751" spans="1:11" x14ac:dyDescent="0.3">
      <c r="A751" t="s">
        <v>179</v>
      </c>
      <c r="B751" t="s">
        <v>180</v>
      </c>
      <c r="C751">
        <v>2021</v>
      </c>
      <c r="D751">
        <v>2961419733.3799996</v>
      </c>
      <c r="E751">
        <v>15963885376</v>
      </c>
      <c r="F751">
        <v>2837682</v>
      </c>
      <c r="G751">
        <v>5.7046797829999996</v>
      </c>
      <c r="I751">
        <v>128</v>
      </c>
      <c r="J751">
        <v>2501198872.3799996</v>
      </c>
      <c r="K751">
        <v>18.399999999999999</v>
      </c>
    </row>
    <row r="752" spans="1:11" x14ac:dyDescent="0.3">
      <c r="A752" t="s">
        <v>179</v>
      </c>
      <c r="B752" t="s">
        <v>180</v>
      </c>
      <c r="C752">
        <v>2022</v>
      </c>
      <c r="D752">
        <v>3802831637.8600001</v>
      </c>
      <c r="E752">
        <v>18813516805</v>
      </c>
      <c r="F752">
        <v>2839144</v>
      </c>
      <c r="G752">
        <v>6.4393032369999998</v>
      </c>
      <c r="I752">
        <v>123</v>
      </c>
      <c r="J752">
        <v>2961419733.3799996</v>
      </c>
      <c r="K752">
        <v>28.41</v>
      </c>
    </row>
    <row r="753" spans="1:11" x14ac:dyDescent="0.3">
      <c r="A753" t="s">
        <v>179</v>
      </c>
      <c r="B753" t="s">
        <v>180</v>
      </c>
      <c r="C753">
        <v>2023</v>
      </c>
      <c r="D753">
        <v>4003604433.5399995</v>
      </c>
      <c r="E753">
        <v>21418797833</v>
      </c>
      <c r="F753">
        <v>2839786</v>
      </c>
      <c r="G753">
        <v>2.7463443390000002</v>
      </c>
      <c r="I753">
        <v>121</v>
      </c>
      <c r="J753">
        <v>3802831637.8600001</v>
      </c>
      <c r="K753">
        <v>5.28</v>
      </c>
    </row>
    <row r="754" spans="1:11" x14ac:dyDescent="0.3">
      <c r="A754" t="s">
        <v>179</v>
      </c>
      <c r="B754" t="s">
        <v>180</v>
      </c>
      <c r="C754">
        <v>2024</v>
      </c>
      <c r="D754">
        <v>3813812872</v>
      </c>
      <c r="E754">
        <v>22014429051</v>
      </c>
      <c r="F754">
        <v>2839175</v>
      </c>
      <c r="G754">
        <v>-0.53503906400000001</v>
      </c>
      <c r="I754">
        <v>105</v>
      </c>
      <c r="J754">
        <v>4003604433.5399995</v>
      </c>
      <c r="K754">
        <v>-4.74</v>
      </c>
    </row>
    <row r="755" spans="1:11" x14ac:dyDescent="0.3">
      <c r="A755" t="s">
        <v>181</v>
      </c>
      <c r="B755" t="s">
        <v>182</v>
      </c>
      <c r="C755">
        <v>2015</v>
      </c>
      <c r="D755">
        <v>15665953191</v>
      </c>
      <c r="E755">
        <v>42394049296</v>
      </c>
      <c r="F755">
        <v>9544729</v>
      </c>
      <c r="G755">
        <v>2.522616711</v>
      </c>
      <c r="I755">
        <v>87</v>
      </c>
    </row>
    <row r="756" spans="1:11" x14ac:dyDescent="0.3">
      <c r="A756" t="s">
        <v>181</v>
      </c>
      <c r="B756" t="s">
        <v>182</v>
      </c>
      <c r="C756">
        <v>2016</v>
      </c>
      <c r="D756">
        <v>15018165042</v>
      </c>
      <c r="E756">
        <v>43688498732</v>
      </c>
      <c r="F756">
        <v>10006367</v>
      </c>
      <c r="G756">
        <v>2.1116680699999999</v>
      </c>
      <c r="I756">
        <v>86</v>
      </c>
      <c r="J756">
        <v>15665953191</v>
      </c>
      <c r="K756">
        <v>-4.1399999999999997</v>
      </c>
    </row>
    <row r="757" spans="1:11" x14ac:dyDescent="0.3">
      <c r="A757" t="s">
        <v>181</v>
      </c>
      <c r="B757" t="s">
        <v>182</v>
      </c>
      <c r="C757">
        <v>2017</v>
      </c>
      <c r="D757">
        <v>14938476901.555992</v>
      </c>
      <c r="E757">
        <v>45535614366</v>
      </c>
      <c r="F757">
        <v>10234226</v>
      </c>
      <c r="G757">
        <v>2.5077039810000001</v>
      </c>
      <c r="I757">
        <v>89</v>
      </c>
      <c r="J757">
        <v>15018165042</v>
      </c>
      <c r="K757">
        <v>-0.53</v>
      </c>
    </row>
    <row r="758" spans="1:11" x14ac:dyDescent="0.3">
      <c r="A758" t="s">
        <v>181</v>
      </c>
      <c r="B758" t="s">
        <v>182</v>
      </c>
      <c r="C758">
        <v>2018</v>
      </c>
      <c r="D758">
        <v>15500525725.537004</v>
      </c>
      <c r="E758">
        <v>47435850423</v>
      </c>
      <c r="F758">
        <v>10462306</v>
      </c>
      <c r="G758">
        <v>1.853834156</v>
      </c>
      <c r="I758">
        <v>87</v>
      </c>
      <c r="J758">
        <v>14938476901.555992</v>
      </c>
      <c r="K758">
        <v>3.76</v>
      </c>
    </row>
    <row r="759" spans="1:11" x14ac:dyDescent="0.3">
      <c r="A759" t="s">
        <v>181</v>
      </c>
      <c r="B759" t="s">
        <v>182</v>
      </c>
      <c r="C759">
        <v>2019</v>
      </c>
      <c r="D759">
        <v>16625833122.412003</v>
      </c>
      <c r="E759">
        <v>48640273803</v>
      </c>
      <c r="F759">
        <v>10671891</v>
      </c>
      <c r="G759">
        <v>1.8563300659999999</v>
      </c>
      <c r="I759">
        <v>83</v>
      </c>
      <c r="J759">
        <v>15500525725.537004</v>
      </c>
      <c r="K759">
        <v>7.26</v>
      </c>
    </row>
    <row r="760" spans="1:11" x14ac:dyDescent="0.3">
      <c r="A760" t="s">
        <v>181</v>
      </c>
      <c r="B760" t="s">
        <v>182</v>
      </c>
      <c r="C760">
        <v>2020</v>
      </c>
      <c r="D760">
        <v>15886489547.421</v>
      </c>
      <c r="E760">
        <v>47931770986</v>
      </c>
      <c r="F760">
        <v>10865228</v>
      </c>
      <c r="G760">
        <v>-1.152575342</v>
      </c>
      <c r="I760">
        <v>81</v>
      </c>
      <c r="J760">
        <v>16625833122.412003</v>
      </c>
      <c r="K760">
        <v>-4.45</v>
      </c>
    </row>
    <row r="761" spans="1:11" x14ac:dyDescent="0.3">
      <c r="A761" t="s">
        <v>181</v>
      </c>
      <c r="B761" t="s">
        <v>182</v>
      </c>
      <c r="C761">
        <v>2021</v>
      </c>
      <c r="D761">
        <v>18713100040.989006</v>
      </c>
      <c r="E761">
        <v>50702940986</v>
      </c>
      <c r="F761">
        <v>11066356</v>
      </c>
      <c r="G761">
        <v>3.7520127680000002</v>
      </c>
      <c r="I761">
        <v>85</v>
      </c>
      <c r="J761">
        <v>15886489547.421</v>
      </c>
      <c r="K761">
        <v>17.79</v>
      </c>
    </row>
    <row r="762" spans="1:11" x14ac:dyDescent="0.3">
      <c r="A762" t="s">
        <v>181</v>
      </c>
      <c r="B762" t="s">
        <v>182</v>
      </c>
      <c r="C762">
        <v>2022</v>
      </c>
      <c r="D762">
        <v>25559613284.990009</v>
      </c>
      <c r="E762">
        <v>53516930141</v>
      </c>
      <c r="F762">
        <v>11256263</v>
      </c>
      <c r="G762">
        <v>2.7468615449999998</v>
      </c>
      <c r="I762">
        <v>79</v>
      </c>
      <c r="J762">
        <v>18713100040.989006</v>
      </c>
      <c r="K762">
        <v>36.590000000000003</v>
      </c>
    </row>
    <row r="763" spans="1:11" x14ac:dyDescent="0.3">
      <c r="A763" t="s">
        <v>181</v>
      </c>
      <c r="B763" t="s">
        <v>182</v>
      </c>
      <c r="C763">
        <v>2023</v>
      </c>
      <c r="D763">
        <v>25179130975.640995</v>
      </c>
      <c r="E763">
        <v>56123472113</v>
      </c>
      <c r="F763">
        <v>11439213</v>
      </c>
      <c r="G763">
        <v>3.12900102</v>
      </c>
      <c r="I763">
        <v>75</v>
      </c>
      <c r="J763">
        <v>25559613284.990009</v>
      </c>
      <c r="K763">
        <v>-1.49</v>
      </c>
    </row>
    <row r="764" spans="1:11" x14ac:dyDescent="0.3">
      <c r="A764" t="s">
        <v>181</v>
      </c>
      <c r="B764" t="s">
        <v>182</v>
      </c>
      <c r="C764">
        <v>2024</v>
      </c>
      <c r="D764">
        <v>26565496416.442993</v>
      </c>
      <c r="E764">
        <v>58618380563</v>
      </c>
      <c r="F764">
        <v>11552876</v>
      </c>
      <c r="G764">
        <v>2.5560589180000002</v>
      </c>
      <c r="I764">
        <v>71</v>
      </c>
      <c r="J764">
        <v>25179130975.640995</v>
      </c>
      <c r="K764">
        <v>5.51</v>
      </c>
    </row>
    <row r="765" spans="1:11" x14ac:dyDescent="0.3">
      <c r="A765" t="s">
        <v>183</v>
      </c>
      <c r="B765" t="s">
        <v>184</v>
      </c>
      <c r="C765">
        <v>2015</v>
      </c>
      <c r="D765">
        <v>1249747016237</v>
      </c>
      <c r="E765">
        <v>4530000000000</v>
      </c>
      <c r="F765">
        <v>127141000</v>
      </c>
      <c r="G765">
        <v>1.799977358</v>
      </c>
      <c r="H765">
        <v>34.727630589999997</v>
      </c>
      <c r="I765">
        <v>3</v>
      </c>
    </row>
    <row r="766" spans="1:11" x14ac:dyDescent="0.3">
      <c r="A766" t="s">
        <v>183</v>
      </c>
      <c r="B766" t="s">
        <v>184</v>
      </c>
      <c r="C766">
        <v>2016</v>
      </c>
      <c r="D766">
        <v>1289864878996</v>
      </c>
      <c r="E766">
        <v>5110000000000</v>
      </c>
      <c r="F766">
        <v>127076000</v>
      </c>
      <c r="G766">
        <v>0.70498649499999999</v>
      </c>
      <c r="H766">
        <v>30.656279309999999</v>
      </c>
      <c r="I766">
        <v>3</v>
      </c>
      <c r="J766">
        <v>1249747016237</v>
      </c>
      <c r="K766">
        <v>3.21</v>
      </c>
    </row>
    <row r="767" spans="1:11" x14ac:dyDescent="0.3">
      <c r="A767" t="s">
        <v>183</v>
      </c>
      <c r="B767" t="s">
        <v>184</v>
      </c>
      <c r="C767">
        <v>2017</v>
      </c>
      <c r="D767">
        <v>1396262447388.1907</v>
      </c>
      <c r="E767">
        <v>5040000000000</v>
      </c>
      <c r="F767">
        <v>126972000</v>
      </c>
      <c r="G767">
        <v>1.623450622</v>
      </c>
      <c r="H767">
        <v>33.688833680000002</v>
      </c>
      <c r="I767">
        <v>3</v>
      </c>
      <c r="J767">
        <v>1289864878996</v>
      </c>
      <c r="K767">
        <v>8.25</v>
      </c>
    </row>
    <row r="768" spans="1:11" x14ac:dyDescent="0.3">
      <c r="A768" t="s">
        <v>183</v>
      </c>
      <c r="B768" t="s">
        <v>184</v>
      </c>
      <c r="C768">
        <v>2018</v>
      </c>
      <c r="D768">
        <v>1476390109727.7246</v>
      </c>
      <c r="E768">
        <v>5150000000000</v>
      </c>
      <c r="F768">
        <v>126811000</v>
      </c>
      <c r="G768">
        <v>0.83414384600000002</v>
      </c>
      <c r="H768">
        <v>35.803574959999999</v>
      </c>
      <c r="I768">
        <v>3</v>
      </c>
      <c r="J768">
        <v>1396262447388.1907</v>
      </c>
      <c r="K768">
        <v>5.74</v>
      </c>
    </row>
    <row r="769" spans="1:11" x14ac:dyDescent="0.3">
      <c r="A769" t="s">
        <v>183</v>
      </c>
      <c r="B769" t="s">
        <v>184</v>
      </c>
      <c r="C769">
        <v>2019</v>
      </c>
      <c r="D769">
        <v>1411342165531.6465</v>
      </c>
      <c r="E769">
        <v>5250000000000</v>
      </c>
      <c r="F769">
        <v>126633000</v>
      </c>
      <c r="G769">
        <v>-0.30849692099999998</v>
      </c>
      <c r="H769">
        <v>34.358297280000002</v>
      </c>
      <c r="I769">
        <v>3</v>
      </c>
      <c r="J769">
        <v>1476390109727.7246</v>
      </c>
      <c r="K769">
        <v>-4.41</v>
      </c>
    </row>
    <row r="770" spans="1:11" x14ac:dyDescent="0.3">
      <c r="A770" t="s">
        <v>183</v>
      </c>
      <c r="B770" t="s">
        <v>184</v>
      </c>
      <c r="C770">
        <v>2020</v>
      </c>
      <c r="D770">
        <v>1282565136714.4644</v>
      </c>
      <c r="E770">
        <v>5190000000000</v>
      </c>
      <c r="F770">
        <v>126261000</v>
      </c>
      <c r="G770">
        <v>-4.2832794270000001</v>
      </c>
      <c r="H770">
        <v>30.519222689999999</v>
      </c>
      <c r="I770">
        <v>3</v>
      </c>
      <c r="J770">
        <v>1411342165531.6465</v>
      </c>
      <c r="K770">
        <v>-9.1199999999999992</v>
      </c>
    </row>
    <row r="771" spans="1:11" x14ac:dyDescent="0.3">
      <c r="A771" t="s">
        <v>183</v>
      </c>
      <c r="B771" t="s">
        <v>184</v>
      </c>
      <c r="C771">
        <v>2021</v>
      </c>
      <c r="D771">
        <v>1514132522497.9331</v>
      </c>
      <c r="E771">
        <v>5230000000000</v>
      </c>
      <c r="F771">
        <v>125681593</v>
      </c>
      <c r="G771">
        <v>3.5641953150000001</v>
      </c>
      <c r="H771">
        <v>35.425392729999999</v>
      </c>
      <c r="I771">
        <v>3</v>
      </c>
      <c r="J771">
        <v>1282565136714.4644</v>
      </c>
      <c r="K771">
        <v>18.059999999999999</v>
      </c>
    </row>
    <row r="772" spans="1:11" x14ac:dyDescent="0.3">
      <c r="A772" t="s">
        <v>183</v>
      </c>
      <c r="B772" t="s">
        <v>184</v>
      </c>
      <c r="C772">
        <v>2022</v>
      </c>
      <c r="D772">
        <v>1493344193163.0459</v>
      </c>
      <c r="E772">
        <v>4450000000000</v>
      </c>
      <c r="F772">
        <v>125124989</v>
      </c>
      <c r="G772">
        <v>1.331647507</v>
      </c>
      <c r="H772">
        <v>44.86063102</v>
      </c>
      <c r="I772">
        <v>4</v>
      </c>
      <c r="J772">
        <v>1514132522497.9331</v>
      </c>
      <c r="K772">
        <v>-1.37</v>
      </c>
    </row>
    <row r="773" spans="1:11" x14ac:dyDescent="0.3">
      <c r="A773" t="s">
        <v>183</v>
      </c>
      <c r="B773" t="s">
        <v>184</v>
      </c>
      <c r="C773">
        <v>2023</v>
      </c>
      <c r="D773">
        <v>1435892784278.2769</v>
      </c>
      <c r="E773">
        <v>4380000000000</v>
      </c>
      <c r="F773">
        <v>124516650</v>
      </c>
      <c r="G773">
        <v>0.72078530500000004</v>
      </c>
      <c r="H773">
        <v>43.595083379999998</v>
      </c>
      <c r="I773">
        <v>3</v>
      </c>
      <c r="J773">
        <v>1493344193163.0459</v>
      </c>
      <c r="K773">
        <v>-3.85</v>
      </c>
    </row>
    <row r="774" spans="1:11" x14ac:dyDescent="0.3">
      <c r="A774" t="s">
        <v>183</v>
      </c>
      <c r="B774" t="s">
        <v>184</v>
      </c>
      <c r="C774">
        <v>2024</v>
      </c>
      <c r="D774">
        <v>1414780152487.7585</v>
      </c>
      <c r="E774">
        <v>4190000000000</v>
      </c>
      <c r="F774">
        <v>123975371</v>
      </c>
      <c r="G774">
        <v>-0.24008423600000001</v>
      </c>
      <c r="H774">
        <v>44.852938860000002</v>
      </c>
      <c r="I774">
        <v>3</v>
      </c>
      <c r="J774">
        <v>1435892784278.2769</v>
      </c>
      <c r="K774">
        <v>-1.47</v>
      </c>
    </row>
    <row r="775" spans="1:11" x14ac:dyDescent="0.3">
      <c r="A775" t="s">
        <v>185</v>
      </c>
      <c r="B775" t="s">
        <v>186</v>
      </c>
      <c r="C775">
        <v>2015</v>
      </c>
      <c r="D775">
        <v>91908852103</v>
      </c>
      <c r="E775">
        <v>184000000000</v>
      </c>
      <c r="F775">
        <v>18084169</v>
      </c>
      <c r="G775">
        <v>1.200000001</v>
      </c>
      <c r="H775">
        <v>53.049728809999998</v>
      </c>
      <c r="I775">
        <v>47</v>
      </c>
    </row>
    <row r="776" spans="1:11" x14ac:dyDescent="0.3">
      <c r="A776" t="s">
        <v>185</v>
      </c>
      <c r="B776" t="s">
        <v>186</v>
      </c>
      <c r="C776">
        <v>2016</v>
      </c>
      <c r="D776">
        <v>73550646805</v>
      </c>
      <c r="E776">
        <v>137000000000</v>
      </c>
      <c r="F776">
        <v>18363600</v>
      </c>
      <c r="G776">
        <v>1.099999999</v>
      </c>
      <c r="H776">
        <v>60.311596590000001</v>
      </c>
      <c r="I776">
        <v>46</v>
      </c>
      <c r="J776">
        <v>91908852103</v>
      </c>
      <c r="K776">
        <v>-19.97</v>
      </c>
    </row>
    <row r="777" spans="1:11" x14ac:dyDescent="0.3">
      <c r="A777" t="s">
        <v>185</v>
      </c>
      <c r="B777" t="s">
        <v>186</v>
      </c>
      <c r="C777">
        <v>2017</v>
      </c>
      <c r="D777">
        <v>97005477916.220016</v>
      </c>
      <c r="E777">
        <v>167000000000</v>
      </c>
      <c r="F777">
        <v>18651931</v>
      </c>
      <c r="G777">
        <v>4.1000000029999999</v>
      </c>
      <c r="H777">
        <v>56.825387939999999</v>
      </c>
      <c r="I777">
        <v>45</v>
      </c>
      <c r="J777">
        <v>73550646805</v>
      </c>
      <c r="K777">
        <v>31.89</v>
      </c>
    </row>
    <row r="778" spans="1:11" x14ac:dyDescent="0.3">
      <c r="A778" t="s">
        <v>185</v>
      </c>
      <c r="B778" t="s">
        <v>186</v>
      </c>
      <c r="C778">
        <v>2018</v>
      </c>
      <c r="D778">
        <v>122216589178.44002</v>
      </c>
      <c r="E778">
        <v>179000000000</v>
      </c>
      <c r="F778">
        <v>18932727</v>
      </c>
      <c r="G778">
        <v>4.099999993</v>
      </c>
      <c r="H778">
        <v>63.527956510000003</v>
      </c>
      <c r="I778">
        <v>46</v>
      </c>
      <c r="J778">
        <v>97005477916.220016</v>
      </c>
      <c r="K778">
        <v>25.99</v>
      </c>
    </row>
    <row r="779" spans="1:11" x14ac:dyDescent="0.3">
      <c r="A779" t="s">
        <v>185</v>
      </c>
      <c r="B779" t="s">
        <v>186</v>
      </c>
      <c r="C779">
        <v>2019</v>
      </c>
      <c r="D779">
        <v>116130497497.48003</v>
      </c>
      <c r="E779">
        <v>182000000000</v>
      </c>
      <c r="F779">
        <v>19209555</v>
      </c>
      <c r="G779">
        <v>4.5000000010000001</v>
      </c>
      <c r="H779">
        <v>64.858616549999994</v>
      </c>
      <c r="I779">
        <v>44</v>
      </c>
      <c r="J779">
        <v>122216589178.44002</v>
      </c>
      <c r="K779">
        <v>-4.9800000000000004</v>
      </c>
    </row>
    <row r="780" spans="1:11" x14ac:dyDescent="0.3">
      <c r="A780" t="s">
        <v>185</v>
      </c>
      <c r="B780" t="s">
        <v>186</v>
      </c>
      <c r="C780">
        <v>2020</v>
      </c>
      <c r="D780">
        <v>83748773420.184006</v>
      </c>
      <c r="E780">
        <v>171000000000</v>
      </c>
      <c r="F780">
        <v>19482117</v>
      </c>
      <c r="G780">
        <v>-2.4999999960000001</v>
      </c>
      <c r="H780">
        <v>57.026442369999998</v>
      </c>
      <c r="I780">
        <v>44</v>
      </c>
      <c r="J780">
        <v>116130497497.48003</v>
      </c>
      <c r="K780">
        <v>-27.88</v>
      </c>
    </row>
    <row r="781" spans="1:11" x14ac:dyDescent="0.3">
      <c r="A781" t="s">
        <v>185</v>
      </c>
      <c r="B781" t="s">
        <v>186</v>
      </c>
      <c r="C781">
        <v>2021</v>
      </c>
      <c r="D781">
        <v>106137518582.18399</v>
      </c>
      <c r="E781">
        <v>197000000000</v>
      </c>
      <c r="F781">
        <v>19743603</v>
      </c>
      <c r="G781">
        <v>4.2999999969999996</v>
      </c>
      <c r="H781">
        <v>58.668608579999997</v>
      </c>
      <c r="I781">
        <v>47</v>
      </c>
      <c r="J781">
        <v>83748773420.184006</v>
      </c>
      <c r="K781">
        <v>26.73</v>
      </c>
    </row>
    <row r="782" spans="1:11" x14ac:dyDescent="0.3">
      <c r="A782" t="s">
        <v>185</v>
      </c>
      <c r="B782" t="s">
        <v>186</v>
      </c>
      <c r="C782">
        <v>2022</v>
      </c>
      <c r="D782">
        <v>152279609946.46799</v>
      </c>
      <c r="E782">
        <v>225000000000</v>
      </c>
      <c r="F782">
        <v>20034609</v>
      </c>
      <c r="G782">
        <v>3.2</v>
      </c>
      <c r="H782">
        <v>68.334314739999996</v>
      </c>
      <c r="I782">
        <v>43</v>
      </c>
      <c r="J782">
        <v>106137518582.18399</v>
      </c>
      <c r="K782">
        <v>43.47</v>
      </c>
    </row>
    <row r="783" spans="1:11" x14ac:dyDescent="0.3">
      <c r="A783" t="s">
        <v>185</v>
      </c>
      <c r="B783" t="s">
        <v>186</v>
      </c>
      <c r="C783">
        <v>2023</v>
      </c>
      <c r="D783">
        <v>157471181733.84</v>
      </c>
      <c r="E783">
        <v>262000000000</v>
      </c>
      <c r="F783">
        <v>20330104</v>
      </c>
      <c r="G783">
        <v>5.0999999999999996</v>
      </c>
      <c r="H783">
        <v>62.334283769999999</v>
      </c>
      <c r="I783">
        <v>40</v>
      </c>
      <c r="J783">
        <v>152279609946.46799</v>
      </c>
      <c r="K783">
        <v>3.41</v>
      </c>
    </row>
    <row r="784" spans="1:11" x14ac:dyDescent="0.3">
      <c r="A784" t="s">
        <v>185</v>
      </c>
      <c r="B784" t="s">
        <v>186</v>
      </c>
      <c r="C784">
        <v>2024</v>
      </c>
      <c r="D784">
        <v>163225786102.46002</v>
      </c>
      <c r="E784">
        <v>291000000000</v>
      </c>
      <c r="F784">
        <v>20592571</v>
      </c>
      <c r="G784">
        <v>5</v>
      </c>
      <c r="H784">
        <v>57.161343199999997</v>
      </c>
      <c r="I784">
        <v>36</v>
      </c>
      <c r="J784">
        <v>157471181733.84</v>
      </c>
      <c r="K784">
        <v>3.65</v>
      </c>
    </row>
    <row r="785" spans="1:11" x14ac:dyDescent="0.3">
      <c r="A785" t="s">
        <v>187</v>
      </c>
      <c r="B785" t="s">
        <v>188</v>
      </c>
      <c r="C785">
        <v>2015</v>
      </c>
      <c r="D785">
        <v>11813642811.84</v>
      </c>
      <c r="E785">
        <v>70120446897</v>
      </c>
      <c r="F785">
        <v>47088526</v>
      </c>
      <c r="G785">
        <v>4.967721128</v>
      </c>
      <c r="H785">
        <v>40.327384690000002</v>
      </c>
      <c r="I785">
        <v>92</v>
      </c>
    </row>
    <row r="786" spans="1:11" x14ac:dyDescent="0.3">
      <c r="A786" t="s">
        <v>187</v>
      </c>
      <c r="B786" t="s">
        <v>188</v>
      </c>
      <c r="C786">
        <v>2016</v>
      </c>
      <c r="D786">
        <v>11395118782.479992</v>
      </c>
      <c r="E786">
        <v>74815144164</v>
      </c>
      <c r="F786">
        <v>48139687</v>
      </c>
      <c r="G786">
        <v>4.2135170679999998</v>
      </c>
      <c r="H786">
        <v>34.865019570000001</v>
      </c>
      <c r="I786">
        <v>92</v>
      </c>
      <c r="J786">
        <v>11813642811.84</v>
      </c>
      <c r="K786">
        <v>-3.54</v>
      </c>
    </row>
    <row r="787" spans="1:11" x14ac:dyDescent="0.3">
      <c r="A787" t="s">
        <v>187</v>
      </c>
      <c r="B787" t="s">
        <v>188</v>
      </c>
      <c r="C787">
        <v>2017</v>
      </c>
      <c r="D787">
        <v>11494829639.575001</v>
      </c>
      <c r="E787">
        <v>82036510877</v>
      </c>
      <c r="F787">
        <v>49197766</v>
      </c>
      <c r="G787">
        <v>3.8379581740000002</v>
      </c>
      <c r="H787">
        <v>35.995057879999997</v>
      </c>
      <c r="I787">
        <v>95</v>
      </c>
      <c r="J787">
        <v>11395118782.479992</v>
      </c>
      <c r="K787">
        <v>0.88</v>
      </c>
    </row>
    <row r="788" spans="1:11" x14ac:dyDescent="0.3">
      <c r="A788" t="s">
        <v>187</v>
      </c>
      <c r="B788" t="s">
        <v>188</v>
      </c>
      <c r="C788">
        <v>2018</v>
      </c>
      <c r="D788">
        <v>12100841364.431</v>
      </c>
      <c r="E788">
        <v>92202979985</v>
      </c>
      <c r="F788">
        <v>50207107</v>
      </c>
      <c r="G788">
        <v>5.6479464070000001</v>
      </c>
      <c r="H788">
        <v>34.414753179999998</v>
      </c>
      <c r="I788">
        <v>95</v>
      </c>
      <c r="J788">
        <v>11494829639.575001</v>
      </c>
      <c r="K788">
        <v>5.27</v>
      </c>
    </row>
    <row r="789" spans="1:11" x14ac:dyDescent="0.3">
      <c r="A789" t="s">
        <v>187</v>
      </c>
      <c r="B789" t="s">
        <v>188</v>
      </c>
      <c r="C789">
        <v>2019</v>
      </c>
      <c r="D789">
        <v>11672511947.84</v>
      </c>
      <c r="E789">
        <v>100000000000</v>
      </c>
      <c r="F789">
        <v>51202827</v>
      </c>
      <c r="G789">
        <v>5.1141588579999997</v>
      </c>
      <c r="H789">
        <v>31.75946184</v>
      </c>
      <c r="I789">
        <v>94</v>
      </c>
      <c r="J789">
        <v>12100841364.431</v>
      </c>
      <c r="K789">
        <v>-3.54</v>
      </c>
    </row>
    <row r="790" spans="1:11" x14ac:dyDescent="0.3">
      <c r="A790" t="s">
        <v>187</v>
      </c>
      <c r="B790" t="s">
        <v>188</v>
      </c>
      <c r="C790">
        <v>2020</v>
      </c>
      <c r="D790">
        <v>12043909177.396008</v>
      </c>
      <c r="E790">
        <v>101000000000</v>
      </c>
      <c r="F790">
        <v>52217334</v>
      </c>
      <c r="G790">
        <v>-0.27276632699999998</v>
      </c>
      <c r="H790">
        <v>30.399138780000001</v>
      </c>
      <c r="I790">
        <v>91</v>
      </c>
      <c r="J790">
        <v>11672511947.84</v>
      </c>
      <c r="K790">
        <v>3.18</v>
      </c>
    </row>
    <row r="791" spans="1:11" x14ac:dyDescent="0.3">
      <c r="A791" t="s">
        <v>187</v>
      </c>
      <c r="B791" t="s">
        <v>188</v>
      </c>
      <c r="C791">
        <v>2021</v>
      </c>
      <c r="D791">
        <v>13502732442.067007</v>
      </c>
      <c r="E791">
        <v>110000000000</v>
      </c>
      <c r="F791">
        <v>53219166</v>
      </c>
      <c r="G791">
        <v>7.5904894729999999</v>
      </c>
      <c r="H791">
        <v>35.002047779999998</v>
      </c>
      <c r="I791">
        <v>94</v>
      </c>
      <c r="J791">
        <v>12043909177.396008</v>
      </c>
      <c r="K791">
        <v>12.11</v>
      </c>
    </row>
    <row r="792" spans="1:11" x14ac:dyDescent="0.3">
      <c r="A792" t="s">
        <v>187</v>
      </c>
      <c r="B792" t="s">
        <v>188</v>
      </c>
      <c r="C792">
        <v>2022</v>
      </c>
      <c r="D792">
        <v>14742232989.308996</v>
      </c>
      <c r="E792">
        <v>114000000000</v>
      </c>
      <c r="F792">
        <v>54252461</v>
      </c>
      <c r="G792">
        <v>4.8599810430000003</v>
      </c>
      <c r="H792">
        <v>40.275323839999999</v>
      </c>
      <c r="I792">
        <v>95</v>
      </c>
      <c r="J792">
        <v>13502732442.067007</v>
      </c>
      <c r="K792">
        <v>9.18</v>
      </c>
    </row>
    <row r="793" spans="1:11" x14ac:dyDescent="0.3">
      <c r="A793" t="s">
        <v>187</v>
      </c>
      <c r="B793" t="s">
        <v>188</v>
      </c>
      <c r="C793">
        <v>2023</v>
      </c>
      <c r="D793">
        <v>14316218665.541996</v>
      </c>
      <c r="E793">
        <v>108000000000</v>
      </c>
      <c r="F793">
        <v>55339003</v>
      </c>
      <c r="G793">
        <v>5.7199924119999999</v>
      </c>
      <c r="H793">
        <v>40.93376774</v>
      </c>
      <c r="I793">
        <v>96</v>
      </c>
      <c r="J793">
        <v>14742232989.308996</v>
      </c>
      <c r="K793">
        <v>-2.89</v>
      </c>
    </row>
    <row r="794" spans="1:11" x14ac:dyDescent="0.3">
      <c r="A794" t="s">
        <v>187</v>
      </c>
      <c r="B794" t="s">
        <v>188</v>
      </c>
      <c r="C794">
        <v>2024</v>
      </c>
      <c r="D794">
        <v>16511594059.942009</v>
      </c>
      <c r="E794">
        <v>120000000000</v>
      </c>
      <c r="F794">
        <v>56432944</v>
      </c>
      <c r="G794">
        <v>4.660195946</v>
      </c>
      <c r="H794">
        <v>40.006252969999998</v>
      </c>
      <c r="I794">
        <v>84</v>
      </c>
      <c r="J794">
        <v>14316218665.541996</v>
      </c>
      <c r="K794">
        <v>15.33</v>
      </c>
    </row>
    <row r="795" spans="1:11" x14ac:dyDescent="0.3">
      <c r="A795" t="s">
        <v>189</v>
      </c>
      <c r="B795" t="s">
        <v>190</v>
      </c>
      <c r="C795">
        <v>2015</v>
      </c>
      <c r="D795">
        <v>2882935242</v>
      </c>
      <c r="E795">
        <v>6678177512</v>
      </c>
      <c r="F795">
        <v>6040036</v>
      </c>
      <c r="G795">
        <v>3.8758254449999998</v>
      </c>
      <c r="H795">
        <v>110.9615707</v>
      </c>
      <c r="I795">
        <v>124</v>
      </c>
    </row>
    <row r="796" spans="1:11" x14ac:dyDescent="0.3">
      <c r="A796" t="s">
        <v>189</v>
      </c>
      <c r="B796" t="s">
        <v>190</v>
      </c>
      <c r="C796">
        <v>2016</v>
      </c>
      <c r="D796">
        <v>2846056854</v>
      </c>
      <c r="E796">
        <v>6813095379</v>
      </c>
      <c r="F796">
        <v>6175338</v>
      </c>
      <c r="G796">
        <v>4.3358559220000004</v>
      </c>
      <c r="H796">
        <v>105.82357399999999</v>
      </c>
      <c r="I796">
        <v>127</v>
      </c>
      <c r="J796">
        <v>2882935242</v>
      </c>
      <c r="K796">
        <v>-1.28</v>
      </c>
    </row>
    <row r="797" spans="1:11" x14ac:dyDescent="0.3">
      <c r="A797" t="s">
        <v>189</v>
      </c>
      <c r="B797" t="s">
        <v>190</v>
      </c>
      <c r="C797">
        <v>2017</v>
      </c>
      <c r="D797">
        <v>3514927340</v>
      </c>
      <c r="E797">
        <v>7702938379</v>
      </c>
      <c r="F797">
        <v>6306696</v>
      </c>
      <c r="G797">
        <v>4.7399372240000002</v>
      </c>
      <c r="H797">
        <v>100.6174458</v>
      </c>
      <c r="I797">
        <v>128</v>
      </c>
      <c r="J797">
        <v>2846056854</v>
      </c>
      <c r="K797">
        <v>23.5</v>
      </c>
    </row>
    <row r="798" spans="1:11" x14ac:dyDescent="0.3">
      <c r="A798" t="s">
        <v>189</v>
      </c>
      <c r="B798" t="s">
        <v>190</v>
      </c>
      <c r="C798">
        <v>2018</v>
      </c>
      <c r="D798">
        <v>3670358742</v>
      </c>
      <c r="E798">
        <v>8271106235</v>
      </c>
      <c r="F798">
        <v>6444079</v>
      </c>
      <c r="G798">
        <v>3.757910136</v>
      </c>
      <c r="H798">
        <v>98.875559899999999</v>
      </c>
      <c r="I798">
        <v>124</v>
      </c>
      <c r="J798">
        <v>3514927340</v>
      </c>
      <c r="K798">
        <v>4.42</v>
      </c>
    </row>
    <row r="799" spans="1:11" x14ac:dyDescent="0.3">
      <c r="A799" t="s">
        <v>189</v>
      </c>
      <c r="B799" t="s">
        <v>190</v>
      </c>
      <c r="C799">
        <v>2019</v>
      </c>
      <c r="D799">
        <v>3972219104</v>
      </c>
      <c r="E799">
        <v>9371275264</v>
      </c>
      <c r="F799">
        <v>6590211</v>
      </c>
      <c r="G799">
        <v>4.6006256570000001</v>
      </c>
      <c r="H799">
        <v>94.430282349999999</v>
      </c>
      <c r="I799">
        <v>123</v>
      </c>
      <c r="J799">
        <v>3670358742</v>
      </c>
      <c r="K799">
        <v>8.2200000000000006</v>
      </c>
    </row>
    <row r="800" spans="1:11" x14ac:dyDescent="0.3">
      <c r="A800" t="s">
        <v>189</v>
      </c>
      <c r="B800" t="s">
        <v>190</v>
      </c>
      <c r="C800">
        <v>2020</v>
      </c>
      <c r="D800">
        <v>3727062314</v>
      </c>
      <c r="E800">
        <v>8270468614</v>
      </c>
      <c r="F800">
        <v>6726596</v>
      </c>
      <c r="G800">
        <v>-7.1489775770000001</v>
      </c>
      <c r="H800">
        <v>78.992278429999999</v>
      </c>
      <c r="I800">
        <v>120</v>
      </c>
      <c r="J800">
        <v>3972219104</v>
      </c>
      <c r="K800">
        <v>-6.17</v>
      </c>
    </row>
    <row r="801" spans="1:11" x14ac:dyDescent="0.3">
      <c r="A801" t="s">
        <v>189</v>
      </c>
      <c r="B801" t="s">
        <v>190</v>
      </c>
      <c r="C801">
        <v>2021</v>
      </c>
      <c r="D801">
        <v>5504327272</v>
      </c>
      <c r="E801">
        <v>9249133946</v>
      </c>
      <c r="F801">
        <v>6851224</v>
      </c>
      <c r="G801">
        <v>5.5070076270000001</v>
      </c>
      <c r="H801">
        <v>100.2613769</v>
      </c>
      <c r="I801">
        <v>120</v>
      </c>
      <c r="J801">
        <v>3727062314</v>
      </c>
      <c r="K801">
        <v>47.69</v>
      </c>
    </row>
    <row r="802" spans="1:11" x14ac:dyDescent="0.3">
      <c r="A802" t="s">
        <v>189</v>
      </c>
      <c r="B802" t="s">
        <v>190</v>
      </c>
      <c r="C802">
        <v>2022</v>
      </c>
      <c r="D802">
        <v>4509404624</v>
      </c>
      <c r="E802">
        <v>12134931018</v>
      </c>
      <c r="F802">
        <v>6975220</v>
      </c>
      <c r="G802">
        <v>8.9675051999999997</v>
      </c>
      <c r="H802">
        <v>133.78671800000001</v>
      </c>
      <c r="I802">
        <v>119</v>
      </c>
      <c r="J802">
        <v>5504327272</v>
      </c>
      <c r="K802">
        <v>-18.079999999999998</v>
      </c>
    </row>
    <row r="803" spans="1:11" x14ac:dyDescent="0.3">
      <c r="A803" t="s">
        <v>189</v>
      </c>
      <c r="B803" t="s">
        <v>190</v>
      </c>
      <c r="C803">
        <v>2023</v>
      </c>
      <c r="D803">
        <v>6769711940</v>
      </c>
      <c r="E803">
        <v>15180842369</v>
      </c>
      <c r="F803">
        <v>7099750</v>
      </c>
      <c r="G803">
        <v>9.0132928339999996</v>
      </c>
      <c r="H803">
        <v>132.3734039</v>
      </c>
      <c r="I803">
        <v>115</v>
      </c>
      <c r="J803">
        <v>4509404624</v>
      </c>
      <c r="K803">
        <v>50.12</v>
      </c>
    </row>
    <row r="804" spans="1:11" x14ac:dyDescent="0.3">
      <c r="A804" t="s">
        <v>189</v>
      </c>
      <c r="B804" t="s">
        <v>190</v>
      </c>
      <c r="C804">
        <v>2024</v>
      </c>
      <c r="D804">
        <v>7480381022</v>
      </c>
      <c r="E804">
        <v>18161630699</v>
      </c>
      <c r="F804">
        <v>7221868</v>
      </c>
      <c r="G804">
        <v>11.53971194</v>
      </c>
      <c r="H804">
        <v>130.10074349999999</v>
      </c>
      <c r="I804">
        <v>102</v>
      </c>
      <c r="J804">
        <v>6769711940</v>
      </c>
      <c r="K804">
        <v>10.5</v>
      </c>
    </row>
    <row r="805" spans="1:11" x14ac:dyDescent="0.3">
      <c r="A805" t="s">
        <v>191</v>
      </c>
      <c r="B805" t="s">
        <v>192</v>
      </c>
      <c r="C805">
        <v>2015</v>
      </c>
      <c r="D805">
        <v>17084867280</v>
      </c>
      <c r="E805">
        <v>24174170369</v>
      </c>
      <c r="F805">
        <v>15623251</v>
      </c>
      <c r="G805">
        <v>7.2070347249999998</v>
      </c>
      <c r="H805">
        <v>122.10959680000001</v>
      </c>
      <c r="I805">
        <v>85</v>
      </c>
    </row>
    <row r="806" spans="1:11" x14ac:dyDescent="0.3">
      <c r="A806" t="s">
        <v>191</v>
      </c>
      <c r="B806" t="s">
        <v>192</v>
      </c>
      <c r="C806">
        <v>2016</v>
      </c>
      <c r="D806">
        <v>20138663162</v>
      </c>
      <c r="E806">
        <v>26556545153</v>
      </c>
      <c r="F806">
        <v>15852803</v>
      </c>
      <c r="G806">
        <v>7.9055011610000001</v>
      </c>
      <c r="H806">
        <v>122.70455560000001</v>
      </c>
      <c r="I806">
        <v>79</v>
      </c>
      <c r="J806">
        <v>17084867280</v>
      </c>
      <c r="K806">
        <v>17.87</v>
      </c>
    </row>
    <row r="807" spans="1:11" x14ac:dyDescent="0.3">
      <c r="A807" t="s">
        <v>191</v>
      </c>
      <c r="B807" t="s">
        <v>192</v>
      </c>
      <c r="C807">
        <v>2017</v>
      </c>
      <c r="D807">
        <v>22556255928.020012</v>
      </c>
      <c r="E807">
        <v>29355665910</v>
      </c>
      <c r="F807">
        <v>16073372</v>
      </c>
      <c r="G807">
        <v>8.0750391550000007</v>
      </c>
      <c r="H807">
        <v>121.1554513</v>
      </c>
      <c r="I807">
        <v>78</v>
      </c>
      <c r="J807">
        <v>20138663162</v>
      </c>
      <c r="K807">
        <v>12</v>
      </c>
    </row>
    <row r="808" spans="1:11" x14ac:dyDescent="0.3">
      <c r="A808" t="s">
        <v>191</v>
      </c>
      <c r="B808" t="s">
        <v>192</v>
      </c>
      <c r="C808">
        <v>2018</v>
      </c>
      <c r="D808">
        <v>25400559351.479996</v>
      </c>
      <c r="E808">
        <v>33145892169</v>
      </c>
      <c r="F808">
        <v>16274522</v>
      </c>
      <c r="G808">
        <v>8.7762237620000008</v>
      </c>
      <c r="H808">
        <v>118.4376554</v>
      </c>
      <c r="I808">
        <v>75</v>
      </c>
      <c r="J808">
        <v>22556255928.020012</v>
      </c>
      <c r="K808">
        <v>12.61</v>
      </c>
    </row>
    <row r="809" spans="1:11" x14ac:dyDescent="0.3">
      <c r="A809" t="s">
        <v>191</v>
      </c>
      <c r="B809" t="s">
        <v>192</v>
      </c>
      <c r="C809">
        <v>2019</v>
      </c>
      <c r="D809">
        <v>29649444586.539989</v>
      </c>
      <c r="E809">
        <v>36685356408</v>
      </c>
      <c r="F809">
        <v>16481304</v>
      </c>
      <c r="G809">
        <v>7.9369501360000001</v>
      </c>
      <c r="H809">
        <v>115.7366791</v>
      </c>
      <c r="I809">
        <v>71</v>
      </c>
      <c r="J809">
        <v>25400559351.479996</v>
      </c>
      <c r="K809">
        <v>16.73</v>
      </c>
    </row>
    <row r="810" spans="1:11" x14ac:dyDescent="0.3">
      <c r="A810" t="s">
        <v>191</v>
      </c>
      <c r="B810" t="s">
        <v>192</v>
      </c>
      <c r="C810">
        <v>2020</v>
      </c>
      <c r="D810">
        <v>35432938995.879974</v>
      </c>
      <c r="E810">
        <v>34818073901</v>
      </c>
      <c r="F810">
        <v>16725474</v>
      </c>
      <c r="G810">
        <v>-3.5557219340000001</v>
      </c>
      <c r="H810">
        <v>122.1053963</v>
      </c>
      <c r="I810">
        <v>63</v>
      </c>
      <c r="J810">
        <v>29649444586.539989</v>
      </c>
      <c r="K810">
        <v>19.510000000000002</v>
      </c>
    </row>
    <row r="811" spans="1:11" x14ac:dyDescent="0.3">
      <c r="A811" t="s">
        <v>191</v>
      </c>
      <c r="B811" t="s">
        <v>192</v>
      </c>
      <c r="C811">
        <v>2021</v>
      </c>
      <c r="D811">
        <v>33899246440.020004</v>
      </c>
      <c r="E811">
        <v>36790163687</v>
      </c>
      <c r="F811">
        <v>16974305</v>
      </c>
      <c r="G811">
        <v>3.0898428409999998</v>
      </c>
      <c r="H811">
        <v>146.1798465</v>
      </c>
      <c r="I811">
        <v>69</v>
      </c>
      <c r="J811">
        <v>35432938995.879974</v>
      </c>
      <c r="K811">
        <v>-4.33</v>
      </c>
    </row>
    <row r="812" spans="1:11" x14ac:dyDescent="0.3">
      <c r="A812" t="s">
        <v>191</v>
      </c>
      <c r="B812" t="s">
        <v>192</v>
      </c>
      <c r="C812">
        <v>2022</v>
      </c>
      <c r="D812">
        <v>41151545505.120026</v>
      </c>
      <c r="E812">
        <v>39994532960</v>
      </c>
      <c r="F812">
        <v>17201724</v>
      </c>
      <c r="G812">
        <v>5.1299011080000003</v>
      </c>
      <c r="H812">
        <v>145.8736328</v>
      </c>
      <c r="I812">
        <v>67</v>
      </c>
      <c r="J812">
        <v>33899246440.020004</v>
      </c>
      <c r="K812">
        <v>21.39</v>
      </c>
    </row>
    <row r="813" spans="1:11" x14ac:dyDescent="0.3">
      <c r="A813" t="s">
        <v>191</v>
      </c>
      <c r="B813" t="s">
        <v>192</v>
      </c>
      <c r="C813">
        <v>2023</v>
      </c>
      <c r="D813">
        <v>43355143412.985016</v>
      </c>
      <c r="E813">
        <v>42335646896</v>
      </c>
      <c r="F813">
        <v>17423880</v>
      </c>
      <c r="G813">
        <v>5.0073304380000003</v>
      </c>
      <c r="H813">
        <v>134.2068424</v>
      </c>
      <c r="I813">
        <v>63</v>
      </c>
      <c r="J813">
        <v>41151545505.120026</v>
      </c>
      <c r="K813">
        <v>5.35</v>
      </c>
    </row>
    <row r="814" spans="1:11" x14ac:dyDescent="0.3">
      <c r="A814" t="s">
        <v>191</v>
      </c>
      <c r="B814" t="s">
        <v>192</v>
      </c>
      <c r="C814">
        <v>2024</v>
      </c>
      <c r="D814">
        <v>53327919290.304001</v>
      </c>
      <c r="E814">
        <v>46352647037</v>
      </c>
      <c r="F814">
        <v>17638801</v>
      </c>
      <c r="G814">
        <v>6.0158145740000002</v>
      </c>
      <c r="H814">
        <v>143.4470097</v>
      </c>
      <c r="I814">
        <v>59</v>
      </c>
      <c r="J814">
        <v>43355143412.985016</v>
      </c>
      <c r="K814">
        <v>23</v>
      </c>
    </row>
    <row r="815" spans="1:11" x14ac:dyDescent="0.3">
      <c r="A815" t="s">
        <v>193</v>
      </c>
      <c r="B815" t="s">
        <v>194</v>
      </c>
      <c r="C815">
        <v>2015</v>
      </c>
      <c r="D815">
        <v>20017418.877999999</v>
      </c>
      <c r="E815">
        <v>191559398.69999999</v>
      </c>
      <c r="F815">
        <v>116815</v>
      </c>
      <c r="G815">
        <v>11.265320940000001</v>
      </c>
      <c r="H815">
        <v>109.88909839999999</v>
      </c>
      <c r="I815">
        <v>165</v>
      </c>
    </row>
    <row r="816" spans="1:11" x14ac:dyDescent="0.3">
      <c r="A816" t="s">
        <v>193</v>
      </c>
      <c r="B816" t="s">
        <v>194</v>
      </c>
      <c r="C816">
        <v>2016</v>
      </c>
      <c r="D816">
        <v>22507100.199999996</v>
      </c>
      <c r="E816">
        <v>206467818.5</v>
      </c>
      <c r="F816">
        <v>118478</v>
      </c>
      <c r="G816">
        <v>7.0880346579999998</v>
      </c>
      <c r="H816">
        <v>111.2697907</v>
      </c>
      <c r="I816">
        <v>168</v>
      </c>
      <c r="J816">
        <v>20017418.877999999</v>
      </c>
      <c r="K816">
        <v>12.44</v>
      </c>
    </row>
    <row r="817" spans="1:11" x14ac:dyDescent="0.3">
      <c r="A817" t="s">
        <v>193</v>
      </c>
      <c r="B817" t="s">
        <v>194</v>
      </c>
      <c r="C817">
        <v>2017</v>
      </c>
      <c r="D817">
        <v>30493110.981000006</v>
      </c>
      <c r="E817">
        <v>223029864.5</v>
      </c>
      <c r="F817">
        <v>120275</v>
      </c>
      <c r="G817">
        <v>3.7120017160000001</v>
      </c>
      <c r="H817">
        <v>100.4917526</v>
      </c>
      <c r="I817">
        <v>169</v>
      </c>
      <c r="J817">
        <v>22507100.199999996</v>
      </c>
      <c r="K817">
        <v>35.479999999999997</v>
      </c>
    </row>
    <row r="818" spans="1:11" x14ac:dyDescent="0.3">
      <c r="A818" t="s">
        <v>193</v>
      </c>
      <c r="B818" t="s">
        <v>194</v>
      </c>
      <c r="C818">
        <v>2018</v>
      </c>
      <c r="D818">
        <v>16372506.178999998</v>
      </c>
      <c r="E818">
        <v>233859230.19999999</v>
      </c>
      <c r="F818">
        <v>122084</v>
      </c>
      <c r="G818">
        <v>3.4246575340000001</v>
      </c>
      <c r="H818">
        <v>83.243610219999994</v>
      </c>
      <c r="I818">
        <v>171</v>
      </c>
      <c r="J818">
        <v>30493110.981000006</v>
      </c>
      <c r="K818">
        <v>-46.31</v>
      </c>
    </row>
    <row r="819" spans="1:11" x14ac:dyDescent="0.3">
      <c r="A819" t="s">
        <v>193</v>
      </c>
      <c r="B819" t="s">
        <v>194</v>
      </c>
      <c r="C819">
        <v>2020</v>
      </c>
      <c r="D819">
        <v>18542020.875999998</v>
      </c>
      <c r="E819">
        <v>220909306.80000001</v>
      </c>
      <c r="F819">
        <v>126099</v>
      </c>
      <c r="G819">
        <v>-1.2820512820000001</v>
      </c>
      <c r="H819">
        <v>78.401207679999999</v>
      </c>
      <c r="I819">
        <v>162</v>
      </c>
      <c r="J819">
        <v>16372506.178999998</v>
      </c>
      <c r="K819">
        <v>13.25</v>
      </c>
    </row>
    <row r="820" spans="1:11" x14ac:dyDescent="0.3">
      <c r="A820" t="s">
        <v>193</v>
      </c>
      <c r="B820" t="s">
        <v>194</v>
      </c>
      <c r="C820">
        <v>2021</v>
      </c>
      <c r="D820">
        <v>17727176.124000002</v>
      </c>
      <c r="E820">
        <v>285451584.39999998</v>
      </c>
      <c r="F820">
        <v>128377</v>
      </c>
      <c r="G820">
        <v>8.4415584419999998</v>
      </c>
      <c r="H820">
        <v>74.450510019999996</v>
      </c>
      <c r="I820">
        <v>162</v>
      </c>
      <c r="J820">
        <v>18542020.875999998</v>
      </c>
      <c r="K820">
        <v>-4.3899999999999997</v>
      </c>
    </row>
    <row r="821" spans="1:11" x14ac:dyDescent="0.3">
      <c r="A821" t="s">
        <v>195</v>
      </c>
      <c r="B821" t="s">
        <v>196</v>
      </c>
      <c r="C821">
        <v>2015</v>
      </c>
      <c r="D821">
        <v>63400993.257000007</v>
      </c>
      <c r="E821">
        <v>957222222.20000005</v>
      </c>
      <c r="F821">
        <v>47087</v>
      </c>
      <c r="G821">
        <v>0.694135528</v>
      </c>
      <c r="I821">
        <v>162</v>
      </c>
    </row>
    <row r="822" spans="1:11" x14ac:dyDescent="0.3">
      <c r="A822" t="s">
        <v>195</v>
      </c>
      <c r="B822" t="s">
        <v>196</v>
      </c>
      <c r="C822">
        <v>2016</v>
      </c>
      <c r="D822">
        <v>73729414.172999993</v>
      </c>
      <c r="E822">
        <v>1006818519</v>
      </c>
      <c r="F822">
        <v>47075</v>
      </c>
      <c r="G822">
        <v>3.932703193</v>
      </c>
      <c r="I822">
        <v>163</v>
      </c>
      <c r="J822">
        <v>63400993.257000007</v>
      </c>
      <c r="K822">
        <v>16.29</v>
      </c>
    </row>
    <row r="823" spans="1:11" x14ac:dyDescent="0.3">
      <c r="A823" t="s">
        <v>195</v>
      </c>
      <c r="B823" t="s">
        <v>196</v>
      </c>
      <c r="C823">
        <v>2017</v>
      </c>
      <c r="D823">
        <v>66491288.456</v>
      </c>
      <c r="E823">
        <v>1056977778</v>
      </c>
      <c r="F823">
        <v>47050</v>
      </c>
      <c r="G823">
        <v>0.220941147</v>
      </c>
      <c r="I823">
        <v>166</v>
      </c>
      <c r="J823">
        <v>73729414.172999993</v>
      </c>
      <c r="K823">
        <v>-9.82</v>
      </c>
    </row>
    <row r="824" spans="1:11" x14ac:dyDescent="0.3">
      <c r="A824" t="s">
        <v>197</v>
      </c>
      <c r="B824" t="s">
        <v>198</v>
      </c>
      <c r="C824">
        <v>2015</v>
      </c>
      <c r="D824">
        <v>1053506012722</v>
      </c>
      <c r="E824">
        <v>1540000000000</v>
      </c>
      <c r="F824">
        <v>51014947</v>
      </c>
      <c r="G824">
        <v>2.9202926730000001</v>
      </c>
      <c r="H824">
        <v>75.388177459999994</v>
      </c>
      <c r="I824">
        <v>4</v>
      </c>
    </row>
    <row r="825" spans="1:11" x14ac:dyDescent="0.3">
      <c r="A825" t="s">
        <v>197</v>
      </c>
      <c r="B825" t="s">
        <v>198</v>
      </c>
      <c r="C825">
        <v>2016</v>
      </c>
      <c r="D825">
        <v>990835431118</v>
      </c>
      <c r="E825">
        <v>1580000000000</v>
      </c>
      <c r="F825">
        <v>51217803</v>
      </c>
      <c r="G825">
        <v>3.1715274899999999</v>
      </c>
      <c r="H825">
        <v>69.899722130000001</v>
      </c>
      <c r="I825">
        <v>5</v>
      </c>
      <c r="J825">
        <v>1053506012722</v>
      </c>
      <c r="K825">
        <v>-5.95</v>
      </c>
    </row>
    <row r="826" spans="1:11" x14ac:dyDescent="0.3">
      <c r="A826" t="s">
        <v>197</v>
      </c>
      <c r="B826" t="s">
        <v>198</v>
      </c>
      <c r="C826">
        <v>2017</v>
      </c>
      <c r="D826">
        <v>1147254737874</v>
      </c>
      <c r="E826">
        <v>1710000000000</v>
      </c>
      <c r="F826">
        <v>51361911</v>
      </c>
      <c r="G826">
        <v>3.433191764</v>
      </c>
      <c r="H826">
        <v>73.19214083</v>
      </c>
      <c r="I826">
        <v>4</v>
      </c>
      <c r="J826">
        <v>990835431118</v>
      </c>
      <c r="K826">
        <v>15.79</v>
      </c>
    </row>
    <row r="827" spans="1:11" x14ac:dyDescent="0.3">
      <c r="A827" t="s">
        <v>197</v>
      </c>
      <c r="B827" t="s">
        <v>198</v>
      </c>
      <c r="C827">
        <v>2018</v>
      </c>
      <c r="D827">
        <v>1209614634840</v>
      </c>
      <c r="E827">
        <v>1820000000000</v>
      </c>
      <c r="F827">
        <v>51585058</v>
      </c>
      <c r="G827">
        <v>3.1761156819999998</v>
      </c>
      <c r="H827">
        <v>74.707516209999994</v>
      </c>
      <c r="I827">
        <v>4</v>
      </c>
      <c r="J827">
        <v>1147254737874</v>
      </c>
      <c r="K827">
        <v>5.44</v>
      </c>
    </row>
    <row r="828" spans="1:11" x14ac:dyDescent="0.3">
      <c r="A828" t="s">
        <v>197</v>
      </c>
      <c r="B828" t="s">
        <v>198</v>
      </c>
      <c r="C828">
        <v>2019</v>
      </c>
      <c r="D828">
        <v>1084343538178</v>
      </c>
      <c r="E828">
        <v>1750000000000</v>
      </c>
      <c r="F828">
        <v>51764822</v>
      </c>
      <c r="G828">
        <v>2.3138021059999998</v>
      </c>
      <c r="H828">
        <v>71.447063240000006</v>
      </c>
      <c r="I828">
        <v>6</v>
      </c>
      <c r="J828">
        <v>1209614634840</v>
      </c>
      <c r="K828">
        <v>-10.36</v>
      </c>
    </row>
    <row r="829" spans="1:11" x14ac:dyDescent="0.3">
      <c r="A829" t="s">
        <v>197</v>
      </c>
      <c r="B829" t="s">
        <v>198</v>
      </c>
      <c r="C829">
        <v>2020</v>
      </c>
      <c r="D829">
        <v>1024838575052</v>
      </c>
      <c r="E829">
        <v>1740000000000</v>
      </c>
      <c r="F829">
        <v>51836239</v>
      </c>
      <c r="G829">
        <v>-0.70024231800000003</v>
      </c>
      <c r="H829">
        <v>65.544957859999997</v>
      </c>
      <c r="I829">
        <v>6</v>
      </c>
      <c r="J829">
        <v>1084343538178</v>
      </c>
      <c r="K829">
        <v>-5.49</v>
      </c>
    </row>
    <row r="830" spans="1:11" x14ac:dyDescent="0.3">
      <c r="A830" t="s">
        <v>197</v>
      </c>
      <c r="B830" t="s">
        <v>198</v>
      </c>
      <c r="C830">
        <v>2021</v>
      </c>
      <c r="D830">
        <v>1288745873504</v>
      </c>
      <c r="E830">
        <v>1940000000000</v>
      </c>
      <c r="F830">
        <v>51769539</v>
      </c>
      <c r="G830">
        <v>4.6129679550000002</v>
      </c>
      <c r="H830">
        <v>75.306304760000003</v>
      </c>
      <c r="I830">
        <v>6</v>
      </c>
      <c r="J830">
        <v>1024838575052</v>
      </c>
      <c r="K830">
        <v>25.75</v>
      </c>
    </row>
    <row r="831" spans="1:11" x14ac:dyDescent="0.3">
      <c r="A831" t="s">
        <v>197</v>
      </c>
      <c r="B831" t="s">
        <v>198</v>
      </c>
      <c r="C831">
        <v>2022</v>
      </c>
      <c r="D831">
        <v>1367101851354</v>
      </c>
      <c r="E831">
        <v>1800000000000</v>
      </c>
      <c r="F831">
        <v>51672569</v>
      </c>
      <c r="G831">
        <v>2.7275645669999999</v>
      </c>
      <c r="H831">
        <v>90.58514753</v>
      </c>
      <c r="I831">
        <v>5</v>
      </c>
      <c r="J831">
        <v>1288745873504</v>
      </c>
      <c r="K831">
        <v>6.08</v>
      </c>
    </row>
    <row r="832" spans="1:11" x14ac:dyDescent="0.3">
      <c r="A832" t="s">
        <v>197</v>
      </c>
      <c r="B832" t="s">
        <v>198</v>
      </c>
      <c r="C832">
        <v>2023</v>
      </c>
      <c r="D832">
        <v>1263608461230</v>
      </c>
      <c r="E832">
        <v>1840000000000</v>
      </c>
      <c r="F832">
        <v>51712619</v>
      </c>
      <c r="G832">
        <v>1.583014674</v>
      </c>
      <c r="H832">
        <v>82.25800907</v>
      </c>
      <c r="I832">
        <v>7</v>
      </c>
      <c r="J832">
        <v>1367101851354</v>
      </c>
      <c r="K832">
        <v>-7.57</v>
      </c>
    </row>
    <row r="833" spans="1:11" x14ac:dyDescent="0.3">
      <c r="A833" t="s">
        <v>197</v>
      </c>
      <c r="B833" t="s">
        <v>198</v>
      </c>
      <c r="C833">
        <v>2024</v>
      </c>
      <c r="D833">
        <v>1366254036584</v>
      </c>
      <c r="E833">
        <v>1880000000000</v>
      </c>
      <c r="F833">
        <v>51751065</v>
      </c>
      <c r="G833">
        <v>2.003611018</v>
      </c>
      <c r="H833">
        <v>84.642495120000007</v>
      </c>
      <c r="I833">
        <v>5</v>
      </c>
      <c r="J833">
        <v>1263608461230</v>
      </c>
      <c r="K833">
        <v>8.1199999999999992</v>
      </c>
    </row>
    <row r="834" spans="1:11" x14ac:dyDescent="0.3">
      <c r="A834" t="s">
        <v>199</v>
      </c>
      <c r="B834" t="s">
        <v>200</v>
      </c>
      <c r="C834">
        <v>2015</v>
      </c>
      <c r="D834">
        <v>108241914171.25505</v>
      </c>
      <c r="E834">
        <v>115000000000</v>
      </c>
      <c r="F834">
        <v>3834574</v>
      </c>
      <c r="G834">
        <v>0.59277081700000001</v>
      </c>
      <c r="H834">
        <v>98.699988450000006</v>
      </c>
      <c r="I834">
        <v>44</v>
      </c>
    </row>
    <row r="835" spans="1:11" x14ac:dyDescent="0.3">
      <c r="A835" t="s">
        <v>199</v>
      </c>
      <c r="B835" t="s">
        <v>200</v>
      </c>
      <c r="C835">
        <v>2016</v>
      </c>
      <c r="D835">
        <v>92470714018.343994</v>
      </c>
      <c r="E835">
        <v>109000000000</v>
      </c>
      <c r="F835">
        <v>4004096</v>
      </c>
      <c r="G835">
        <v>2.926075843</v>
      </c>
      <c r="H835">
        <v>96.157672379999994</v>
      </c>
      <c r="I835">
        <v>44</v>
      </c>
      <c r="J835">
        <v>108241914171.25505</v>
      </c>
      <c r="K835">
        <v>-14.57</v>
      </c>
    </row>
    <row r="836" spans="1:11" x14ac:dyDescent="0.3">
      <c r="A836" t="s">
        <v>199</v>
      </c>
      <c r="B836" t="s">
        <v>200</v>
      </c>
      <c r="C836">
        <v>2017</v>
      </c>
      <c r="D836">
        <v>109983742564.24402</v>
      </c>
      <c r="E836">
        <v>121000000000</v>
      </c>
      <c r="F836">
        <v>4154812</v>
      </c>
      <c r="G836">
        <v>-4.7122227050000003</v>
      </c>
      <c r="H836">
        <v>97.840046459999996</v>
      </c>
      <c r="I836">
        <v>44</v>
      </c>
      <c r="J836">
        <v>92470714018.343994</v>
      </c>
      <c r="K836">
        <v>18.940000000000001</v>
      </c>
    </row>
    <row r="837" spans="1:11" x14ac:dyDescent="0.3">
      <c r="A837" t="s">
        <v>199</v>
      </c>
      <c r="B837" t="s">
        <v>200</v>
      </c>
      <c r="C837">
        <v>2018</v>
      </c>
      <c r="D837">
        <v>143882889110</v>
      </c>
      <c r="E837">
        <v>139000000000</v>
      </c>
      <c r="F837">
        <v>4323515</v>
      </c>
      <c r="G837">
        <v>2.7433304500000002</v>
      </c>
      <c r="H837">
        <v>102.7856307</v>
      </c>
      <c r="I837">
        <v>41</v>
      </c>
      <c r="J837">
        <v>109983742564.24402</v>
      </c>
      <c r="K837">
        <v>30.82</v>
      </c>
    </row>
    <row r="838" spans="1:11" x14ac:dyDescent="0.3">
      <c r="A838" t="s">
        <v>199</v>
      </c>
      <c r="B838" t="s">
        <v>200</v>
      </c>
      <c r="C838">
        <v>2019</v>
      </c>
      <c r="D838">
        <v>128964249978</v>
      </c>
      <c r="E838">
        <v>141000000000</v>
      </c>
      <c r="F838">
        <v>4442316</v>
      </c>
      <c r="G838">
        <v>2.2638170660000001</v>
      </c>
      <c r="H838">
        <v>91.685712390000006</v>
      </c>
      <c r="I838">
        <v>42</v>
      </c>
      <c r="J838">
        <v>143882889110</v>
      </c>
      <c r="K838">
        <v>-10.37</v>
      </c>
    </row>
    <row r="839" spans="1:11" x14ac:dyDescent="0.3">
      <c r="A839" t="s">
        <v>199</v>
      </c>
      <c r="B839" t="s">
        <v>200</v>
      </c>
      <c r="C839">
        <v>2020</v>
      </c>
      <c r="D839">
        <v>80332294674</v>
      </c>
      <c r="E839">
        <v>111000000000</v>
      </c>
      <c r="F839">
        <v>4400267</v>
      </c>
      <c r="G839">
        <v>-4.8173159339999998</v>
      </c>
      <c r="H839">
        <v>82.012510129999995</v>
      </c>
      <c r="I839">
        <v>45</v>
      </c>
      <c r="J839">
        <v>128964249978</v>
      </c>
      <c r="K839">
        <v>-37.71</v>
      </c>
    </row>
    <row r="840" spans="1:11" x14ac:dyDescent="0.3">
      <c r="A840" t="s">
        <v>199</v>
      </c>
      <c r="B840" t="s">
        <v>200</v>
      </c>
      <c r="C840">
        <v>2021</v>
      </c>
      <c r="D840">
        <v>126259387904</v>
      </c>
      <c r="E840">
        <v>148000000000</v>
      </c>
      <c r="F840">
        <v>4360865</v>
      </c>
      <c r="G840">
        <v>1.672130543</v>
      </c>
      <c r="H840">
        <v>82.000375180000006</v>
      </c>
      <c r="I840">
        <v>44</v>
      </c>
      <c r="J840">
        <v>80332294674</v>
      </c>
      <c r="K840">
        <v>57.17</v>
      </c>
    </row>
    <row r="841" spans="1:11" x14ac:dyDescent="0.3">
      <c r="A841" t="s">
        <v>199</v>
      </c>
      <c r="B841" t="s">
        <v>200</v>
      </c>
      <c r="C841">
        <v>2022</v>
      </c>
      <c r="D841">
        <v>199550127171.03998</v>
      </c>
      <c r="E841">
        <v>184000000000</v>
      </c>
      <c r="F841">
        <v>4589643</v>
      </c>
      <c r="G841">
        <v>6.7586671200000001</v>
      </c>
      <c r="H841">
        <v>90.918810199999996</v>
      </c>
      <c r="I841">
        <v>35</v>
      </c>
      <c r="J841">
        <v>126259387904</v>
      </c>
      <c r="K841">
        <v>58.05</v>
      </c>
    </row>
    <row r="842" spans="1:11" x14ac:dyDescent="0.3">
      <c r="A842" t="s">
        <v>199</v>
      </c>
      <c r="B842" t="s">
        <v>200</v>
      </c>
      <c r="C842">
        <v>2023</v>
      </c>
      <c r="D842">
        <v>167959817655.73404</v>
      </c>
      <c r="E842">
        <v>165000000000</v>
      </c>
      <c r="F842">
        <v>4853420</v>
      </c>
      <c r="G842">
        <v>-1.6408780000000001</v>
      </c>
      <c r="H842">
        <v>96.034350970000006</v>
      </c>
      <c r="I842">
        <v>37</v>
      </c>
      <c r="J842">
        <v>199550127171.03998</v>
      </c>
      <c r="K842">
        <v>-15.83</v>
      </c>
    </row>
    <row r="843" spans="1:11" x14ac:dyDescent="0.3">
      <c r="A843" t="s">
        <v>199</v>
      </c>
      <c r="B843" t="s">
        <v>200</v>
      </c>
      <c r="C843">
        <v>2024</v>
      </c>
      <c r="D843">
        <v>151982773984</v>
      </c>
      <c r="E843">
        <v>161000000000</v>
      </c>
      <c r="F843">
        <v>4897263</v>
      </c>
      <c r="G843">
        <v>-1.474018182</v>
      </c>
      <c r="H843">
        <v>93.99091627</v>
      </c>
      <c r="I843">
        <v>39</v>
      </c>
      <c r="J843">
        <v>167959817655.73404</v>
      </c>
      <c r="K843">
        <v>-9.51</v>
      </c>
    </row>
    <row r="844" spans="1:11" x14ac:dyDescent="0.3">
      <c r="A844" t="s">
        <v>201</v>
      </c>
      <c r="B844" t="s">
        <v>202</v>
      </c>
      <c r="C844">
        <v>2015</v>
      </c>
      <c r="D844">
        <v>5970190716</v>
      </c>
      <c r="E844">
        <v>14426380126</v>
      </c>
      <c r="F844">
        <v>6801645</v>
      </c>
      <c r="G844">
        <v>7.2700658440000003</v>
      </c>
      <c r="H844">
        <v>85.798321700000002</v>
      </c>
      <c r="I844">
        <v>108</v>
      </c>
    </row>
    <row r="845" spans="1:11" x14ac:dyDescent="0.3">
      <c r="A845" t="s">
        <v>201</v>
      </c>
      <c r="B845" t="s">
        <v>202</v>
      </c>
      <c r="C845">
        <v>2016</v>
      </c>
      <c r="D845">
        <v>6248337955</v>
      </c>
      <c r="E845">
        <v>15912501723</v>
      </c>
      <c r="F845">
        <v>6908802</v>
      </c>
      <c r="G845">
        <v>7.0228362549999996</v>
      </c>
      <c r="H845">
        <v>75.091890919999997</v>
      </c>
      <c r="I845">
        <v>107</v>
      </c>
      <c r="J845">
        <v>5970190716</v>
      </c>
      <c r="K845">
        <v>4.66</v>
      </c>
    </row>
    <row r="846" spans="1:11" x14ac:dyDescent="0.3">
      <c r="A846" t="s">
        <v>201</v>
      </c>
      <c r="B846" t="s">
        <v>202</v>
      </c>
      <c r="C846">
        <v>2017</v>
      </c>
      <c r="D846">
        <v>9819467309.9200001</v>
      </c>
      <c r="E846">
        <v>17071155481</v>
      </c>
      <c r="F846">
        <v>7018147</v>
      </c>
      <c r="G846">
        <v>6.8925308730000001</v>
      </c>
      <c r="I846">
        <v>101</v>
      </c>
      <c r="J846">
        <v>6248337955</v>
      </c>
      <c r="K846">
        <v>57.15</v>
      </c>
    </row>
    <row r="847" spans="1:11" x14ac:dyDescent="0.3">
      <c r="A847" t="s">
        <v>201</v>
      </c>
      <c r="B847" t="s">
        <v>202</v>
      </c>
      <c r="C847">
        <v>2018</v>
      </c>
      <c r="D847">
        <v>11629612738.360001</v>
      </c>
      <c r="E847">
        <v>18141641090</v>
      </c>
      <c r="F847">
        <v>7128045</v>
      </c>
      <c r="G847">
        <v>6.2479600079999997</v>
      </c>
      <c r="I847">
        <v>98</v>
      </c>
      <c r="J847">
        <v>9819467309.9200001</v>
      </c>
      <c r="K847">
        <v>18.43</v>
      </c>
    </row>
    <row r="848" spans="1:11" x14ac:dyDescent="0.3">
      <c r="A848" t="s">
        <v>201</v>
      </c>
      <c r="B848" t="s">
        <v>202</v>
      </c>
      <c r="C848">
        <v>2019</v>
      </c>
      <c r="D848">
        <v>11618692321.556</v>
      </c>
      <c r="E848">
        <v>18740561513</v>
      </c>
      <c r="F848">
        <v>7237636</v>
      </c>
      <c r="G848">
        <v>5.4577350920000001</v>
      </c>
      <c r="I848">
        <v>95</v>
      </c>
      <c r="J848">
        <v>11629612738.360001</v>
      </c>
      <c r="K848">
        <v>-0.09</v>
      </c>
    </row>
    <row r="849" spans="1:11" x14ac:dyDescent="0.3">
      <c r="A849" t="s">
        <v>201</v>
      </c>
      <c r="B849" t="s">
        <v>202</v>
      </c>
      <c r="C849">
        <v>2020</v>
      </c>
      <c r="D849">
        <v>10173773846.953001</v>
      </c>
      <c r="E849">
        <v>18981805250</v>
      </c>
      <c r="F849">
        <v>7346533</v>
      </c>
      <c r="G849">
        <v>0.50303182899999999</v>
      </c>
      <c r="I849">
        <v>95</v>
      </c>
      <c r="J849">
        <v>11618692321.556</v>
      </c>
      <c r="K849">
        <v>-12.44</v>
      </c>
    </row>
    <row r="850" spans="1:11" x14ac:dyDescent="0.3">
      <c r="A850" t="s">
        <v>201</v>
      </c>
      <c r="B850" t="s">
        <v>202</v>
      </c>
      <c r="C850">
        <v>2021</v>
      </c>
      <c r="D850">
        <v>14329210918.139992</v>
      </c>
      <c r="E850">
        <v>18827148531</v>
      </c>
      <c r="F850">
        <v>7453194</v>
      </c>
      <c r="G850">
        <v>2.5283510050000002</v>
      </c>
      <c r="I850">
        <v>93</v>
      </c>
      <c r="J850">
        <v>10173773846.953001</v>
      </c>
      <c r="K850">
        <v>40.840000000000003</v>
      </c>
    </row>
    <row r="851" spans="1:11" x14ac:dyDescent="0.3">
      <c r="A851" t="s">
        <v>201</v>
      </c>
      <c r="B851" t="s">
        <v>202</v>
      </c>
      <c r="C851">
        <v>2022</v>
      </c>
      <c r="D851">
        <v>19127784176.25</v>
      </c>
      <c r="E851">
        <v>15468785204</v>
      </c>
      <c r="F851">
        <v>7559007</v>
      </c>
      <c r="G851">
        <v>2.7074265259999999</v>
      </c>
      <c r="I851">
        <v>89</v>
      </c>
      <c r="J851">
        <v>14329210918.139992</v>
      </c>
      <c r="K851">
        <v>33.49</v>
      </c>
    </row>
    <row r="852" spans="1:11" x14ac:dyDescent="0.3">
      <c r="A852" t="s">
        <v>201</v>
      </c>
      <c r="B852" t="s">
        <v>202</v>
      </c>
      <c r="C852">
        <v>2023</v>
      </c>
      <c r="D852">
        <v>12084835183.369001</v>
      </c>
      <c r="E852">
        <v>15843155731</v>
      </c>
      <c r="F852">
        <v>7664993</v>
      </c>
      <c r="G852">
        <v>3.7456814020000002</v>
      </c>
      <c r="I852">
        <v>101</v>
      </c>
      <c r="J852">
        <v>19127784176.25</v>
      </c>
      <c r="K852">
        <v>-36.82</v>
      </c>
    </row>
    <row r="853" spans="1:11" x14ac:dyDescent="0.3">
      <c r="A853" t="s">
        <v>203</v>
      </c>
      <c r="B853" t="s">
        <v>204</v>
      </c>
      <c r="C853">
        <v>2015</v>
      </c>
      <c r="D853">
        <v>5906777279.2659988</v>
      </c>
      <c r="E853">
        <v>49929337837</v>
      </c>
      <c r="F853">
        <v>6472469</v>
      </c>
      <c r="G853">
        <v>0.46232079300000001</v>
      </c>
      <c r="H853">
        <v>71.839042629999994</v>
      </c>
      <c r="I853">
        <v>109</v>
      </c>
    </row>
    <row r="854" spans="1:11" x14ac:dyDescent="0.3">
      <c r="A854" t="s">
        <v>203</v>
      </c>
      <c r="B854" t="s">
        <v>204</v>
      </c>
      <c r="C854">
        <v>2016</v>
      </c>
      <c r="D854">
        <v>5953123166</v>
      </c>
      <c r="E854">
        <v>51147308774</v>
      </c>
      <c r="F854">
        <v>6323060</v>
      </c>
      <c r="G854">
        <v>1.554549409</v>
      </c>
      <c r="H854">
        <v>67.723617790000006</v>
      </c>
      <c r="I854">
        <v>109</v>
      </c>
      <c r="J854">
        <v>5906777279.2659988</v>
      </c>
      <c r="K854">
        <v>0.78</v>
      </c>
    </row>
    <row r="855" spans="1:11" x14ac:dyDescent="0.3">
      <c r="A855" t="s">
        <v>203</v>
      </c>
      <c r="B855" t="s">
        <v>204</v>
      </c>
      <c r="C855">
        <v>2017</v>
      </c>
      <c r="D855">
        <v>7171911002</v>
      </c>
      <c r="E855">
        <v>53027680686</v>
      </c>
      <c r="F855">
        <v>6160128</v>
      </c>
      <c r="G855">
        <v>0.90302846400000003</v>
      </c>
      <c r="H855">
        <v>68.455429260000003</v>
      </c>
      <c r="I855">
        <v>107</v>
      </c>
      <c r="J855">
        <v>5953123166</v>
      </c>
      <c r="K855">
        <v>20.47</v>
      </c>
    </row>
    <row r="856" spans="1:11" x14ac:dyDescent="0.3">
      <c r="A856" t="s">
        <v>203</v>
      </c>
      <c r="B856" t="s">
        <v>204</v>
      </c>
      <c r="C856">
        <v>2018</v>
      </c>
      <c r="D856">
        <v>7660000000</v>
      </c>
      <c r="E856">
        <v>54901519156</v>
      </c>
      <c r="F856">
        <v>5984119</v>
      </c>
      <c r="G856">
        <v>-1.884705756</v>
      </c>
      <c r="H856">
        <v>68.257307299999994</v>
      </c>
      <c r="I856">
        <v>105</v>
      </c>
      <c r="J856">
        <v>7171911002</v>
      </c>
      <c r="K856">
        <v>6.81</v>
      </c>
    </row>
    <row r="857" spans="1:11" x14ac:dyDescent="0.3">
      <c r="A857" t="s">
        <v>203</v>
      </c>
      <c r="B857" t="s">
        <v>204</v>
      </c>
      <c r="C857">
        <v>2019</v>
      </c>
      <c r="D857">
        <v>7462680181.3400021</v>
      </c>
      <c r="E857">
        <v>51605959131</v>
      </c>
      <c r="F857">
        <v>5794594</v>
      </c>
      <c r="G857">
        <v>-6.914924729</v>
      </c>
      <c r="H857">
        <v>62.980916010000001</v>
      </c>
      <c r="I857">
        <v>108</v>
      </c>
      <c r="J857">
        <v>7660000000</v>
      </c>
      <c r="K857">
        <v>-2.58</v>
      </c>
    </row>
    <row r="858" spans="1:11" x14ac:dyDescent="0.3">
      <c r="A858" t="s">
        <v>203</v>
      </c>
      <c r="B858" t="s">
        <v>204</v>
      </c>
      <c r="C858">
        <v>2020</v>
      </c>
      <c r="D858">
        <v>7614922364</v>
      </c>
      <c r="E858">
        <v>31712128254</v>
      </c>
      <c r="F858">
        <v>5702398</v>
      </c>
      <c r="G858">
        <v>-21.399899690000002</v>
      </c>
      <c r="H858">
        <v>50.129804290000003</v>
      </c>
      <c r="I858">
        <v>107</v>
      </c>
      <c r="J858">
        <v>7462680181.3400021</v>
      </c>
      <c r="K858">
        <v>2.04</v>
      </c>
    </row>
    <row r="859" spans="1:11" x14ac:dyDescent="0.3">
      <c r="A859" t="s">
        <v>203</v>
      </c>
      <c r="B859" t="s">
        <v>204</v>
      </c>
      <c r="C859">
        <v>2021</v>
      </c>
      <c r="D859">
        <v>8459953476</v>
      </c>
      <c r="E859">
        <v>23131941557</v>
      </c>
      <c r="F859">
        <v>5718122</v>
      </c>
      <c r="G859">
        <v>-7.001238625</v>
      </c>
      <c r="H859">
        <v>78.828620400000005</v>
      </c>
      <c r="I859">
        <v>107</v>
      </c>
      <c r="J859">
        <v>7614922364</v>
      </c>
      <c r="K859">
        <v>11.1</v>
      </c>
    </row>
    <row r="860" spans="1:11" x14ac:dyDescent="0.3">
      <c r="A860" t="s">
        <v>203</v>
      </c>
      <c r="B860" t="s">
        <v>204</v>
      </c>
      <c r="C860">
        <v>2022</v>
      </c>
      <c r="D860">
        <v>7724490748</v>
      </c>
      <c r="E860">
        <v>20992421949</v>
      </c>
      <c r="F860">
        <v>5744489</v>
      </c>
      <c r="G860">
        <v>-0.62167897100000002</v>
      </c>
      <c r="H860">
        <v>114.8882783</v>
      </c>
      <c r="I860">
        <v>111</v>
      </c>
      <c r="J860">
        <v>8459953476</v>
      </c>
      <c r="K860">
        <v>-8.69</v>
      </c>
    </row>
    <row r="861" spans="1:11" x14ac:dyDescent="0.3">
      <c r="A861" t="s">
        <v>203</v>
      </c>
      <c r="B861" t="s">
        <v>204</v>
      </c>
      <c r="C861">
        <v>2023</v>
      </c>
      <c r="D861">
        <v>9121387146</v>
      </c>
      <c r="E861">
        <v>20078620357</v>
      </c>
      <c r="F861">
        <v>5773493</v>
      </c>
      <c r="G861">
        <v>-0.76058446999999996</v>
      </c>
      <c r="H861">
        <v>104.2064101</v>
      </c>
      <c r="I861">
        <v>108</v>
      </c>
      <c r="J861">
        <v>7724490748</v>
      </c>
      <c r="K861">
        <v>18.079999999999998</v>
      </c>
    </row>
    <row r="862" spans="1:11" x14ac:dyDescent="0.3">
      <c r="A862" t="s">
        <v>203</v>
      </c>
      <c r="B862" t="s">
        <v>204</v>
      </c>
      <c r="C862">
        <v>2024</v>
      </c>
      <c r="D862">
        <v>8579202304</v>
      </c>
      <c r="E862">
        <v>25971643441</v>
      </c>
      <c r="F862">
        <v>5805962</v>
      </c>
      <c r="G862">
        <v>-7.0798919290000004</v>
      </c>
      <c r="H862">
        <v>82.232360459999995</v>
      </c>
      <c r="I862">
        <v>98</v>
      </c>
      <c r="J862">
        <v>9121387146</v>
      </c>
      <c r="K862">
        <v>-5.94</v>
      </c>
    </row>
    <row r="863" spans="1:11" x14ac:dyDescent="0.3">
      <c r="A863" t="s">
        <v>205</v>
      </c>
      <c r="B863" t="s">
        <v>206</v>
      </c>
      <c r="C863">
        <v>2017</v>
      </c>
      <c r="D863">
        <v>389337226</v>
      </c>
      <c r="E863">
        <v>3390703400</v>
      </c>
      <c r="F863">
        <v>4848925</v>
      </c>
      <c r="G863">
        <v>2.4551559200000002</v>
      </c>
      <c r="I863">
        <v>151</v>
      </c>
    </row>
    <row r="864" spans="1:11" x14ac:dyDescent="0.3">
      <c r="A864" t="s">
        <v>205</v>
      </c>
      <c r="B864" t="s">
        <v>206</v>
      </c>
      <c r="C864">
        <v>2018</v>
      </c>
      <c r="D864">
        <v>326873531.14000005</v>
      </c>
      <c r="E864">
        <v>3422754800</v>
      </c>
      <c r="F864">
        <v>4944726</v>
      </c>
      <c r="G864">
        <v>1.1575751219999999</v>
      </c>
      <c r="I864">
        <v>151</v>
      </c>
      <c r="J864">
        <v>389337226</v>
      </c>
      <c r="K864">
        <v>-16.04</v>
      </c>
    </row>
    <row r="865" spans="1:11" x14ac:dyDescent="0.3">
      <c r="A865" t="s">
        <v>205</v>
      </c>
      <c r="B865" t="s">
        <v>206</v>
      </c>
      <c r="C865">
        <v>2019</v>
      </c>
      <c r="D865">
        <v>542340614.91799998</v>
      </c>
      <c r="E865">
        <v>3319596500</v>
      </c>
      <c r="F865">
        <v>5043721</v>
      </c>
      <c r="G865">
        <v>-2.467297635</v>
      </c>
      <c r="I865">
        <v>145</v>
      </c>
      <c r="J865">
        <v>326873531.14000005</v>
      </c>
      <c r="K865">
        <v>65.92</v>
      </c>
    </row>
    <row r="866" spans="1:11" x14ac:dyDescent="0.3">
      <c r="A866" t="s">
        <v>205</v>
      </c>
      <c r="B866" t="s">
        <v>206</v>
      </c>
      <c r="C866">
        <v>2020</v>
      </c>
      <c r="D866">
        <v>836113456.91500008</v>
      </c>
      <c r="E866">
        <v>3176126300</v>
      </c>
      <c r="F866">
        <v>5149463</v>
      </c>
      <c r="G866">
        <v>-2.9824912760000002</v>
      </c>
      <c r="I866">
        <v>137</v>
      </c>
      <c r="J866">
        <v>542340614.91799998</v>
      </c>
      <c r="K866">
        <v>54.17</v>
      </c>
    </row>
    <row r="867" spans="1:11" x14ac:dyDescent="0.3">
      <c r="A867" t="s">
        <v>205</v>
      </c>
      <c r="B867" t="s">
        <v>206</v>
      </c>
      <c r="C867">
        <v>2021</v>
      </c>
      <c r="D867">
        <v>343338189.08000004</v>
      </c>
      <c r="E867">
        <v>3513049500</v>
      </c>
      <c r="F867">
        <v>5259323</v>
      </c>
      <c r="G867">
        <v>4.9867128349999996</v>
      </c>
      <c r="I867">
        <v>145</v>
      </c>
      <c r="J867">
        <v>836113456.91500008</v>
      </c>
      <c r="K867">
        <v>-58.94</v>
      </c>
    </row>
    <row r="868" spans="1:11" x14ac:dyDescent="0.3">
      <c r="A868" t="s">
        <v>205</v>
      </c>
      <c r="B868" t="s">
        <v>206</v>
      </c>
      <c r="C868">
        <v>2022</v>
      </c>
      <c r="D868">
        <v>405777434.94</v>
      </c>
      <c r="E868">
        <v>4001047000</v>
      </c>
      <c r="F868">
        <v>5373294</v>
      </c>
      <c r="G868">
        <v>4.8081051730000004</v>
      </c>
      <c r="I868">
        <v>145</v>
      </c>
      <c r="J868">
        <v>343338189.08000004</v>
      </c>
      <c r="K868">
        <v>18.190000000000001</v>
      </c>
    </row>
    <row r="869" spans="1:11" x14ac:dyDescent="0.3">
      <c r="A869" t="s">
        <v>205</v>
      </c>
      <c r="B869" t="s">
        <v>206</v>
      </c>
      <c r="C869">
        <v>2023</v>
      </c>
      <c r="D869">
        <v>307405142.31999993</v>
      </c>
      <c r="E869">
        <v>4390000000</v>
      </c>
      <c r="F869">
        <v>5493031</v>
      </c>
      <c r="G869">
        <v>4.6837568879999996</v>
      </c>
      <c r="I869">
        <v>144</v>
      </c>
      <c r="J869">
        <v>405777434.94</v>
      </c>
      <c r="K869">
        <v>-24.24</v>
      </c>
    </row>
    <row r="870" spans="1:11" x14ac:dyDescent="0.3">
      <c r="A870" t="s">
        <v>207</v>
      </c>
      <c r="B870" t="s">
        <v>208</v>
      </c>
      <c r="C870">
        <v>2016</v>
      </c>
      <c r="D870">
        <v>40271056510.927994</v>
      </c>
      <c r="E870">
        <v>49912073701</v>
      </c>
      <c r="F870">
        <v>6632126</v>
      </c>
      <c r="G870">
        <v>-1.490941117</v>
      </c>
      <c r="H870">
        <v>41.110176060000001</v>
      </c>
      <c r="I870">
        <v>64</v>
      </c>
    </row>
    <row r="871" spans="1:11" x14ac:dyDescent="0.3">
      <c r="A871" t="s">
        <v>207</v>
      </c>
      <c r="B871" t="s">
        <v>208</v>
      </c>
      <c r="C871">
        <v>2017</v>
      </c>
      <c r="D871">
        <v>40271056510.927994</v>
      </c>
      <c r="E871">
        <v>67157452182</v>
      </c>
      <c r="F871">
        <v>6738770</v>
      </c>
      <c r="G871">
        <v>32.491802190000001</v>
      </c>
      <c r="H871">
        <v>47.548966190000002</v>
      </c>
      <c r="I871">
        <v>63</v>
      </c>
      <c r="J871">
        <v>40271056510.927994</v>
      </c>
      <c r="K871">
        <v>0</v>
      </c>
    </row>
    <row r="872" spans="1:11" x14ac:dyDescent="0.3">
      <c r="A872" t="s">
        <v>207</v>
      </c>
      <c r="B872" t="s">
        <v>208</v>
      </c>
      <c r="C872">
        <v>2018</v>
      </c>
      <c r="D872">
        <v>60081784369.02198</v>
      </c>
      <c r="E872">
        <v>76686029772</v>
      </c>
      <c r="F872">
        <v>6849055</v>
      </c>
      <c r="G872">
        <v>7.941367853</v>
      </c>
      <c r="H872">
        <v>63.781133599999997</v>
      </c>
      <c r="I872">
        <v>59</v>
      </c>
      <c r="J872">
        <v>40271056510.927994</v>
      </c>
      <c r="K872">
        <v>49.19</v>
      </c>
    </row>
    <row r="873" spans="1:11" x14ac:dyDescent="0.3">
      <c r="A873" t="s">
        <v>207</v>
      </c>
      <c r="B873" t="s">
        <v>208</v>
      </c>
      <c r="C873">
        <v>2019</v>
      </c>
      <c r="D873">
        <v>58571818175.828011</v>
      </c>
      <c r="E873">
        <v>69254496472</v>
      </c>
      <c r="F873">
        <v>6951033</v>
      </c>
      <c r="G873">
        <v>-11.19608289</v>
      </c>
      <c r="H873">
        <v>78.993969190000001</v>
      </c>
      <c r="I873">
        <v>60</v>
      </c>
      <c r="J873">
        <v>60081784369.02198</v>
      </c>
      <c r="K873">
        <v>-2.5099999999999998</v>
      </c>
    </row>
    <row r="874" spans="1:11" x14ac:dyDescent="0.3">
      <c r="A874" t="s">
        <v>209</v>
      </c>
      <c r="B874" t="s">
        <v>210</v>
      </c>
      <c r="C874">
        <v>2015</v>
      </c>
      <c r="D874">
        <v>361193616</v>
      </c>
      <c r="E874">
        <v>1807640741</v>
      </c>
      <c r="F874">
        <v>174905</v>
      </c>
      <c r="G874">
        <v>0.101917836</v>
      </c>
      <c r="I874">
        <v>150</v>
      </c>
    </row>
    <row r="875" spans="1:11" x14ac:dyDescent="0.3">
      <c r="A875" t="s">
        <v>209</v>
      </c>
      <c r="B875" t="s">
        <v>210</v>
      </c>
      <c r="C875">
        <v>2016</v>
      </c>
      <c r="D875">
        <v>239613201</v>
      </c>
      <c r="E875">
        <v>1868544444</v>
      </c>
      <c r="F875">
        <v>175646</v>
      </c>
      <c r="G875">
        <v>3.4278721449999998</v>
      </c>
      <c r="I875">
        <v>155</v>
      </c>
      <c r="J875">
        <v>361193616</v>
      </c>
      <c r="K875">
        <v>-33.659999999999997</v>
      </c>
    </row>
    <row r="876" spans="1:11" x14ac:dyDescent="0.3">
      <c r="A876" t="s">
        <v>209</v>
      </c>
      <c r="B876" t="s">
        <v>210</v>
      </c>
      <c r="C876">
        <v>2017</v>
      </c>
      <c r="D876">
        <v>283310488.87500006</v>
      </c>
      <c r="E876">
        <v>1998503704</v>
      </c>
      <c r="F876">
        <v>176342</v>
      </c>
      <c r="G876">
        <v>3.3798261730000001</v>
      </c>
      <c r="I876">
        <v>155</v>
      </c>
      <c r="J876">
        <v>239613201</v>
      </c>
      <c r="K876">
        <v>18.239999999999998</v>
      </c>
    </row>
    <row r="877" spans="1:11" x14ac:dyDescent="0.3">
      <c r="A877" t="s">
        <v>209</v>
      </c>
      <c r="B877" t="s">
        <v>210</v>
      </c>
      <c r="C877">
        <v>2018</v>
      </c>
      <c r="D877">
        <v>233627967.26000002</v>
      </c>
      <c r="E877">
        <v>2060955556</v>
      </c>
      <c r="F877">
        <v>177017</v>
      </c>
      <c r="G877">
        <v>2.8867790219999998</v>
      </c>
      <c r="I877">
        <v>153</v>
      </c>
      <c r="J877">
        <v>283310488.87500006</v>
      </c>
      <c r="K877">
        <v>-17.54</v>
      </c>
    </row>
    <row r="878" spans="1:11" x14ac:dyDescent="0.3">
      <c r="A878" t="s">
        <v>209</v>
      </c>
      <c r="B878" t="s">
        <v>210</v>
      </c>
      <c r="C878">
        <v>2019</v>
      </c>
      <c r="D878">
        <v>194510520.41999999</v>
      </c>
      <c r="E878">
        <v>2090074074</v>
      </c>
      <c r="F878">
        <v>177661</v>
      </c>
      <c r="G878">
        <v>-1.029367895</v>
      </c>
      <c r="I878">
        <v>152</v>
      </c>
      <c r="J878">
        <v>233627967.26000002</v>
      </c>
      <c r="K878">
        <v>-16.739999999999998</v>
      </c>
    </row>
    <row r="879" spans="1:11" x14ac:dyDescent="0.3">
      <c r="A879" t="s">
        <v>209</v>
      </c>
      <c r="B879" t="s">
        <v>210</v>
      </c>
      <c r="C879">
        <v>2020</v>
      </c>
      <c r="D879">
        <v>134849663.20000005</v>
      </c>
      <c r="E879">
        <v>1521740741</v>
      </c>
      <c r="F879">
        <v>178250</v>
      </c>
      <c r="G879">
        <v>-22.90051386</v>
      </c>
      <c r="I879">
        <v>148</v>
      </c>
      <c r="J879">
        <v>194510520.41999999</v>
      </c>
      <c r="K879">
        <v>-30.67</v>
      </c>
    </row>
    <row r="880" spans="1:11" x14ac:dyDescent="0.3">
      <c r="A880" t="s">
        <v>211</v>
      </c>
      <c r="B880" t="s">
        <v>212</v>
      </c>
      <c r="C880">
        <v>2015</v>
      </c>
      <c r="D880">
        <v>20879459325</v>
      </c>
      <c r="E880">
        <v>85090300896</v>
      </c>
      <c r="F880">
        <v>20970000</v>
      </c>
      <c r="G880">
        <v>4.2059554749999997</v>
      </c>
      <c r="H880">
        <v>46.91797081</v>
      </c>
      <c r="I880">
        <v>79</v>
      </c>
    </row>
    <row r="881" spans="1:11" x14ac:dyDescent="0.3">
      <c r="A881" t="s">
        <v>211</v>
      </c>
      <c r="B881" t="s">
        <v>212</v>
      </c>
      <c r="C881">
        <v>2016</v>
      </c>
      <c r="D881">
        <v>21091786585</v>
      </c>
      <c r="E881">
        <v>88000210878</v>
      </c>
      <c r="F881">
        <v>21209000</v>
      </c>
      <c r="G881">
        <v>5.05362489</v>
      </c>
      <c r="H881">
        <v>46.47153703</v>
      </c>
      <c r="I881">
        <v>77</v>
      </c>
      <c r="J881">
        <v>20879459325</v>
      </c>
      <c r="K881">
        <v>1.02</v>
      </c>
    </row>
    <row r="882" spans="1:11" x14ac:dyDescent="0.3">
      <c r="A882" t="s">
        <v>211</v>
      </c>
      <c r="B882" t="s">
        <v>212</v>
      </c>
      <c r="C882">
        <v>2017</v>
      </c>
      <c r="D882">
        <v>23482073572.179974</v>
      </c>
      <c r="E882">
        <v>94369350439</v>
      </c>
      <c r="F882">
        <v>21453000</v>
      </c>
      <c r="G882">
        <v>6.4606812710000003</v>
      </c>
      <c r="H882">
        <v>47.1404098</v>
      </c>
      <c r="I882">
        <v>75</v>
      </c>
      <c r="J882">
        <v>21091786585</v>
      </c>
      <c r="K882">
        <v>11.33</v>
      </c>
    </row>
    <row r="883" spans="1:11" x14ac:dyDescent="0.3">
      <c r="A883" t="s">
        <v>211</v>
      </c>
      <c r="B883" t="s">
        <v>212</v>
      </c>
      <c r="C883">
        <v>2019</v>
      </c>
      <c r="D883">
        <v>23948312731.889992</v>
      </c>
      <c r="E883">
        <v>88998706178</v>
      </c>
      <c r="F883">
        <v>21803000</v>
      </c>
      <c r="G883">
        <v>-0.22048388699999999</v>
      </c>
      <c r="H883">
        <v>49.425523890000001</v>
      </c>
      <c r="I883">
        <v>76</v>
      </c>
      <c r="J883">
        <v>23482073572.179974</v>
      </c>
      <c r="K883">
        <v>1.99</v>
      </c>
    </row>
    <row r="884" spans="1:11" x14ac:dyDescent="0.3">
      <c r="A884" t="s">
        <v>211</v>
      </c>
      <c r="B884" t="s">
        <v>212</v>
      </c>
      <c r="C884">
        <v>2020</v>
      </c>
      <c r="D884">
        <v>21413716088.642002</v>
      </c>
      <c r="E884">
        <v>84335574372</v>
      </c>
      <c r="F884">
        <v>21919000</v>
      </c>
      <c r="G884">
        <v>-4.6245150370000001</v>
      </c>
      <c r="H884">
        <v>37.089118859999999</v>
      </c>
      <c r="I884">
        <v>76</v>
      </c>
      <c r="J884">
        <v>23948312731.889992</v>
      </c>
      <c r="K884">
        <v>-10.58</v>
      </c>
    </row>
    <row r="885" spans="1:11" x14ac:dyDescent="0.3">
      <c r="A885" t="s">
        <v>211</v>
      </c>
      <c r="B885" t="s">
        <v>212</v>
      </c>
      <c r="C885">
        <v>2021</v>
      </c>
      <c r="D885">
        <v>26662497166.634979</v>
      </c>
      <c r="E885">
        <v>88556699052</v>
      </c>
      <c r="F885">
        <v>22156000</v>
      </c>
      <c r="G885">
        <v>4.2074764949999999</v>
      </c>
      <c r="H885">
        <v>41.228846330000003</v>
      </c>
      <c r="I885">
        <v>77</v>
      </c>
      <c r="J885">
        <v>21413716088.642002</v>
      </c>
      <c r="K885">
        <v>24.51</v>
      </c>
    </row>
    <row r="886" spans="1:11" x14ac:dyDescent="0.3">
      <c r="A886" t="s">
        <v>211</v>
      </c>
      <c r="B886" t="s">
        <v>212</v>
      </c>
      <c r="C886">
        <v>2022</v>
      </c>
      <c r="D886">
        <v>27184248866.958004</v>
      </c>
      <c r="E886">
        <v>74143020304</v>
      </c>
      <c r="F886">
        <v>22181000</v>
      </c>
      <c r="G886">
        <v>-7.3491931109999999</v>
      </c>
      <c r="H886">
        <v>46.682608020000004</v>
      </c>
      <c r="I886">
        <v>78</v>
      </c>
      <c r="J886">
        <v>26662497166.634979</v>
      </c>
      <c r="K886">
        <v>1.96</v>
      </c>
    </row>
    <row r="887" spans="1:11" x14ac:dyDescent="0.3">
      <c r="A887" t="s">
        <v>211</v>
      </c>
      <c r="B887" t="s">
        <v>212</v>
      </c>
      <c r="C887">
        <v>2023</v>
      </c>
      <c r="D887">
        <v>24104995097.884003</v>
      </c>
      <c r="E887">
        <v>84080307356</v>
      </c>
      <c r="F887">
        <v>22037000</v>
      </c>
      <c r="G887">
        <v>-2.028929669</v>
      </c>
      <c r="H887">
        <v>43.347668120000002</v>
      </c>
      <c r="I887">
        <v>77</v>
      </c>
      <c r="J887">
        <v>27184248866.958004</v>
      </c>
      <c r="K887">
        <v>-11.33</v>
      </c>
    </row>
    <row r="888" spans="1:11" x14ac:dyDescent="0.3">
      <c r="A888" t="s">
        <v>211</v>
      </c>
      <c r="B888" t="s">
        <v>212</v>
      </c>
      <c r="C888">
        <v>2024</v>
      </c>
      <c r="D888">
        <v>24219252842.128998</v>
      </c>
      <c r="E888">
        <v>99616111266</v>
      </c>
      <c r="F888">
        <v>21916000</v>
      </c>
      <c r="G888">
        <v>4.9924161439999999</v>
      </c>
      <c r="H888">
        <v>42.119609830000002</v>
      </c>
      <c r="I888">
        <v>75</v>
      </c>
      <c r="J888">
        <v>24104995097.884003</v>
      </c>
      <c r="K888">
        <v>0.47</v>
      </c>
    </row>
    <row r="889" spans="1:11" x14ac:dyDescent="0.3">
      <c r="A889" t="s">
        <v>213</v>
      </c>
      <c r="B889" t="s">
        <v>214</v>
      </c>
      <c r="C889">
        <v>2015</v>
      </c>
      <c r="D889">
        <v>1211845306.9099998</v>
      </c>
      <c r="E889">
        <v>2359686725</v>
      </c>
      <c r="F889">
        <v>2104611</v>
      </c>
      <c r="G889">
        <v>3.1240667800000002</v>
      </c>
      <c r="H889">
        <v>129.72277310000001</v>
      </c>
      <c r="I889">
        <v>137</v>
      </c>
    </row>
    <row r="890" spans="1:11" x14ac:dyDescent="0.3">
      <c r="A890" t="s">
        <v>213</v>
      </c>
      <c r="B890" t="s">
        <v>214</v>
      </c>
      <c r="C890">
        <v>2016</v>
      </c>
      <c r="D890">
        <v>1328223553.7480004</v>
      </c>
      <c r="E890">
        <v>2114426452</v>
      </c>
      <c r="F890">
        <v>2130422</v>
      </c>
      <c r="G890">
        <v>3.6089073169999999</v>
      </c>
      <c r="H890">
        <v>136.31524769999999</v>
      </c>
      <c r="I890">
        <v>138</v>
      </c>
      <c r="J890">
        <v>1211845306.9099998</v>
      </c>
      <c r="K890">
        <v>9.6</v>
      </c>
    </row>
    <row r="891" spans="1:11" x14ac:dyDescent="0.3">
      <c r="A891" t="s">
        <v>213</v>
      </c>
      <c r="B891" t="s">
        <v>214</v>
      </c>
      <c r="C891">
        <v>2017</v>
      </c>
      <c r="D891">
        <v>1437339880.072999</v>
      </c>
      <c r="E891">
        <v>2306741672</v>
      </c>
      <c r="F891">
        <v>2157110</v>
      </c>
      <c r="G891">
        <v>-3.1381749370000001</v>
      </c>
      <c r="H891">
        <v>146.36677130000001</v>
      </c>
      <c r="I891">
        <v>141</v>
      </c>
      <c r="J891">
        <v>1328223553.7480004</v>
      </c>
      <c r="K891">
        <v>8.2200000000000006</v>
      </c>
    </row>
    <row r="892" spans="1:11" x14ac:dyDescent="0.3">
      <c r="A892" t="s">
        <v>213</v>
      </c>
      <c r="B892" t="s">
        <v>214</v>
      </c>
      <c r="C892">
        <v>2018</v>
      </c>
      <c r="D892">
        <v>1764770633.5760002</v>
      </c>
      <c r="E892">
        <v>2556247292</v>
      </c>
      <c r="F892">
        <v>2183603</v>
      </c>
      <c r="G892">
        <v>-1.4806331580000001</v>
      </c>
      <c r="H892">
        <v>144.4349555</v>
      </c>
      <c r="I892">
        <v>136</v>
      </c>
      <c r="J892">
        <v>1437339880.072999</v>
      </c>
      <c r="K892">
        <v>22.78</v>
      </c>
    </row>
    <row r="893" spans="1:11" x14ac:dyDescent="0.3">
      <c r="A893" t="s">
        <v>213</v>
      </c>
      <c r="B893" t="s">
        <v>214</v>
      </c>
      <c r="C893">
        <v>2019</v>
      </c>
      <c r="D893">
        <v>1789814954.7999995</v>
      </c>
      <c r="E893">
        <v>2390702296</v>
      </c>
      <c r="F893">
        <v>2209405</v>
      </c>
      <c r="G893">
        <v>-1.417993831</v>
      </c>
      <c r="H893">
        <v>140.51663350000001</v>
      </c>
      <c r="I893">
        <v>134</v>
      </c>
      <c r="J893">
        <v>1764770633.5760002</v>
      </c>
      <c r="K893">
        <v>1.42</v>
      </c>
    </row>
    <row r="894" spans="1:11" x14ac:dyDescent="0.3">
      <c r="A894" t="s">
        <v>213</v>
      </c>
      <c r="B894" t="s">
        <v>214</v>
      </c>
      <c r="C894">
        <v>2020</v>
      </c>
      <c r="D894">
        <v>1674571114.4380009</v>
      </c>
      <c r="E894">
        <v>2053699864</v>
      </c>
      <c r="F894">
        <v>2235727</v>
      </c>
      <c r="G894">
        <v>-8.1559578550000005</v>
      </c>
      <c r="H894">
        <v>141.0966051</v>
      </c>
      <c r="I894">
        <v>132</v>
      </c>
      <c r="J894">
        <v>1789814954.7999995</v>
      </c>
      <c r="K894">
        <v>-6.44</v>
      </c>
    </row>
    <row r="895" spans="1:11" x14ac:dyDescent="0.3">
      <c r="A895" t="s">
        <v>213</v>
      </c>
      <c r="B895" t="s">
        <v>214</v>
      </c>
      <c r="C895">
        <v>2021</v>
      </c>
      <c r="D895">
        <v>1897070376.9030008</v>
      </c>
      <c r="E895">
        <v>2412130057</v>
      </c>
      <c r="F895">
        <v>2261542</v>
      </c>
      <c r="G895">
        <v>2.2667096180000001</v>
      </c>
      <c r="H895">
        <v>139.18647949999999</v>
      </c>
      <c r="I895">
        <v>135</v>
      </c>
      <c r="J895">
        <v>1674571114.4380009</v>
      </c>
      <c r="K895">
        <v>13.29</v>
      </c>
    </row>
    <row r="896" spans="1:11" x14ac:dyDescent="0.3">
      <c r="A896" t="s">
        <v>213</v>
      </c>
      <c r="B896" t="s">
        <v>214</v>
      </c>
      <c r="C896">
        <v>2022</v>
      </c>
      <c r="D896">
        <v>1799311988.1269999</v>
      </c>
      <c r="E896">
        <v>2354980960</v>
      </c>
      <c r="F896">
        <v>2286110</v>
      </c>
      <c r="G896">
        <v>2.3877802020000001</v>
      </c>
      <c r="H896">
        <v>142.37398110000001</v>
      </c>
      <c r="I896">
        <v>132</v>
      </c>
      <c r="J896">
        <v>1897070376.9030008</v>
      </c>
      <c r="K896">
        <v>-5.15</v>
      </c>
    </row>
    <row r="897" spans="1:11" x14ac:dyDescent="0.3">
      <c r="A897" t="s">
        <v>213</v>
      </c>
      <c r="B897" t="s">
        <v>214</v>
      </c>
      <c r="C897">
        <v>2023</v>
      </c>
      <c r="D897">
        <v>1659804677.849</v>
      </c>
      <c r="E897">
        <v>2129871530</v>
      </c>
      <c r="F897">
        <v>2311472</v>
      </c>
      <c r="G897">
        <v>1.6943317760000001</v>
      </c>
      <c r="H897">
        <v>140.7224879</v>
      </c>
      <c r="I897">
        <v>130</v>
      </c>
      <c r="J897">
        <v>1799311988.1269999</v>
      </c>
      <c r="K897">
        <v>-7.75</v>
      </c>
    </row>
    <row r="898" spans="1:11" x14ac:dyDescent="0.3">
      <c r="A898" t="s">
        <v>213</v>
      </c>
      <c r="B898" t="s">
        <v>214</v>
      </c>
      <c r="C898">
        <v>2024</v>
      </c>
      <c r="D898">
        <v>2009505038.802</v>
      </c>
      <c r="E898">
        <v>2391282548</v>
      </c>
      <c r="F898">
        <v>2337423</v>
      </c>
      <c r="G898">
        <v>5.2250338029999996</v>
      </c>
      <c r="H898">
        <v>152.4743891</v>
      </c>
      <c r="I898">
        <v>114</v>
      </c>
      <c r="J898">
        <v>1659804677.849</v>
      </c>
      <c r="K898">
        <v>21.07</v>
      </c>
    </row>
    <row r="899" spans="1:11" x14ac:dyDescent="0.3">
      <c r="A899" t="s">
        <v>215</v>
      </c>
      <c r="B899" t="s">
        <v>216</v>
      </c>
      <c r="C899">
        <v>2015</v>
      </c>
      <c r="D899">
        <v>50822044488</v>
      </c>
      <c r="E899">
        <v>41540954817</v>
      </c>
      <c r="F899">
        <v>2911109</v>
      </c>
      <c r="G899">
        <v>2.832806433</v>
      </c>
      <c r="H899">
        <v>138.19557499999999</v>
      </c>
      <c r="I899">
        <v>60</v>
      </c>
    </row>
    <row r="900" spans="1:11" x14ac:dyDescent="0.3">
      <c r="A900" t="s">
        <v>215</v>
      </c>
      <c r="B900" t="s">
        <v>216</v>
      </c>
      <c r="C900">
        <v>2016</v>
      </c>
      <c r="D900">
        <v>50045304947.599998</v>
      </c>
      <c r="E900">
        <v>42970749245</v>
      </c>
      <c r="F900">
        <v>2877325</v>
      </c>
      <c r="G900">
        <v>2.671922151</v>
      </c>
      <c r="H900">
        <v>134.69044969999999</v>
      </c>
      <c r="I900">
        <v>59</v>
      </c>
      <c r="J900">
        <v>50822044488</v>
      </c>
      <c r="K900">
        <v>-1.53</v>
      </c>
    </row>
    <row r="901" spans="1:11" x14ac:dyDescent="0.3">
      <c r="A901" t="s">
        <v>215</v>
      </c>
      <c r="B901" t="s">
        <v>216</v>
      </c>
      <c r="C901">
        <v>2017</v>
      </c>
      <c r="D901">
        <v>59776208515.599998</v>
      </c>
      <c r="E901">
        <v>47756764508</v>
      </c>
      <c r="F901">
        <v>2842639</v>
      </c>
      <c r="G901">
        <v>4.612243103</v>
      </c>
      <c r="H901">
        <v>144.9183931</v>
      </c>
      <c r="I901">
        <v>58</v>
      </c>
      <c r="J901">
        <v>50045304947.599998</v>
      </c>
      <c r="K901">
        <v>19.440000000000001</v>
      </c>
    </row>
    <row r="902" spans="1:11" x14ac:dyDescent="0.3">
      <c r="A902" t="s">
        <v>215</v>
      </c>
      <c r="B902" t="s">
        <v>216</v>
      </c>
      <c r="C902">
        <v>2018</v>
      </c>
      <c r="D902">
        <v>66669153473.659988</v>
      </c>
      <c r="E902">
        <v>54261795149</v>
      </c>
      <c r="F902">
        <v>2819200</v>
      </c>
      <c r="G902">
        <v>4.9183678009999996</v>
      </c>
      <c r="H902">
        <v>147.2021325</v>
      </c>
      <c r="I902">
        <v>58</v>
      </c>
      <c r="J902">
        <v>59776208515.599998</v>
      </c>
      <c r="K902">
        <v>11.53</v>
      </c>
    </row>
    <row r="903" spans="1:11" x14ac:dyDescent="0.3">
      <c r="A903" t="s">
        <v>215</v>
      </c>
      <c r="B903" t="s">
        <v>216</v>
      </c>
      <c r="C903">
        <v>2019</v>
      </c>
      <c r="D903">
        <v>66301543793.619987</v>
      </c>
      <c r="E903">
        <v>55122066226</v>
      </c>
      <c r="F903">
        <v>2811089</v>
      </c>
      <c r="G903">
        <v>4.6773518349999996</v>
      </c>
      <c r="H903">
        <v>148.37499600000001</v>
      </c>
      <c r="I903">
        <v>56</v>
      </c>
      <c r="J903">
        <v>66669153473.659988</v>
      </c>
      <c r="K903">
        <v>-0.55000000000000004</v>
      </c>
    </row>
    <row r="904" spans="1:11" x14ac:dyDescent="0.3">
      <c r="A904" t="s">
        <v>215</v>
      </c>
      <c r="B904" t="s">
        <v>216</v>
      </c>
      <c r="C904">
        <v>2020</v>
      </c>
      <c r="D904">
        <v>65580744730</v>
      </c>
      <c r="E904">
        <v>57412038533</v>
      </c>
      <c r="F904">
        <v>2810369</v>
      </c>
      <c r="G904">
        <v>4.2815833999999997E-2</v>
      </c>
      <c r="H904">
        <v>135.79656560000001</v>
      </c>
      <c r="I904">
        <v>53</v>
      </c>
      <c r="J904">
        <v>66301543793.619987</v>
      </c>
      <c r="K904">
        <v>-1.0900000000000001</v>
      </c>
    </row>
    <row r="905" spans="1:11" x14ac:dyDescent="0.3">
      <c r="A905" t="s">
        <v>215</v>
      </c>
      <c r="B905" t="s">
        <v>216</v>
      </c>
      <c r="C905">
        <v>2021</v>
      </c>
      <c r="D905">
        <v>81396766557.559998</v>
      </c>
      <c r="E905">
        <v>67072165721</v>
      </c>
      <c r="F905">
        <v>2808380</v>
      </c>
      <c r="G905">
        <v>6.3948177289999997</v>
      </c>
      <c r="H905">
        <v>154.7263039</v>
      </c>
      <c r="I905">
        <v>56</v>
      </c>
      <c r="J905">
        <v>65580744730</v>
      </c>
      <c r="K905">
        <v>24.12</v>
      </c>
    </row>
    <row r="906" spans="1:11" x14ac:dyDescent="0.3">
      <c r="A906" t="s">
        <v>215</v>
      </c>
      <c r="B906" t="s">
        <v>216</v>
      </c>
      <c r="C906">
        <v>2022</v>
      </c>
      <c r="D906">
        <v>93003798072</v>
      </c>
      <c r="E906">
        <v>70639687326</v>
      </c>
      <c r="F906">
        <v>2831639</v>
      </c>
      <c r="G906">
        <v>2.465320132</v>
      </c>
      <c r="H906">
        <v>176.63181710000001</v>
      </c>
      <c r="I906">
        <v>54</v>
      </c>
      <c r="J906">
        <v>81396766557.559998</v>
      </c>
      <c r="K906">
        <v>14.26</v>
      </c>
    </row>
    <row r="907" spans="1:11" x14ac:dyDescent="0.3">
      <c r="A907" t="s">
        <v>215</v>
      </c>
      <c r="B907" t="s">
        <v>216</v>
      </c>
      <c r="C907">
        <v>2023</v>
      </c>
      <c r="D907">
        <v>85251383850</v>
      </c>
      <c r="E907">
        <v>80356613555</v>
      </c>
      <c r="F907">
        <v>2871585</v>
      </c>
      <c r="G907">
        <v>0.73953739799999996</v>
      </c>
      <c r="H907">
        <v>147.9907518</v>
      </c>
      <c r="I907">
        <v>51</v>
      </c>
      <c r="J907">
        <v>93003798072</v>
      </c>
      <c r="K907">
        <v>-8.34</v>
      </c>
    </row>
    <row r="908" spans="1:11" x14ac:dyDescent="0.3">
      <c r="A908" t="s">
        <v>215</v>
      </c>
      <c r="B908" t="s">
        <v>216</v>
      </c>
      <c r="C908">
        <v>2024</v>
      </c>
      <c r="D908">
        <v>79638193646</v>
      </c>
      <c r="E908">
        <v>85503938574</v>
      </c>
      <c r="F908">
        <v>2888278</v>
      </c>
      <c r="G908">
        <v>3.0301954379999998</v>
      </c>
      <c r="H908">
        <v>142.4199102</v>
      </c>
      <c r="I908">
        <v>54</v>
      </c>
      <c r="J908">
        <v>85251383850</v>
      </c>
      <c r="K908">
        <v>-6.58</v>
      </c>
    </row>
    <row r="909" spans="1:11" x14ac:dyDescent="0.3">
      <c r="A909" t="s">
        <v>217</v>
      </c>
      <c r="B909" t="s">
        <v>218</v>
      </c>
      <c r="C909">
        <v>2015</v>
      </c>
      <c r="D909">
        <v>25251405342</v>
      </c>
      <c r="E909">
        <v>60071584216</v>
      </c>
      <c r="F909">
        <v>569604</v>
      </c>
      <c r="G909">
        <v>2.2683657269999999</v>
      </c>
      <c r="H909">
        <v>351.13195400000001</v>
      </c>
      <c r="I909">
        <v>72</v>
      </c>
    </row>
    <row r="910" spans="1:11" x14ac:dyDescent="0.3">
      <c r="A910" t="s">
        <v>217</v>
      </c>
      <c r="B910" t="s">
        <v>218</v>
      </c>
      <c r="C910">
        <v>2016</v>
      </c>
      <c r="D910">
        <v>25676762138</v>
      </c>
      <c r="E910">
        <v>62216885436</v>
      </c>
      <c r="F910">
        <v>582014</v>
      </c>
      <c r="G910">
        <v>4.9781904709999996</v>
      </c>
      <c r="H910">
        <v>348.43740939999998</v>
      </c>
      <c r="I910">
        <v>71</v>
      </c>
      <c r="J910">
        <v>25251405342</v>
      </c>
      <c r="K910">
        <v>1.68</v>
      </c>
    </row>
    <row r="911" spans="1:11" x14ac:dyDescent="0.3">
      <c r="A911" t="s">
        <v>217</v>
      </c>
      <c r="B911" t="s">
        <v>218</v>
      </c>
      <c r="C911">
        <v>2017</v>
      </c>
      <c r="D911">
        <v>23065762296.432999</v>
      </c>
      <c r="E911">
        <v>65712180343</v>
      </c>
      <c r="F911">
        <v>596336</v>
      </c>
      <c r="G911">
        <v>1.3171194230000001</v>
      </c>
      <c r="H911">
        <v>353.793992</v>
      </c>
      <c r="I911">
        <v>76</v>
      </c>
      <c r="J911">
        <v>25676762138</v>
      </c>
      <c r="K911">
        <v>-10.17</v>
      </c>
    </row>
    <row r="912" spans="1:11" x14ac:dyDescent="0.3">
      <c r="A912" t="s">
        <v>217</v>
      </c>
      <c r="B912" t="s">
        <v>218</v>
      </c>
      <c r="C912">
        <v>2018</v>
      </c>
      <c r="D912">
        <v>30296734742.762039</v>
      </c>
      <c r="E912">
        <v>71085623495</v>
      </c>
      <c r="F912">
        <v>607950</v>
      </c>
      <c r="G912">
        <v>1.6112989120000001</v>
      </c>
      <c r="H912">
        <v>361.86544520000001</v>
      </c>
      <c r="I912">
        <v>72</v>
      </c>
      <c r="J912">
        <v>23065762296.432999</v>
      </c>
      <c r="K912">
        <v>31.35</v>
      </c>
    </row>
    <row r="913" spans="1:11" x14ac:dyDescent="0.3">
      <c r="A913" t="s">
        <v>217</v>
      </c>
      <c r="B913" t="s">
        <v>218</v>
      </c>
      <c r="C913">
        <v>2019</v>
      </c>
      <c r="D913">
        <v>29334893820.907005</v>
      </c>
      <c r="E913">
        <v>69872035114</v>
      </c>
      <c r="F913">
        <v>620001</v>
      </c>
      <c r="G913">
        <v>2.7493209190000001</v>
      </c>
      <c r="H913">
        <v>382.66078060000001</v>
      </c>
      <c r="I913">
        <v>72</v>
      </c>
      <c r="J913">
        <v>30296734742.762039</v>
      </c>
      <c r="K913">
        <v>-3.17</v>
      </c>
    </row>
    <row r="914" spans="1:11" x14ac:dyDescent="0.3">
      <c r="A914" t="s">
        <v>217</v>
      </c>
      <c r="B914" t="s">
        <v>218</v>
      </c>
      <c r="C914">
        <v>2020</v>
      </c>
      <c r="D914">
        <v>27012106891.128002</v>
      </c>
      <c r="E914">
        <v>73670782100</v>
      </c>
      <c r="F914">
        <v>630419</v>
      </c>
      <c r="G914">
        <v>-0.51005163399999998</v>
      </c>
      <c r="H914">
        <v>375.5813948</v>
      </c>
      <c r="I914">
        <v>71</v>
      </c>
      <c r="J914">
        <v>29334893820.907005</v>
      </c>
      <c r="K914">
        <v>-7.92</v>
      </c>
    </row>
    <row r="915" spans="1:11" x14ac:dyDescent="0.3">
      <c r="A915" t="s">
        <v>217</v>
      </c>
      <c r="B915" t="s">
        <v>218</v>
      </c>
      <c r="C915">
        <v>2021</v>
      </c>
      <c r="D915">
        <v>32494253084.275021</v>
      </c>
      <c r="E915">
        <v>86386759695</v>
      </c>
      <c r="F915">
        <v>640064</v>
      </c>
      <c r="G915">
        <v>6.9297327080000004</v>
      </c>
      <c r="H915">
        <v>397.5061809</v>
      </c>
      <c r="I915">
        <v>71</v>
      </c>
      <c r="J915">
        <v>27012106891.128002</v>
      </c>
      <c r="K915">
        <v>20.3</v>
      </c>
    </row>
    <row r="916" spans="1:11" x14ac:dyDescent="0.3">
      <c r="A916" t="s">
        <v>217</v>
      </c>
      <c r="B916" t="s">
        <v>218</v>
      </c>
      <c r="C916">
        <v>2022</v>
      </c>
      <c r="D916">
        <v>33532226646.890991</v>
      </c>
      <c r="E916">
        <v>80801680397</v>
      </c>
      <c r="F916">
        <v>653103</v>
      </c>
      <c r="G916">
        <v>-1.097412563</v>
      </c>
      <c r="H916">
        <v>412.17716990000002</v>
      </c>
      <c r="I916">
        <v>71</v>
      </c>
      <c r="J916">
        <v>32494253084.275021</v>
      </c>
      <c r="K916">
        <v>3.19</v>
      </c>
    </row>
    <row r="917" spans="1:11" x14ac:dyDescent="0.3">
      <c r="A917" t="s">
        <v>217</v>
      </c>
      <c r="B917" t="s">
        <v>218</v>
      </c>
      <c r="C917">
        <v>2023</v>
      </c>
      <c r="D917">
        <v>32735226824.945999</v>
      </c>
      <c r="E917">
        <v>88788881539</v>
      </c>
      <c r="F917">
        <v>666430</v>
      </c>
      <c r="G917">
        <v>9.9437058999999994E-2</v>
      </c>
      <c r="H917">
        <v>402.56696820000002</v>
      </c>
      <c r="I917">
        <v>70</v>
      </c>
      <c r="J917">
        <v>33532226646.890991</v>
      </c>
      <c r="K917">
        <v>-2.38</v>
      </c>
    </row>
    <row r="918" spans="1:11" x14ac:dyDescent="0.3">
      <c r="A918" t="s">
        <v>217</v>
      </c>
      <c r="B918" t="s">
        <v>218</v>
      </c>
      <c r="C918">
        <v>2024</v>
      </c>
      <c r="D918">
        <v>31271074936.86301</v>
      </c>
      <c r="E918">
        <v>93279851863</v>
      </c>
      <c r="F918">
        <v>677012</v>
      </c>
      <c r="G918">
        <v>0.35861400399999999</v>
      </c>
      <c r="H918">
        <v>351.26792119999999</v>
      </c>
      <c r="I918">
        <v>68</v>
      </c>
      <c r="J918">
        <v>32735226824.945999</v>
      </c>
      <c r="K918">
        <v>-4.47</v>
      </c>
    </row>
    <row r="919" spans="1:11" x14ac:dyDescent="0.3">
      <c r="A919" t="s">
        <v>219</v>
      </c>
      <c r="B919" t="s">
        <v>220</v>
      </c>
      <c r="C919">
        <v>2015</v>
      </c>
      <c r="D919">
        <v>22851579572.558987</v>
      </c>
      <c r="E919">
        <v>26344565877</v>
      </c>
      <c r="F919">
        <v>1977527</v>
      </c>
      <c r="G919">
        <v>3.7833671209999999</v>
      </c>
      <c r="H919">
        <v>126.38001439999999</v>
      </c>
      <c r="I919">
        <v>75</v>
      </c>
    </row>
    <row r="920" spans="1:11" x14ac:dyDescent="0.3">
      <c r="A920" t="s">
        <v>219</v>
      </c>
      <c r="B920" t="s">
        <v>220</v>
      </c>
      <c r="C920">
        <v>2016</v>
      </c>
      <c r="D920">
        <v>23222841780.425991</v>
      </c>
      <c r="E920">
        <v>27117105060</v>
      </c>
      <c r="F920">
        <v>1959537</v>
      </c>
      <c r="G920">
        <v>2.55168602</v>
      </c>
      <c r="H920">
        <v>123.3305184</v>
      </c>
      <c r="I920">
        <v>73</v>
      </c>
      <c r="J920">
        <v>22851579572.558987</v>
      </c>
      <c r="K920">
        <v>1.62</v>
      </c>
    </row>
    <row r="921" spans="1:11" x14ac:dyDescent="0.3">
      <c r="A921" t="s">
        <v>219</v>
      </c>
      <c r="B921" t="s">
        <v>220</v>
      </c>
      <c r="C921">
        <v>2017</v>
      </c>
      <c r="D921">
        <v>25952637597.312988</v>
      </c>
      <c r="E921">
        <v>29391059767</v>
      </c>
      <c r="F921">
        <v>1942248</v>
      </c>
      <c r="G921">
        <v>3.398948726</v>
      </c>
      <c r="H921">
        <v>128.7140033</v>
      </c>
      <c r="I921">
        <v>72</v>
      </c>
      <c r="J921">
        <v>23222841780.425991</v>
      </c>
      <c r="K921">
        <v>11.75</v>
      </c>
    </row>
    <row r="922" spans="1:11" x14ac:dyDescent="0.3">
      <c r="A922" t="s">
        <v>219</v>
      </c>
      <c r="B922" t="s">
        <v>220</v>
      </c>
      <c r="C922">
        <v>2018</v>
      </c>
      <c r="D922">
        <v>29300707756.784012</v>
      </c>
      <c r="E922">
        <v>33247935477</v>
      </c>
      <c r="F922">
        <v>1927174</v>
      </c>
      <c r="G922">
        <v>4.3097128629999997</v>
      </c>
      <c r="H922">
        <v>128.23409559999999</v>
      </c>
      <c r="I922">
        <v>73</v>
      </c>
      <c r="J922">
        <v>25952637597.312988</v>
      </c>
      <c r="K922">
        <v>12.9</v>
      </c>
    </row>
    <row r="923" spans="1:11" x14ac:dyDescent="0.3">
      <c r="A923" t="s">
        <v>219</v>
      </c>
      <c r="B923" t="s">
        <v>220</v>
      </c>
      <c r="C923">
        <v>2019</v>
      </c>
      <c r="D923">
        <v>29003684658.076004</v>
      </c>
      <c r="E923">
        <v>33099503951</v>
      </c>
      <c r="F923">
        <v>1913822</v>
      </c>
      <c r="G923">
        <v>0.67537277200000001</v>
      </c>
      <c r="H923">
        <v>125.2916317</v>
      </c>
      <c r="I923">
        <v>73</v>
      </c>
      <c r="J923">
        <v>29300707756.784012</v>
      </c>
      <c r="K923">
        <v>-1.01</v>
      </c>
    </row>
    <row r="924" spans="1:11" x14ac:dyDescent="0.3">
      <c r="A924" t="s">
        <v>219</v>
      </c>
      <c r="B924" t="s">
        <v>220</v>
      </c>
      <c r="C924">
        <v>2020</v>
      </c>
      <c r="D924">
        <v>30392527774.843994</v>
      </c>
      <c r="E924">
        <v>33379927435</v>
      </c>
      <c r="F924">
        <v>1900449</v>
      </c>
      <c r="G924">
        <v>-3.4692275079999999</v>
      </c>
      <c r="H924">
        <v>123.88319799999999</v>
      </c>
      <c r="I924">
        <v>67</v>
      </c>
      <c r="J924">
        <v>29003684658.076004</v>
      </c>
      <c r="K924">
        <v>4.79</v>
      </c>
    </row>
    <row r="925" spans="1:11" x14ac:dyDescent="0.3">
      <c r="A925" t="s">
        <v>219</v>
      </c>
      <c r="B925" t="s">
        <v>220</v>
      </c>
      <c r="C925">
        <v>2021</v>
      </c>
      <c r="D925">
        <v>38917643832.540977</v>
      </c>
      <c r="E925">
        <v>38183326785</v>
      </c>
      <c r="F925">
        <v>1884490</v>
      </c>
      <c r="G925">
        <v>6.9425417310000004</v>
      </c>
      <c r="H925">
        <v>136.79661540000001</v>
      </c>
      <c r="I925">
        <v>67</v>
      </c>
      <c r="J925">
        <v>30392527774.843994</v>
      </c>
      <c r="K925">
        <v>28.05</v>
      </c>
    </row>
    <row r="926" spans="1:11" x14ac:dyDescent="0.3">
      <c r="A926" t="s">
        <v>219</v>
      </c>
      <c r="B926" t="s">
        <v>220</v>
      </c>
      <c r="C926">
        <v>2022</v>
      </c>
      <c r="D926">
        <v>44932469328.657005</v>
      </c>
      <c r="E926">
        <v>38003198509</v>
      </c>
      <c r="F926">
        <v>1879383</v>
      </c>
      <c r="G926">
        <v>1.9085341899999999</v>
      </c>
      <c r="H926">
        <v>159.89277820000001</v>
      </c>
      <c r="I926">
        <v>65</v>
      </c>
      <c r="J926">
        <v>38917643832.540977</v>
      </c>
      <c r="K926">
        <v>15.46</v>
      </c>
    </row>
    <row r="927" spans="1:11" x14ac:dyDescent="0.3">
      <c r="A927" t="s">
        <v>219</v>
      </c>
      <c r="B927" t="s">
        <v>220</v>
      </c>
      <c r="C927">
        <v>2023</v>
      </c>
      <c r="D927">
        <v>41079956864.104019</v>
      </c>
      <c r="E927">
        <v>42779550937</v>
      </c>
      <c r="F927">
        <v>1883710</v>
      </c>
      <c r="G927">
        <v>-0.94160606899999999</v>
      </c>
      <c r="H927">
        <v>135.64298919999999</v>
      </c>
      <c r="I927">
        <v>65</v>
      </c>
      <c r="J927">
        <v>44932469328.657005</v>
      </c>
      <c r="K927">
        <v>-8.57</v>
      </c>
    </row>
    <row r="928" spans="1:11" x14ac:dyDescent="0.3">
      <c r="A928" t="s">
        <v>219</v>
      </c>
      <c r="B928" t="s">
        <v>220</v>
      </c>
      <c r="C928">
        <v>2024</v>
      </c>
      <c r="D928">
        <v>39483073284.635971</v>
      </c>
      <c r="E928">
        <v>44001275013</v>
      </c>
      <c r="F928">
        <v>1866124</v>
      </c>
      <c r="G928">
        <v>-3.7055665000000002E-2</v>
      </c>
      <c r="H928">
        <v>131.30958240000001</v>
      </c>
      <c r="I928">
        <v>66</v>
      </c>
      <c r="J928">
        <v>41079956864.104019</v>
      </c>
      <c r="K928">
        <v>-3.89</v>
      </c>
    </row>
    <row r="929" spans="1:11" x14ac:dyDescent="0.3">
      <c r="A929" t="s">
        <v>221</v>
      </c>
      <c r="B929" t="s">
        <v>222</v>
      </c>
      <c r="C929">
        <v>2015</v>
      </c>
      <c r="D929">
        <v>2678025238</v>
      </c>
      <c r="E929">
        <v>44940613353</v>
      </c>
      <c r="F929">
        <v>642900</v>
      </c>
      <c r="G929">
        <v>-21.75400788</v>
      </c>
      <c r="H929">
        <v>119.2504368</v>
      </c>
      <c r="I929">
        <v>125</v>
      </c>
    </row>
    <row r="930" spans="1:11" x14ac:dyDescent="0.3">
      <c r="A930" t="s">
        <v>221</v>
      </c>
      <c r="B930" t="s">
        <v>222</v>
      </c>
      <c r="C930">
        <v>2016</v>
      </c>
      <c r="D930">
        <v>2513206198</v>
      </c>
      <c r="E930">
        <v>44964868324</v>
      </c>
      <c r="F930">
        <v>652500</v>
      </c>
      <c r="G930">
        <v>-0.70151021300000005</v>
      </c>
      <c r="H930">
        <v>112.8902327</v>
      </c>
      <c r="I930">
        <v>128</v>
      </c>
      <c r="J930">
        <v>2678025238</v>
      </c>
      <c r="K930">
        <v>-6.15</v>
      </c>
    </row>
    <row r="931" spans="1:11" x14ac:dyDescent="0.3">
      <c r="A931" t="s">
        <v>221</v>
      </c>
      <c r="B931" t="s">
        <v>222</v>
      </c>
      <c r="C931">
        <v>2017</v>
      </c>
      <c r="D931">
        <v>1993330464.6949995</v>
      </c>
      <c r="E931">
        <v>50297028371</v>
      </c>
      <c r="F931">
        <v>648400</v>
      </c>
      <c r="G931">
        <v>9.9185584450000004</v>
      </c>
      <c r="H931">
        <v>115.45466260000001</v>
      </c>
      <c r="I931">
        <v>132</v>
      </c>
      <c r="J931">
        <v>2513206198</v>
      </c>
      <c r="K931">
        <v>-20.69</v>
      </c>
    </row>
    <row r="932" spans="1:11" x14ac:dyDescent="0.3">
      <c r="A932" t="s">
        <v>221</v>
      </c>
      <c r="B932" t="s">
        <v>222</v>
      </c>
      <c r="C932">
        <v>2018</v>
      </c>
      <c r="D932">
        <v>2313183743.1789989</v>
      </c>
      <c r="E932">
        <v>55076322634</v>
      </c>
      <c r="F932">
        <v>658900</v>
      </c>
      <c r="G932">
        <v>6.3591703060000002</v>
      </c>
      <c r="H932">
        <v>116.56867680000001</v>
      </c>
      <c r="I932">
        <v>127</v>
      </c>
      <c r="J932">
        <v>1993330464.6949995</v>
      </c>
      <c r="K932">
        <v>16.05</v>
      </c>
    </row>
    <row r="933" spans="1:11" x14ac:dyDescent="0.3">
      <c r="A933" t="s">
        <v>221</v>
      </c>
      <c r="B933" t="s">
        <v>222</v>
      </c>
      <c r="C933">
        <v>2019</v>
      </c>
      <c r="D933">
        <v>2047966062.1010001</v>
      </c>
      <c r="E933">
        <v>55025172016</v>
      </c>
      <c r="F933">
        <v>672000</v>
      </c>
      <c r="G933">
        <v>-2.4609094009999999</v>
      </c>
      <c r="H933">
        <v>115.2312989</v>
      </c>
      <c r="I933">
        <v>129</v>
      </c>
      <c r="J933">
        <v>2313183743.1789989</v>
      </c>
      <c r="K933">
        <v>-11.47</v>
      </c>
    </row>
    <row r="934" spans="1:11" x14ac:dyDescent="0.3">
      <c r="A934" t="s">
        <v>221</v>
      </c>
      <c r="B934" t="s">
        <v>222</v>
      </c>
      <c r="C934">
        <v>2020</v>
      </c>
      <c r="D934">
        <v>2049163060.5519998</v>
      </c>
      <c r="E934">
        <v>25280064168</v>
      </c>
      <c r="F934">
        <v>685400</v>
      </c>
      <c r="G934">
        <v>-54.402092580000001</v>
      </c>
      <c r="H934">
        <v>123.4343744</v>
      </c>
      <c r="I934">
        <v>127</v>
      </c>
      <c r="J934">
        <v>2047966062.1010001</v>
      </c>
      <c r="K934">
        <v>0.06</v>
      </c>
    </row>
    <row r="935" spans="1:11" x14ac:dyDescent="0.3">
      <c r="A935" t="s">
        <v>221</v>
      </c>
      <c r="B935" t="s">
        <v>222</v>
      </c>
      <c r="C935">
        <v>2021</v>
      </c>
      <c r="D935">
        <v>2784849801.1069999</v>
      </c>
      <c r="E935">
        <v>30633941629</v>
      </c>
      <c r="F935">
        <v>682500</v>
      </c>
      <c r="G935">
        <v>22.462202000000001</v>
      </c>
      <c r="H935">
        <v>171.3159708</v>
      </c>
      <c r="I935">
        <v>130</v>
      </c>
      <c r="J935">
        <v>2049163060.5519998</v>
      </c>
      <c r="K935">
        <v>35.9</v>
      </c>
    </row>
    <row r="936" spans="1:11" x14ac:dyDescent="0.3">
      <c r="A936" t="s">
        <v>221</v>
      </c>
      <c r="B936" t="s">
        <v>222</v>
      </c>
      <c r="C936">
        <v>2022</v>
      </c>
      <c r="D936">
        <v>2733475553.6699991</v>
      </c>
      <c r="E936">
        <v>24929307447</v>
      </c>
      <c r="F936">
        <v>677300</v>
      </c>
      <c r="G936">
        <v>-18.956941489999998</v>
      </c>
      <c r="H936">
        <v>170.3680493</v>
      </c>
      <c r="I936">
        <v>127</v>
      </c>
      <c r="J936">
        <v>2784849801.1069999</v>
      </c>
      <c r="K936">
        <v>-1.84</v>
      </c>
    </row>
    <row r="937" spans="1:11" x14ac:dyDescent="0.3">
      <c r="A937" t="s">
        <v>221</v>
      </c>
      <c r="B937" t="s">
        <v>222</v>
      </c>
      <c r="C937">
        <v>2023</v>
      </c>
      <c r="D937">
        <v>2443104894.1480007</v>
      </c>
      <c r="E937">
        <v>45626467280</v>
      </c>
      <c r="F937">
        <v>678800</v>
      </c>
      <c r="G937">
        <v>75.308418430000003</v>
      </c>
      <c r="H937">
        <v>145.87446729999999</v>
      </c>
      <c r="I937">
        <v>126</v>
      </c>
      <c r="J937">
        <v>2733475553.6699991</v>
      </c>
      <c r="K937">
        <v>-10.62</v>
      </c>
    </row>
    <row r="938" spans="1:11" x14ac:dyDescent="0.3">
      <c r="A938" t="s">
        <v>221</v>
      </c>
      <c r="B938" t="s">
        <v>222</v>
      </c>
      <c r="C938">
        <v>2024</v>
      </c>
      <c r="D938">
        <v>2139265293.0529995</v>
      </c>
      <c r="E938">
        <v>49467258923</v>
      </c>
      <c r="F938">
        <v>687000</v>
      </c>
      <c r="G938">
        <v>7.8496020700000004</v>
      </c>
      <c r="H938">
        <v>142.07943460000001</v>
      </c>
      <c r="I938">
        <v>112</v>
      </c>
      <c r="J938">
        <v>2443104894.1480007</v>
      </c>
      <c r="K938">
        <v>-12.44</v>
      </c>
    </row>
    <row r="939" spans="1:11" x14ac:dyDescent="0.3">
      <c r="A939" t="s">
        <v>223</v>
      </c>
      <c r="B939" t="s">
        <v>224</v>
      </c>
      <c r="C939">
        <v>2015</v>
      </c>
      <c r="D939">
        <v>44673870798.936028</v>
      </c>
      <c r="E939">
        <v>110000000000</v>
      </c>
      <c r="F939">
        <v>34607588</v>
      </c>
      <c r="G939">
        <v>4.3445829759999999</v>
      </c>
      <c r="H939">
        <v>67.288675929999997</v>
      </c>
      <c r="I939">
        <v>61</v>
      </c>
    </row>
    <row r="940" spans="1:11" x14ac:dyDescent="0.3">
      <c r="A940" t="s">
        <v>223</v>
      </c>
      <c r="B940" t="s">
        <v>224</v>
      </c>
      <c r="C940">
        <v>2016</v>
      </c>
      <c r="D940">
        <v>45716577045</v>
      </c>
      <c r="E940">
        <v>112000000000</v>
      </c>
      <c r="F940">
        <v>35023457</v>
      </c>
      <c r="G940">
        <v>0.52118550600000002</v>
      </c>
      <c r="H940">
        <v>71.122660379999999</v>
      </c>
      <c r="I940">
        <v>62</v>
      </c>
      <c r="J940">
        <v>44673870798.936028</v>
      </c>
      <c r="K940">
        <v>2.33</v>
      </c>
    </row>
    <row r="941" spans="1:11" x14ac:dyDescent="0.3">
      <c r="A941" t="s">
        <v>223</v>
      </c>
      <c r="B941" t="s">
        <v>224</v>
      </c>
      <c r="C941">
        <v>2017</v>
      </c>
      <c r="D941">
        <v>51248595698.96904</v>
      </c>
      <c r="E941">
        <v>119000000000</v>
      </c>
      <c r="F941">
        <v>35446392</v>
      </c>
      <c r="G941">
        <v>5.0578981619999999</v>
      </c>
      <c r="H941">
        <v>74.173357879999998</v>
      </c>
      <c r="I941">
        <v>61</v>
      </c>
      <c r="J941">
        <v>45716577045</v>
      </c>
      <c r="K941">
        <v>12.1</v>
      </c>
    </row>
    <row r="942" spans="1:11" x14ac:dyDescent="0.3">
      <c r="A942" t="s">
        <v>223</v>
      </c>
      <c r="B942" t="s">
        <v>224</v>
      </c>
      <c r="C942">
        <v>2018</v>
      </c>
      <c r="D942">
        <v>58691144233.613991</v>
      </c>
      <c r="E942">
        <v>127000000000</v>
      </c>
      <c r="F942">
        <v>35839760</v>
      </c>
      <c r="G942">
        <v>3.0656413300000001</v>
      </c>
      <c r="H942">
        <v>77.254887519999997</v>
      </c>
      <c r="I942">
        <v>60</v>
      </c>
      <c r="J942">
        <v>51248595698.96904</v>
      </c>
      <c r="K942">
        <v>14.52</v>
      </c>
    </row>
    <row r="943" spans="1:11" x14ac:dyDescent="0.3">
      <c r="A943" t="s">
        <v>223</v>
      </c>
      <c r="B943" t="s">
        <v>224</v>
      </c>
      <c r="C943">
        <v>2019</v>
      </c>
      <c r="D943">
        <v>59164798152.099052</v>
      </c>
      <c r="E943">
        <v>129000000000</v>
      </c>
      <c r="F943">
        <v>36210898</v>
      </c>
      <c r="G943">
        <v>2.8909747609999998</v>
      </c>
      <c r="H943">
        <v>75.99811588</v>
      </c>
      <c r="I943">
        <v>59</v>
      </c>
      <c r="J943">
        <v>58691144233.613991</v>
      </c>
      <c r="K943">
        <v>0.81</v>
      </c>
    </row>
    <row r="944" spans="1:11" x14ac:dyDescent="0.3">
      <c r="A944" t="s">
        <v>223</v>
      </c>
      <c r="B944" t="s">
        <v>224</v>
      </c>
      <c r="C944">
        <v>2020</v>
      </c>
      <c r="D944">
        <v>55405449168.841995</v>
      </c>
      <c r="E944">
        <v>121000000000</v>
      </c>
      <c r="F944">
        <v>36584208</v>
      </c>
      <c r="G944">
        <v>-7.1782074419999997</v>
      </c>
      <c r="H944">
        <v>68.843803390000005</v>
      </c>
      <c r="I944">
        <v>58</v>
      </c>
      <c r="J944">
        <v>59164798152.099052</v>
      </c>
      <c r="K944">
        <v>-6.35</v>
      </c>
    </row>
    <row r="945" spans="1:11" x14ac:dyDescent="0.3">
      <c r="A945" t="s">
        <v>223</v>
      </c>
      <c r="B945" t="s">
        <v>224</v>
      </c>
      <c r="C945">
        <v>2021</v>
      </c>
      <c r="D945">
        <v>73170449902.406967</v>
      </c>
      <c r="E945">
        <v>142000000000</v>
      </c>
      <c r="F945">
        <v>36954442</v>
      </c>
      <c r="G945">
        <v>8.1547388979999997</v>
      </c>
      <c r="H945">
        <v>75.523417179999996</v>
      </c>
      <c r="I945">
        <v>58</v>
      </c>
      <c r="J945">
        <v>55405449168.841995</v>
      </c>
      <c r="K945">
        <v>32.06</v>
      </c>
    </row>
    <row r="946" spans="1:11" x14ac:dyDescent="0.3">
      <c r="A946" t="s">
        <v>223</v>
      </c>
      <c r="B946" t="s">
        <v>224</v>
      </c>
      <c r="C946">
        <v>2022</v>
      </c>
      <c r="D946">
        <v>84366941452.703033</v>
      </c>
      <c r="E946">
        <v>131000000000</v>
      </c>
      <c r="F946">
        <v>37329064</v>
      </c>
      <c r="G946">
        <v>1.812692422</v>
      </c>
      <c r="H946">
        <v>100.90631019999999</v>
      </c>
      <c r="I946">
        <v>57</v>
      </c>
      <c r="J946">
        <v>73170449902.406967</v>
      </c>
      <c r="K946">
        <v>15.3</v>
      </c>
    </row>
    <row r="947" spans="1:11" x14ac:dyDescent="0.3">
      <c r="A947" t="s">
        <v>223</v>
      </c>
      <c r="B947" t="s">
        <v>224</v>
      </c>
      <c r="C947">
        <v>2023</v>
      </c>
      <c r="D947">
        <v>84925613739.845978</v>
      </c>
      <c r="E947">
        <v>146000000000</v>
      </c>
      <c r="F947">
        <v>37712505</v>
      </c>
      <c r="G947">
        <v>3.6556441099999999</v>
      </c>
      <c r="H947">
        <v>93.117884419999996</v>
      </c>
      <c r="I947">
        <v>53</v>
      </c>
      <c r="J947">
        <v>84366941452.703033</v>
      </c>
      <c r="K947">
        <v>0.66</v>
      </c>
    </row>
    <row r="948" spans="1:11" x14ac:dyDescent="0.3">
      <c r="A948" t="s">
        <v>223</v>
      </c>
      <c r="B948" t="s">
        <v>224</v>
      </c>
      <c r="C948">
        <v>2024</v>
      </c>
      <c r="D948">
        <v>161137766817.05908</v>
      </c>
      <c r="E948">
        <v>161000000000</v>
      </c>
      <c r="F948">
        <v>38081173</v>
      </c>
      <c r="G948">
        <v>3.79336516</v>
      </c>
      <c r="H948">
        <v>92.187244609999993</v>
      </c>
      <c r="I948">
        <v>37</v>
      </c>
      <c r="J948">
        <v>84925613739.845978</v>
      </c>
      <c r="K948">
        <v>89.74</v>
      </c>
    </row>
    <row r="949" spans="1:11" x14ac:dyDescent="0.3">
      <c r="A949" t="s">
        <v>225</v>
      </c>
      <c r="B949" t="s">
        <v>226</v>
      </c>
      <c r="C949">
        <v>2015</v>
      </c>
      <c r="D949">
        <v>3933674628</v>
      </c>
      <c r="E949">
        <v>7797667197</v>
      </c>
      <c r="F949">
        <v>2835978</v>
      </c>
      <c r="G949">
        <v>-0.33823562200000001</v>
      </c>
      <c r="H949">
        <v>88.966415459999993</v>
      </c>
      <c r="I949">
        <v>117</v>
      </c>
    </row>
    <row r="950" spans="1:11" x14ac:dyDescent="0.3">
      <c r="A950" t="s">
        <v>225</v>
      </c>
      <c r="B950" t="s">
        <v>226</v>
      </c>
      <c r="C950">
        <v>2016</v>
      </c>
      <c r="D950">
        <v>4089077692</v>
      </c>
      <c r="E950">
        <v>7980917076</v>
      </c>
      <c r="F950">
        <v>2803186</v>
      </c>
      <c r="G950">
        <v>4.6460143629999999</v>
      </c>
      <c r="H950">
        <v>89.004683720000003</v>
      </c>
      <c r="I950">
        <v>120</v>
      </c>
      <c r="J950">
        <v>3933674628</v>
      </c>
      <c r="K950">
        <v>3.95</v>
      </c>
    </row>
    <row r="951" spans="1:11" x14ac:dyDescent="0.3">
      <c r="A951" t="s">
        <v>225</v>
      </c>
      <c r="B951" t="s">
        <v>226</v>
      </c>
      <c r="C951">
        <v>2017</v>
      </c>
      <c r="D951">
        <v>4850237504</v>
      </c>
      <c r="E951">
        <v>9514404016</v>
      </c>
      <c r="F951">
        <v>2755189</v>
      </c>
      <c r="G951">
        <v>4.1756120509999999</v>
      </c>
      <c r="H951">
        <v>88.623390279999995</v>
      </c>
      <c r="I951">
        <v>117</v>
      </c>
      <c r="J951">
        <v>4089077692</v>
      </c>
      <c r="K951">
        <v>18.61</v>
      </c>
    </row>
    <row r="952" spans="1:11" x14ac:dyDescent="0.3">
      <c r="A952" t="s">
        <v>225</v>
      </c>
      <c r="B952" t="s">
        <v>226</v>
      </c>
      <c r="C952">
        <v>2018</v>
      </c>
      <c r="D952">
        <v>5413636432</v>
      </c>
      <c r="E952">
        <v>11252353421</v>
      </c>
      <c r="F952">
        <v>2707203</v>
      </c>
      <c r="G952">
        <v>4.0755954660000002</v>
      </c>
      <c r="H952">
        <v>87.446787430000001</v>
      </c>
      <c r="I952">
        <v>116</v>
      </c>
      <c r="J952">
        <v>4850237504</v>
      </c>
      <c r="K952">
        <v>11.62</v>
      </c>
    </row>
    <row r="953" spans="1:11" x14ac:dyDescent="0.3">
      <c r="A953" t="s">
        <v>225</v>
      </c>
      <c r="B953" t="s">
        <v>226</v>
      </c>
      <c r="C953">
        <v>2019</v>
      </c>
      <c r="D953">
        <v>5558329566</v>
      </c>
      <c r="E953">
        <v>11736797055</v>
      </c>
      <c r="F953">
        <v>2664224</v>
      </c>
      <c r="G953">
        <v>3.5523140849999999</v>
      </c>
      <c r="H953">
        <v>87.632237110000005</v>
      </c>
      <c r="I953">
        <v>114</v>
      </c>
      <c r="J953">
        <v>5413636432</v>
      </c>
      <c r="K953">
        <v>2.67</v>
      </c>
    </row>
    <row r="954" spans="1:11" x14ac:dyDescent="0.3">
      <c r="A954" t="s">
        <v>225</v>
      </c>
      <c r="B954" t="s">
        <v>226</v>
      </c>
      <c r="C954">
        <v>2020</v>
      </c>
      <c r="D954">
        <v>4934213026</v>
      </c>
      <c r="E954">
        <v>11530746234</v>
      </c>
      <c r="F954">
        <v>2635130</v>
      </c>
      <c r="G954">
        <v>-8.2759783200000001</v>
      </c>
      <c r="H954">
        <v>79.265722120000007</v>
      </c>
      <c r="I954">
        <v>115</v>
      </c>
      <c r="J954">
        <v>5558329566</v>
      </c>
      <c r="K954">
        <v>-11.23</v>
      </c>
    </row>
    <row r="955" spans="1:11" x14ac:dyDescent="0.3">
      <c r="A955" t="s">
        <v>225</v>
      </c>
      <c r="B955" t="s">
        <v>226</v>
      </c>
      <c r="C955">
        <v>2021</v>
      </c>
      <c r="D955">
        <v>6289009634</v>
      </c>
      <c r="E955">
        <v>13691869264</v>
      </c>
      <c r="F955">
        <v>2595809</v>
      </c>
      <c r="G955">
        <v>13.92999979</v>
      </c>
      <c r="H955">
        <v>88.470886539999995</v>
      </c>
      <c r="I955">
        <v>115</v>
      </c>
      <c r="J955">
        <v>4934213026</v>
      </c>
      <c r="K955">
        <v>27.46</v>
      </c>
    </row>
    <row r="956" spans="1:11" x14ac:dyDescent="0.3">
      <c r="A956" t="s">
        <v>225</v>
      </c>
      <c r="B956" t="s">
        <v>226</v>
      </c>
      <c r="C956">
        <v>2022</v>
      </c>
      <c r="D956">
        <v>8664290906</v>
      </c>
      <c r="E956">
        <v>14525337524</v>
      </c>
      <c r="F956">
        <v>2528654</v>
      </c>
      <c r="G956">
        <v>-4.6478510100000001</v>
      </c>
      <c r="H956">
        <v>112.11767159999999</v>
      </c>
      <c r="I956">
        <v>108</v>
      </c>
      <c r="J956">
        <v>6289009634</v>
      </c>
      <c r="K956">
        <v>37.770000000000003</v>
      </c>
    </row>
    <row r="957" spans="1:11" x14ac:dyDescent="0.3">
      <c r="A957" t="s">
        <v>225</v>
      </c>
      <c r="B957" t="s">
        <v>226</v>
      </c>
      <c r="C957">
        <v>2023</v>
      </c>
      <c r="D957">
        <v>8097233606</v>
      </c>
      <c r="E957">
        <v>16711906746</v>
      </c>
      <c r="F957">
        <v>2457783</v>
      </c>
      <c r="G957">
        <v>1.1880206790000001</v>
      </c>
      <c r="H957">
        <v>93.99462115</v>
      </c>
      <c r="I957">
        <v>112</v>
      </c>
      <c r="J957">
        <v>8664290906</v>
      </c>
      <c r="K957">
        <v>-6.54</v>
      </c>
    </row>
    <row r="958" spans="1:11" x14ac:dyDescent="0.3">
      <c r="A958" t="s">
        <v>225</v>
      </c>
      <c r="B958" t="s">
        <v>226</v>
      </c>
      <c r="C958">
        <v>2024</v>
      </c>
      <c r="D958">
        <v>7110124128</v>
      </c>
      <c r="E958">
        <v>18206842141</v>
      </c>
      <c r="F958">
        <v>2402306</v>
      </c>
      <c r="G958">
        <v>0.270670456</v>
      </c>
      <c r="H958">
        <v>88.892437880000003</v>
      </c>
      <c r="I958">
        <v>103</v>
      </c>
      <c r="J958">
        <v>8097233606</v>
      </c>
      <c r="K958">
        <v>-12.19</v>
      </c>
    </row>
    <row r="959" spans="1:11" x14ac:dyDescent="0.3">
      <c r="A959" t="s">
        <v>227</v>
      </c>
      <c r="B959" t="s">
        <v>228</v>
      </c>
      <c r="C959">
        <v>2015</v>
      </c>
      <c r="D959">
        <v>4266806616.5599966</v>
      </c>
      <c r="E959">
        <v>11323020701</v>
      </c>
      <c r="F959">
        <v>25426702</v>
      </c>
      <c r="G959">
        <v>3.132298075</v>
      </c>
      <c r="H959">
        <v>61.220378840000002</v>
      </c>
      <c r="I959">
        <v>115</v>
      </c>
    </row>
    <row r="960" spans="1:11" x14ac:dyDescent="0.3">
      <c r="A960" t="s">
        <v>227</v>
      </c>
      <c r="B960" t="s">
        <v>228</v>
      </c>
      <c r="C960">
        <v>2016</v>
      </c>
      <c r="D960">
        <v>4528409273.6680002</v>
      </c>
      <c r="E960">
        <v>11848613858</v>
      </c>
      <c r="F960">
        <v>26099952</v>
      </c>
      <c r="G960">
        <v>3.9931460620000001</v>
      </c>
      <c r="H960">
        <v>60.83469848</v>
      </c>
      <c r="I960">
        <v>115</v>
      </c>
      <c r="J960">
        <v>4266806616.5599966</v>
      </c>
      <c r="K960">
        <v>6.13</v>
      </c>
    </row>
    <row r="961" spans="1:11" x14ac:dyDescent="0.3">
      <c r="A961" t="s">
        <v>227</v>
      </c>
      <c r="B961" t="s">
        <v>228</v>
      </c>
      <c r="C961">
        <v>2017</v>
      </c>
      <c r="D961">
        <v>5859084929.249999</v>
      </c>
      <c r="E961">
        <v>13176313594</v>
      </c>
      <c r="F961">
        <v>26788375</v>
      </c>
      <c r="G961">
        <v>3.933307595</v>
      </c>
      <c r="H961">
        <v>65.343401510000007</v>
      </c>
      <c r="I961">
        <v>113</v>
      </c>
      <c r="J961">
        <v>4528409273.6680002</v>
      </c>
      <c r="K961">
        <v>29.39</v>
      </c>
    </row>
    <row r="962" spans="1:11" x14ac:dyDescent="0.3">
      <c r="A962" t="s">
        <v>227</v>
      </c>
      <c r="B962" t="s">
        <v>228</v>
      </c>
      <c r="C962">
        <v>2018</v>
      </c>
      <c r="D962">
        <v>6256178407.8130016</v>
      </c>
      <c r="E962">
        <v>13760033282</v>
      </c>
      <c r="F962">
        <v>27494926</v>
      </c>
      <c r="G962">
        <v>3.1943565170000001</v>
      </c>
      <c r="H962">
        <v>67.841504670000006</v>
      </c>
      <c r="I962">
        <v>113</v>
      </c>
      <c r="J962">
        <v>5859084929.249999</v>
      </c>
      <c r="K962">
        <v>6.78</v>
      </c>
    </row>
    <row r="963" spans="1:11" x14ac:dyDescent="0.3">
      <c r="A963" t="s">
        <v>227</v>
      </c>
      <c r="B963" t="s">
        <v>228</v>
      </c>
      <c r="C963">
        <v>2019</v>
      </c>
      <c r="D963">
        <v>5365023737.2840042</v>
      </c>
      <c r="E963">
        <v>14104664679</v>
      </c>
      <c r="F963">
        <v>28219554</v>
      </c>
      <c r="G963">
        <v>4.4112321290000001</v>
      </c>
      <c r="H963">
        <v>62.601323049999998</v>
      </c>
      <c r="I963">
        <v>117</v>
      </c>
      <c r="J963">
        <v>6256178407.8130016</v>
      </c>
      <c r="K963">
        <v>-14.24</v>
      </c>
    </row>
    <row r="964" spans="1:11" x14ac:dyDescent="0.3">
      <c r="A964" t="s">
        <v>227</v>
      </c>
      <c r="B964" t="s">
        <v>228</v>
      </c>
      <c r="C964">
        <v>2020</v>
      </c>
      <c r="D964">
        <v>4037883562.703002</v>
      </c>
      <c r="E964">
        <v>13051441204</v>
      </c>
      <c r="F964">
        <v>28953556</v>
      </c>
      <c r="G964">
        <v>-7.137671621</v>
      </c>
      <c r="H964">
        <v>49.010707369999999</v>
      </c>
      <c r="I964">
        <v>119</v>
      </c>
      <c r="J964">
        <v>5365023737.2840042</v>
      </c>
      <c r="K964">
        <v>-24.74</v>
      </c>
    </row>
    <row r="965" spans="1:11" x14ac:dyDescent="0.3">
      <c r="A965" t="s">
        <v>227</v>
      </c>
      <c r="B965" t="s">
        <v>228</v>
      </c>
      <c r="C965">
        <v>2021</v>
      </c>
      <c r="D965">
        <v>5576990951.5260029</v>
      </c>
      <c r="E965">
        <v>14354731964</v>
      </c>
      <c r="F965">
        <v>29691083</v>
      </c>
      <c r="G965">
        <v>4.6506834320000001</v>
      </c>
      <c r="H965">
        <v>55.215858590000003</v>
      </c>
      <c r="I965">
        <v>119</v>
      </c>
      <c r="J965">
        <v>4037883562.703002</v>
      </c>
      <c r="K965">
        <v>38.119999999999997</v>
      </c>
    </row>
    <row r="966" spans="1:11" x14ac:dyDescent="0.3">
      <c r="A966" t="s">
        <v>227</v>
      </c>
      <c r="B966" t="s">
        <v>228</v>
      </c>
      <c r="C966">
        <v>2022</v>
      </c>
      <c r="D966">
        <v>7442912481.8119936</v>
      </c>
      <c r="E966">
        <v>15342178598</v>
      </c>
      <c r="F966">
        <v>30437261</v>
      </c>
      <c r="G966">
        <v>4.1375353500000003</v>
      </c>
      <c r="H966">
        <v>70.470854680000002</v>
      </c>
      <c r="I966">
        <v>113</v>
      </c>
      <c r="J966">
        <v>5576990951.5260029</v>
      </c>
      <c r="K966">
        <v>33.46</v>
      </c>
    </row>
    <row r="967" spans="1:11" x14ac:dyDescent="0.3">
      <c r="A967" t="s">
        <v>227</v>
      </c>
      <c r="B967" t="s">
        <v>228</v>
      </c>
      <c r="C967">
        <v>2023</v>
      </c>
      <c r="D967">
        <v>6565699087.0879965</v>
      </c>
      <c r="E967">
        <v>16036707976</v>
      </c>
      <c r="F967">
        <v>31195932</v>
      </c>
      <c r="G967">
        <v>4.2308658069999998</v>
      </c>
      <c r="H967">
        <v>62.762214759999999</v>
      </c>
      <c r="I967">
        <v>117</v>
      </c>
      <c r="J967">
        <v>7442912481.8119936</v>
      </c>
      <c r="K967">
        <v>-11.79</v>
      </c>
    </row>
    <row r="968" spans="1:11" x14ac:dyDescent="0.3">
      <c r="A968" t="s">
        <v>227</v>
      </c>
      <c r="B968" t="s">
        <v>228</v>
      </c>
      <c r="C968">
        <v>2024</v>
      </c>
      <c r="D968">
        <v>5114126740.7000008</v>
      </c>
      <c r="E968">
        <v>17592832696</v>
      </c>
      <c r="F968">
        <v>31964956</v>
      </c>
      <c r="G968">
        <v>4.322837281</v>
      </c>
      <c r="H968">
        <v>57.537021330000002</v>
      </c>
      <c r="I968">
        <v>104</v>
      </c>
      <c r="J968">
        <v>6565699087.0879965</v>
      </c>
      <c r="K968">
        <v>-22.11</v>
      </c>
    </row>
    <row r="969" spans="1:11" x14ac:dyDescent="0.3">
      <c r="A969" t="s">
        <v>229</v>
      </c>
      <c r="B969" t="s">
        <v>230</v>
      </c>
      <c r="C969">
        <v>2015</v>
      </c>
      <c r="D969">
        <v>288344708</v>
      </c>
      <c r="E969">
        <v>4129505319</v>
      </c>
      <c r="F969">
        <v>428154</v>
      </c>
      <c r="G969">
        <v>3.8681353650000001</v>
      </c>
      <c r="H969">
        <v>143.72050669999999</v>
      </c>
      <c r="I969">
        <v>151</v>
      </c>
    </row>
    <row r="970" spans="1:11" x14ac:dyDescent="0.3">
      <c r="A970" t="s">
        <v>229</v>
      </c>
      <c r="B970" t="s">
        <v>230</v>
      </c>
      <c r="C970">
        <v>2016</v>
      </c>
      <c r="D970">
        <v>279185582</v>
      </c>
      <c r="E970">
        <v>4409942624</v>
      </c>
      <c r="F970">
        <v>443308</v>
      </c>
      <c r="G970">
        <v>6.3752830669999998</v>
      </c>
      <c r="H970">
        <v>144.38021230000001</v>
      </c>
      <c r="I970">
        <v>153</v>
      </c>
      <c r="J970">
        <v>288344708</v>
      </c>
      <c r="K970">
        <v>-3.18</v>
      </c>
    </row>
    <row r="971" spans="1:11" x14ac:dyDescent="0.3">
      <c r="A971" t="s">
        <v>229</v>
      </c>
      <c r="B971" t="s">
        <v>230</v>
      </c>
      <c r="C971">
        <v>2017</v>
      </c>
      <c r="D971">
        <v>398690558.71099997</v>
      </c>
      <c r="E971">
        <v>4816426257</v>
      </c>
      <c r="F971">
        <v>458287</v>
      </c>
      <c r="G971">
        <v>7.0744286320000001</v>
      </c>
      <c r="H971">
        <v>141.91211060000001</v>
      </c>
      <c r="I971">
        <v>149</v>
      </c>
      <c r="J971">
        <v>279185582</v>
      </c>
      <c r="K971">
        <v>42.8</v>
      </c>
    </row>
    <row r="972" spans="1:11" x14ac:dyDescent="0.3">
      <c r="A972" t="s">
        <v>229</v>
      </c>
      <c r="B972" t="s">
        <v>230</v>
      </c>
      <c r="C972">
        <v>2018</v>
      </c>
      <c r="D972">
        <v>363422802.16200012</v>
      </c>
      <c r="E972">
        <v>5404344163</v>
      </c>
      <c r="F972">
        <v>473099</v>
      </c>
      <c r="G972">
        <v>8.5689555829999993</v>
      </c>
      <c r="H972">
        <v>142.4911285</v>
      </c>
      <c r="I972">
        <v>149</v>
      </c>
      <c r="J972">
        <v>398690558.71099997</v>
      </c>
      <c r="K972">
        <v>-8.85</v>
      </c>
    </row>
    <row r="973" spans="1:11" x14ac:dyDescent="0.3">
      <c r="A973" t="s">
        <v>229</v>
      </c>
      <c r="B973" t="s">
        <v>230</v>
      </c>
      <c r="C973">
        <v>2019</v>
      </c>
      <c r="D973">
        <v>316030956.43999994</v>
      </c>
      <c r="E973">
        <v>5726094799</v>
      </c>
      <c r="F973">
        <v>487731</v>
      </c>
      <c r="G973">
        <v>6.9230598910000003</v>
      </c>
      <c r="H973">
        <v>137.12523089999999</v>
      </c>
      <c r="I973">
        <v>148</v>
      </c>
      <c r="J973">
        <v>363422802.16200012</v>
      </c>
      <c r="K973">
        <v>-13.04</v>
      </c>
    </row>
    <row r="974" spans="1:11" x14ac:dyDescent="0.3">
      <c r="A974" t="s">
        <v>229</v>
      </c>
      <c r="B974" t="s">
        <v>230</v>
      </c>
      <c r="C974">
        <v>2020</v>
      </c>
      <c r="D974">
        <v>325629577.79400003</v>
      </c>
      <c r="E974">
        <v>3712604583</v>
      </c>
      <c r="F974">
        <v>502118</v>
      </c>
      <c r="G974">
        <v>-32.90882878</v>
      </c>
      <c r="H974">
        <v>114.3619029</v>
      </c>
      <c r="I974">
        <v>145</v>
      </c>
      <c r="J974">
        <v>316030956.43999994</v>
      </c>
      <c r="K974">
        <v>3.04</v>
      </c>
    </row>
    <row r="975" spans="1:11" x14ac:dyDescent="0.3">
      <c r="A975" t="s">
        <v>229</v>
      </c>
      <c r="B975" t="s">
        <v>230</v>
      </c>
      <c r="C975">
        <v>2021</v>
      </c>
      <c r="D975">
        <v>302586532.98200005</v>
      </c>
      <c r="E975">
        <v>5252457370</v>
      </c>
      <c r="F975">
        <v>516154</v>
      </c>
      <c r="G975">
        <v>37.50787012</v>
      </c>
      <c r="H975">
        <v>142.60729670000001</v>
      </c>
      <c r="I975">
        <v>148</v>
      </c>
      <c r="J975">
        <v>325629577.79400003</v>
      </c>
      <c r="K975">
        <v>-7.08</v>
      </c>
    </row>
    <row r="976" spans="1:11" x14ac:dyDescent="0.3">
      <c r="A976" t="s">
        <v>229</v>
      </c>
      <c r="B976" t="s">
        <v>230</v>
      </c>
      <c r="C976">
        <v>2022</v>
      </c>
      <c r="D976">
        <v>316799783.28300005</v>
      </c>
      <c r="E976">
        <v>6177123352</v>
      </c>
      <c r="F976">
        <v>524106</v>
      </c>
      <c r="G976">
        <v>13.82608952</v>
      </c>
      <c r="H976">
        <v>162.24343289999999</v>
      </c>
      <c r="I976">
        <v>146</v>
      </c>
      <c r="J976">
        <v>302586532.98200005</v>
      </c>
      <c r="K976">
        <v>4.7</v>
      </c>
    </row>
    <row r="977" spans="1:11" x14ac:dyDescent="0.3">
      <c r="A977" t="s">
        <v>229</v>
      </c>
      <c r="B977" t="s">
        <v>230</v>
      </c>
      <c r="C977">
        <v>2023</v>
      </c>
      <c r="D977">
        <v>324110203.26200002</v>
      </c>
      <c r="E977">
        <v>6621008704</v>
      </c>
      <c r="F977">
        <v>525994</v>
      </c>
      <c r="G977">
        <v>4.9428630120000001</v>
      </c>
      <c r="H977">
        <v>149.34997619999999</v>
      </c>
      <c r="I977">
        <v>143</v>
      </c>
      <c r="J977">
        <v>316799783.28300005</v>
      </c>
      <c r="K977">
        <v>2.31</v>
      </c>
    </row>
    <row r="978" spans="1:11" x14ac:dyDescent="0.3">
      <c r="A978" t="s">
        <v>229</v>
      </c>
      <c r="B978" t="s">
        <v>230</v>
      </c>
      <c r="C978">
        <v>2024</v>
      </c>
      <c r="D978">
        <v>184836994.70699996</v>
      </c>
      <c r="E978">
        <v>7061608267</v>
      </c>
      <c r="F978">
        <v>527799</v>
      </c>
      <c r="G978">
        <v>3.494404227</v>
      </c>
      <c r="H978">
        <v>156.4739557</v>
      </c>
      <c r="I978">
        <v>123</v>
      </c>
      <c r="J978">
        <v>324110203.26200002</v>
      </c>
      <c r="K978">
        <v>-42.97</v>
      </c>
    </row>
    <row r="979" spans="1:11" x14ac:dyDescent="0.3">
      <c r="A979" t="s">
        <v>231</v>
      </c>
      <c r="B979" t="s">
        <v>232</v>
      </c>
      <c r="C979">
        <v>2015</v>
      </c>
      <c r="D979">
        <v>761112177364</v>
      </c>
      <c r="E979">
        <v>1210000000000</v>
      </c>
      <c r="F979">
        <v>121072306</v>
      </c>
      <c r="G979">
        <v>2.7023234299999999</v>
      </c>
      <c r="H979">
        <v>70.412974680000005</v>
      </c>
      <c r="I979">
        <v>11</v>
      </c>
    </row>
    <row r="980" spans="1:11" x14ac:dyDescent="0.3">
      <c r="A980" t="s">
        <v>231</v>
      </c>
      <c r="B980" t="s">
        <v>232</v>
      </c>
      <c r="C980">
        <v>2016</v>
      </c>
      <c r="D980">
        <v>747907227680</v>
      </c>
      <c r="E980">
        <v>1110000000000</v>
      </c>
      <c r="F980">
        <v>122251351</v>
      </c>
      <c r="G980">
        <v>1.7724932250000001</v>
      </c>
      <c r="H980">
        <v>75.690303409999999</v>
      </c>
      <c r="I980">
        <v>11</v>
      </c>
      <c r="J980">
        <v>761112177364</v>
      </c>
      <c r="K980">
        <v>-1.73</v>
      </c>
    </row>
    <row r="981" spans="1:11" x14ac:dyDescent="0.3">
      <c r="A981" t="s">
        <v>231</v>
      </c>
      <c r="B981" t="s">
        <v>232</v>
      </c>
      <c r="C981">
        <v>2017</v>
      </c>
      <c r="D981">
        <v>818792545980</v>
      </c>
      <c r="E981">
        <v>1190000000000</v>
      </c>
      <c r="F981">
        <v>123400057</v>
      </c>
      <c r="G981">
        <v>1.8717285459999999</v>
      </c>
      <c r="H981">
        <v>76.952126039999996</v>
      </c>
      <c r="I981">
        <v>11</v>
      </c>
      <c r="J981">
        <v>747907227680</v>
      </c>
      <c r="K981">
        <v>9.48</v>
      </c>
    </row>
    <row r="982" spans="1:11" x14ac:dyDescent="0.3">
      <c r="A982" t="s">
        <v>231</v>
      </c>
      <c r="B982" t="s">
        <v>232</v>
      </c>
      <c r="C982">
        <v>2018</v>
      </c>
      <c r="D982">
        <v>901367293250</v>
      </c>
      <c r="E982">
        <v>1260000000000</v>
      </c>
      <c r="F982">
        <v>124573711</v>
      </c>
      <c r="G982">
        <v>1.972082111</v>
      </c>
      <c r="H982">
        <v>80.212661650000001</v>
      </c>
      <c r="I982">
        <v>11</v>
      </c>
      <c r="J982">
        <v>818792545980</v>
      </c>
      <c r="K982">
        <v>10.08</v>
      </c>
    </row>
    <row r="983" spans="1:11" x14ac:dyDescent="0.3">
      <c r="A983" t="s">
        <v>231</v>
      </c>
      <c r="B983" t="s">
        <v>232</v>
      </c>
      <c r="C983">
        <v>2019</v>
      </c>
      <c r="D983">
        <v>921207391616</v>
      </c>
      <c r="E983">
        <v>1300000000000</v>
      </c>
      <c r="F983">
        <v>125762982</v>
      </c>
      <c r="G983">
        <v>-0.39269051300000002</v>
      </c>
      <c r="H983">
        <v>77.461972250000002</v>
      </c>
      <c r="I983">
        <v>10</v>
      </c>
      <c r="J983">
        <v>901367293250</v>
      </c>
      <c r="K983">
        <v>2.2000000000000002</v>
      </c>
    </row>
    <row r="984" spans="1:11" x14ac:dyDescent="0.3">
      <c r="A984" t="s">
        <v>231</v>
      </c>
      <c r="B984" t="s">
        <v>232</v>
      </c>
      <c r="C984">
        <v>2020</v>
      </c>
      <c r="D984">
        <v>833964340972</v>
      </c>
      <c r="E984">
        <v>1120000000000</v>
      </c>
      <c r="F984">
        <v>126799054</v>
      </c>
      <c r="G984">
        <v>-8.3540345939999998</v>
      </c>
      <c r="H984">
        <v>76.854555719999993</v>
      </c>
      <c r="I984">
        <v>9</v>
      </c>
      <c r="J984">
        <v>921207391616</v>
      </c>
      <c r="K984">
        <v>-9.4700000000000006</v>
      </c>
    </row>
    <row r="985" spans="1:11" x14ac:dyDescent="0.3">
      <c r="A985" t="s">
        <v>231</v>
      </c>
      <c r="B985" t="s">
        <v>232</v>
      </c>
      <c r="C985">
        <v>2021</v>
      </c>
      <c r="D985">
        <v>988921530010</v>
      </c>
      <c r="E985">
        <v>1320000000000</v>
      </c>
      <c r="F985">
        <v>127648148</v>
      </c>
      <c r="G985">
        <v>6.048483472</v>
      </c>
      <c r="H985">
        <v>83.069297629999994</v>
      </c>
      <c r="I985">
        <v>10</v>
      </c>
      <c r="J985">
        <v>833964340972</v>
      </c>
      <c r="K985">
        <v>18.579999999999998</v>
      </c>
    </row>
    <row r="986" spans="1:11" x14ac:dyDescent="0.3">
      <c r="A986" t="s">
        <v>231</v>
      </c>
      <c r="B986" t="s">
        <v>232</v>
      </c>
      <c r="C986">
        <v>2022</v>
      </c>
      <c r="D986">
        <v>1159629655886</v>
      </c>
      <c r="E986">
        <v>1470000000000</v>
      </c>
      <c r="F986">
        <v>128613117</v>
      </c>
      <c r="G986">
        <v>3.709757083</v>
      </c>
      <c r="H986">
        <v>88.798485589999999</v>
      </c>
      <c r="I986">
        <v>10</v>
      </c>
      <c r="J986">
        <v>988921530010</v>
      </c>
      <c r="K986">
        <v>17.260000000000002</v>
      </c>
    </row>
    <row r="987" spans="1:11" x14ac:dyDescent="0.3">
      <c r="A987" t="s">
        <v>231</v>
      </c>
      <c r="B987" t="s">
        <v>232</v>
      </c>
      <c r="C987">
        <v>2023</v>
      </c>
      <c r="D987">
        <v>1191945545328</v>
      </c>
      <c r="E987">
        <v>1790000000000</v>
      </c>
      <c r="F987">
        <v>129739759</v>
      </c>
      <c r="G987">
        <v>3.1067964130000001</v>
      </c>
      <c r="H987">
        <v>73.739075830000004</v>
      </c>
      <c r="I987">
        <v>8</v>
      </c>
      <c r="J987">
        <v>1159629655886</v>
      </c>
      <c r="K987">
        <v>2.79</v>
      </c>
    </row>
    <row r="988" spans="1:11" x14ac:dyDescent="0.3">
      <c r="A988" t="s">
        <v>231</v>
      </c>
      <c r="B988" t="s">
        <v>232</v>
      </c>
      <c r="C988">
        <v>2024</v>
      </c>
      <c r="D988">
        <v>1239310870236</v>
      </c>
      <c r="E988">
        <v>1830000000000</v>
      </c>
      <c r="F988">
        <v>130861007</v>
      </c>
      <c r="G988">
        <v>1.350576314</v>
      </c>
      <c r="H988">
        <v>75.425901539999998</v>
      </c>
      <c r="I988">
        <v>9</v>
      </c>
      <c r="J988">
        <v>1191945545328</v>
      </c>
      <c r="K988">
        <v>3.97</v>
      </c>
    </row>
    <row r="989" spans="1:11" x14ac:dyDescent="0.3">
      <c r="A989" t="s">
        <v>233</v>
      </c>
      <c r="B989" t="s">
        <v>234</v>
      </c>
      <c r="C989">
        <v>2015</v>
      </c>
      <c r="D989">
        <v>9060152425.4799995</v>
      </c>
      <c r="E989">
        <v>10064519963</v>
      </c>
      <c r="F989">
        <v>1912430</v>
      </c>
      <c r="G989">
        <v>3.8558651400000001</v>
      </c>
      <c r="H989">
        <v>113.6984439</v>
      </c>
      <c r="I989">
        <v>101</v>
      </c>
    </row>
    <row r="990" spans="1:11" x14ac:dyDescent="0.3">
      <c r="A990" t="s">
        <v>233</v>
      </c>
      <c r="B990" t="s">
        <v>234</v>
      </c>
      <c r="C990">
        <v>2016</v>
      </c>
      <c r="D990">
        <v>9704302874.3399982</v>
      </c>
      <c r="E990">
        <v>10672467073</v>
      </c>
      <c r="F990">
        <v>1906313</v>
      </c>
      <c r="G990">
        <v>2.8482051940000002</v>
      </c>
      <c r="H990">
        <v>116.1854084</v>
      </c>
      <c r="I990">
        <v>97</v>
      </c>
      <c r="J990">
        <v>9060152425.4799995</v>
      </c>
      <c r="K990">
        <v>7.11</v>
      </c>
    </row>
    <row r="991" spans="1:11" x14ac:dyDescent="0.3">
      <c r="A991" t="s">
        <v>233</v>
      </c>
      <c r="B991" t="s">
        <v>234</v>
      </c>
      <c r="C991">
        <v>2017</v>
      </c>
      <c r="D991">
        <v>11365606162.380007</v>
      </c>
      <c r="E991">
        <v>11307067070</v>
      </c>
      <c r="F991">
        <v>1898657</v>
      </c>
      <c r="G991">
        <v>1.081772738</v>
      </c>
      <c r="H991">
        <v>124.1372839</v>
      </c>
      <c r="I991">
        <v>96</v>
      </c>
      <c r="J991">
        <v>9704302874.3399982</v>
      </c>
      <c r="K991">
        <v>17.12</v>
      </c>
    </row>
    <row r="992" spans="1:11" x14ac:dyDescent="0.3">
      <c r="A992" t="s">
        <v>233</v>
      </c>
      <c r="B992" t="s">
        <v>234</v>
      </c>
      <c r="C992">
        <v>2018</v>
      </c>
      <c r="D992">
        <v>13812673710.260008</v>
      </c>
      <c r="E992">
        <v>12683068114</v>
      </c>
      <c r="F992">
        <v>1889051</v>
      </c>
      <c r="G992">
        <v>2.8805967099999998</v>
      </c>
      <c r="H992">
        <v>133.21520760000001</v>
      </c>
      <c r="I992">
        <v>92</v>
      </c>
      <c r="J992">
        <v>11365606162.380007</v>
      </c>
      <c r="K992">
        <v>21.53</v>
      </c>
    </row>
    <row r="993" spans="1:11" x14ac:dyDescent="0.3">
      <c r="A993" t="s">
        <v>233</v>
      </c>
      <c r="B993" t="s">
        <v>234</v>
      </c>
      <c r="C993">
        <v>2019</v>
      </c>
      <c r="D993">
        <v>14390281801.374002</v>
      </c>
      <c r="E993">
        <v>12606338449</v>
      </c>
      <c r="F993">
        <v>1876262</v>
      </c>
      <c r="G993">
        <v>3.9104195380000002</v>
      </c>
      <c r="H993">
        <v>138.57623179999999</v>
      </c>
      <c r="I993">
        <v>88</v>
      </c>
      <c r="J993">
        <v>13812673710.260008</v>
      </c>
      <c r="K993">
        <v>4.18</v>
      </c>
    </row>
    <row r="994" spans="1:11" x14ac:dyDescent="0.3">
      <c r="A994" t="s">
        <v>233</v>
      </c>
      <c r="B994" t="s">
        <v>234</v>
      </c>
      <c r="C994">
        <v>2020</v>
      </c>
      <c r="D994">
        <v>13266431408.154005</v>
      </c>
      <c r="E994">
        <v>12361036914</v>
      </c>
      <c r="F994">
        <v>1856124</v>
      </c>
      <c r="G994">
        <v>-4.6884500100000004</v>
      </c>
      <c r="H994">
        <v>128.24124430000001</v>
      </c>
      <c r="I994">
        <v>87</v>
      </c>
      <c r="J994">
        <v>14390281801.374002</v>
      </c>
      <c r="K994">
        <v>-7.81</v>
      </c>
    </row>
    <row r="995" spans="1:11" x14ac:dyDescent="0.3">
      <c r="A995" t="s">
        <v>233</v>
      </c>
      <c r="B995" t="s">
        <v>234</v>
      </c>
      <c r="C995">
        <v>2021</v>
      </c>
      <c r="D995">
        <v>16372629275.255999</v>
      </c>
      <c r="E995">
        <v>14000283827</v>
      </c>
      <c r="F995">
        <v>1837114</v>
      </c>
      <c r="G995">
        <v>4.5106794900000002</v>
      </c>
      <c r="H995">
        <v>146.72141149999999</v>
      </c>
      <c r="I995">
        <v>90</v>
      </c>
      <c r="J995">
        <v>13266431408.154005</v>
      </c>
      <c r="K995">
        <v>23.41</v>
      </c>
    </row>
    <row r="996" spans="1:11" x14ac:dyDescent="0.3">
      <c r="A996" t="s">
        <v>233</v>
      </c>
      <c r="B996" t="s">
        <v>234</v>
      </c>
      <c r="C996">
        <v>2022</v>
      </c>
      <c r="D996">
        <v>17458711438.360001</v>
      </c>
      <c r="E996">
        <v>13932436550</v>
      </c>
      <c r="F996">
        <v>1831712</v>
      </c>
      <c r="G996">
        <v>2.7588841529999999</v>
      </c>
      <c r="H996">
        <v>166.1473574</v>
      </c>
      <c r="I996">
        <v>91</v>
      </c>
      <c r="J996">
        <v>16372629275.255999</v>
      </c>
      <c r="K996">
        <v>6.63</v>
      </c>
    </row>
    <row r="997" spans="1:11" x14ac:dyDescent="0.3">
      <c r="A997" t="s">
        <v>233</v>
      </c>
      <c r="B997" t="s">
        <v>234</v>
      </c>
      <c r="C997">
        <v>2023</v>
      </c>
      <c r="D997">
        <v>17989715113.670998</v>
      </c>
      <c r="E997">
        <v>15855131189</v>
      </c>
      <c r="F997">
        <v>1827816</v>
      </c>
      <c r="G997">
        <v>2.5549652530000002</v>
      </c>
      <c r="H997">
        <v>147.7942535</v>
      </c>
      <c r="I997">
        <v>88</v>
      </c>
      <c r="J997">
        <v>17458711438.360001</v>
      </c>
      <c r="K997">
        <v>3.04</v>
      </c>
    </row>
    <row r="998" spans="1:11" x14ac:dyDescent="0.3">
      <c r="A998" t="s">
        <v>233</v>
      </c>
      <c r="B998" t="s">
        <v>234</v>
      </c>
      <c r="C998">
        <v>2024</v>
      </c>
      <c r="D998">
        <v>16846009821.700003</v>
      </c>
      <c r="E998">
        <v>16951682221</v>
      </c>
      <c r="F998">
        <v>1824359</v>
      </c>
      <c r="G998">
        <v>2.9937353660000001</v>
      </c>
      <c r="H998">
        <v>136.32487620000001</v>
      </c>
      <c r="I998">
        <v>83</v>
      </c>
      <c r="J998">
        <v>17989715113.670998</v>
      </c>
      <c r="K998">
        <v>-6.36</v>
      </c>
    </row>
    <row r="999" spans="1:11" x14ac:dyDescent="0.3">
      <c r="A999" t="s">
        <v>235</v>
      </c>
      <c r="B999" t="s">
        <v>236</v>
      </c>
      <c r="C999">
        <v>2016</v>
      </c>
      <c r="D999">
        <v>5695187128</v>
      </c>
      <c r="E999">
        <v>16743796800</v>
      </c>
      <c r="F999">
        <v>19191289</v>
      </c>
      <c r="G999">
        <v>6.0050630859999998</v>
      </c>
      <c r="H999">
        <v>53.612619359999997</v>
      </c>
      <c r="I999">
        <v>110</v>
      </c>
    </row>
    <row r="1000" spans="1:11" x14ac:dyDescent="0.3">
      <c r="A1000" t="s">
        <v>235</v>
      </c>
      <c r="B1000" t="s">
        <v>236</v>
      </c>
      <c r="C1000">
        <v>2017</v>
      </c>
      <c r="D1000">
        <v>3805460146.8260007</v>
      </c>
      <c r="E1000">
        <v>18308362040</v>
      </c>
      <c r="F1000">
        <v>19813011</v>
      </c>
      <c r="G1000">
        <v>5.3755476959999999</v>
      </c>
      <c r="H1000">
        <v>49.49199849</v>
      </c>
      <c r="I1000">
        <v>125</v>
      </c>
      <c r="J1000">
        <v>5695187128</v>
      </c>
      <c r="K1000">
        <v>-33.18</v>
      </c>
    </row>
    <row r="1001" spans="1:11" x14ac:dyDescent="0.3">
      <c r="A1001" t="s">
        <v>235</v>
      </c>
      <c r="B1001" t="s">
        <v>236</v>
      </c>
      <c r="C1001">
        <v>2018</v>
      </c>
      <c r="D1001">
        <v>7267613800.9749994</v>
      </c>
      <c r="E1001">
        <v>20368015381</v>
      </c>
      <c r="F1001">
        <v>20442030</v>
      </c>
      <c r="G1001">
        <v>4.8678499989999997</v>
      </c>
      <c r="H1001">
        <v>50.69984625</v>
      </c>
      <c r="I1001">
        <v>108</v>
      </c>
      <c r="J1001">
        <v>3805460146.8260007</v>
      </c>
      <c r="K1001">
        <v>90.98</v>
      </c>
    </row>
    <row r="1002" spans="1:11" x14ac:dyDescent="0.3">
      <c r="A1002" t="s">
        <v>235</v>
      </c>
      <c r="B1002" t="s">
        <v>236</v>
      </c>
      <c r="C1002">
        <v>2019</v>
      </c>
      <c r="D1002">
        <v>7286473024.2510042</v>
      </c>
      <c r="E1002">
        <v>20477421885</v>
      </c>
      <c r="F1002">
        <v>21068405</v>
      </c>
      <c r="G1002">
        <v>4.9999991169999998</v>
      </c>
      <c r="H1002">
        <v>53.998713279999997</v>
      </c>
      <c r="I1002">
        <v>109</v>
      </c>
      <c r="J1002">
        <v>7267613800.9749994</v>
      </c>
      <c r="K1002">
        <v>0.26</v>
      </c>
    </row>
    <row r="1003" spans="1:11" x14ac:dyDescent="0.3">
      <c r="A1003" t="s">
        <v>235</v>
      </c>
      <c r="B1003" t="s">
        <v>236</v>
      </c>
      <c r="C1003">
        <v>2020</v>
      </c>
      <c r="D1003">
        <v>7978712557.079999</v>
      </c>
      <c r="E1003">
        <v>20698560939</v>
      </c>
      <c r="F1003">
        <v>21713836</v>
      </c>
      <c r="G1003">
        <v>-1.169108349</v>
      </c>
      <c r="H1003">
        <v>56.041547440000002</v>
      </c>
      <c r="I1003">
        <v>104</v>
      </c>
      <c r="J1003">
        <v>7286473024.2510042</v>
      </c>
      <c r="K1003">
        <v>9.5</v>
      </c>
    </row>
    <row r="1004" spans="1:11" x14ac:dyDescent="0.3">
      <c r="A1004" t="s">
        <v>235</v>
      </c>
      <c r="B1004" t="s">
        <v>236</v>
      </c>
      <c r="C1004">
        <v>2021</v>
      </c>
      <c r="D1004">
        <v>8347592049.3509979</v>
      </c>
      <c r="E1004">
        <v>22999245263</v>
      </c>
      <c r="F1004">
        <v>22388630</v>
      </c>
      <c r="G1004">
        <v>3.100941245</v>
      </c>
      <c r="H1004">
        <v>56.715052559999997</v>
      </c>
      <c r="I1004">
        <v>108</v>
      </c>
      <c r="J1004">
        <v>7978712557.079999</v>
      </c>
      <c r="K1004">
        <v>4.62</v>
      </c>
    </row>
    <row r="1005" spans="1:11" x14ac:dyDescent="0.3">
      <c r="A1005" t="s">
        <v>235</v>
      </c>
      <c r="B1005" t="s">
        <v>236</v>
      </c>
      <c r="C1005">
        <v>2022</v>
      </c>
      <c r="D1005">
        <v>7808677088.057003</v>
      </c>
      <c r="E1005">
        <v>22539987719</v>
      </c>
      <c r="F1005">
        <v>23072640</v>
      </c>
      <c r="G1005">
        <v>3.7031902759999999</v>
      </c>
      <c r="H1005">
        <v>61.561327489999996</v>
      </c>
      <c r="I1005">
        <v>110</v>
      </c>
      <c r="J1005">
        <v>8347592049.3509979</v>
      </c>
      <c r="K1005">
        <v>-6.46</v>
      </c>
    </row>
    <row r="1006" spans="1:11" x14ac:dyDescent="0.3">
      <c r="A1006" t="s">
        <v>235</v>
      </c>
      <c r="B1006" t="s">
        <v>236</v>
      </c>
      <c r="C1006">
        <v>2023</v>
      </c>
      <c r="D1006">
        <v>8012547633.6939993</v>
      </c>
      <c r="E1006">
        <v>24777941861</v>
      </c>
      <c r="F1006">
        <v>23769127</v>
      </c>
      <c r="G1006">
        <v>4.763941</v>
      </c>
      <c r="H1006">
        <v>57.629157229999997</v>
      </c>
      <c r="I1006">
        <v>113</v>
      </c>
      <c r="J1006">
        <v>7808677088.057003</v>
      </c>
      <c r="K1006">
        <v>2.61</v>
      </c>
    </row>
    <row r="1007" spans="1:11" x14ac:dyDescent="0.3">
      <c r="A1007" t="s">
        <v>237</v>
      </c>
      <c r="B1007" t="s">
        <v>238</v>
      </c>
      <c r="C1007">
        <v>2015</v>
      </c>
      <c r="D1007">
        <v>7830895961</v>
      </c>
      <c r="E1007">
        <v>11340789706</v>
      </c>
      <c r="F1007">
        <v>444220</v>
      </c>
      <c r="G1007">
        <v>9.6207030279999994</v>
      </c>
      <c r="H1007">
        <v>207.1960206</v>
      </c>
      <c r="I1007">
        <v>104</v>
      </c>
    </row>
    <row r="1008" spans="1:11" x14ac:dyDescent="0.3">
      <c r="A1008" t="s">
        <v>237</v>
      </c>
      <c r="B1008" t="s">
        <v>238</v>
      </c>
      <c r="C1008">
        <v>2016</v>
      </c>
      <c r="D1008">
        <v>8077285953</v>
      </c>
      <c r="E1008">
        <v>12025777078</v>
      </c>
      <c r="F1008">
        <v>454505</v>
      </c>
      <c r="G1008">
        <v>4.0780042219999997</v>
      </c>
      <c r="H1008">
        <v>213.35947200000001</v>
      </c>
      <c r="I1008">
        <v>103</v>
      </c>
      <c r="J1008">
        <v>7830895961</v>
      </c>
      <c r="K1008">
        <v>3.15</v>
      </c>
    </row>
    <row r="1009" spans="1:11" x14ac:dyDescent="0.3">
      <c r="A1009" t="s">
        <v>237</v>
      </c>
      <c r="B1009" t="s">
        <v>238</v>
      </c>
      <c r="C1009">
        <v>2017</v>
      </c>
      <c r="D1009">
        <v>8155463703.7189999</v>
      </c>
      <c r="E1009">
        <v>14161374599</v>
      </c>
      <c r="F1009">
        <v>467106</v>
      </c>
      <c r="G1009">
        <v>12.971342529999999</v>
      </c>
      <c r="H1009">
        <v>213.04759129999999</v>
      </c>
      <c r="I1009">
        <v>106</v>
      </c>
      <c r="J1009">
        <v>8077285953</v>
      </c>
      <c r="K1009">
        <v>0.97</v>
      </c>
    </row>
    <row r="1010" spans="1:11" x14ac:dyDescent="0.3">
      <c r="A1010" t="s">
        <v>237</v>
      </c>
      <c r="B1010" t="s">
        <v>238</v>
      </c>
      <c r="C1010">
        <v>2018</v>
      </c>
      <c r="D1010">
        <v>7737028158.605998</v>
      </c>
      <c r="E1010">
        <v>16153785817</v>
      </c>
      <c r="F1010">
        <v>483903</v>
      </c>
      <c r="G1010">
        <v>7.1892142550000004</v>
      </c>
      <c r="H1010">
        <v>228.09855110000001</v>
      </c>
      <c r="I1010">
        <v>104</v>
      </c>
      <c r="J1010">
        <v>8155463703.7189999</v>
      </c>
      <c r="K1010">
        <v>-5.13</v>
      </c>
    </row>
    <row r="1011" spans="1:11" x14ac:dyDescent="0.3">
      <c r="A1011" t="s">
        <v>237</v>
      </c>
      <c r="B1011" t="s">
        <v>238</v>
      </c>
      <c r="C1011">
        <v>2019</v>
      </c>
      <c r="D1011">
        <v>8285844269.3789978</v>
      </c>
      <c r="E1011">
        <v>16337788881</v>
      </c>
      <c r="F1011">
        <v>503912</v>
      </c>
      <c r="G1011">
        <v>4.0850557309999997</v>
      </c>
      <c r="H1011">
        <v>233.07044089999999</v>
      </c>
      <c r="I1011">
        <v>105</v>
      </c>
      <c r="J1011">
        <v>7737028158.605998</v>
      </c>
      <c r="K1011">
        <v>7.09</v>
      </c>
    </row>
    <row r="1012" spans="1:11" x14ac:dyDescent="0.3">
      <c r="A1012" t="s">
        <v>237</v>
      </c>
      <c r="B1012" t="s">
        <v>238</v>
      </c>
      <c r="C1012">
        <v>2020</v>
      </c>
      <c r="D1012">
        <v>5663816326.2669973</v>
      </c>
      <c r="E1012">
        <v>16404655808</v>
      </c>
      <c r="F1012">
        <v>515490</v>
      </c>
      <c r="G1012">
        <v>-3.457282325</v>
      </c>
      <c r="H1012">
        <v>242.3611904</v>
      </c>
      <c r="I1012">
        <v>112</v>
      </c>
      <c r="J1012">
        <v>8285844269.3789978</v>
      </c>
      <c r="K1012">
        <v>-31.64</v>
      </c>
    </row>
    <row r="1013" spans="1:11" x14ac:dyDescent="0.3">
      <c r="A1013" t="s">
        <v>237</v>
      </c>
      <c r="B1013" t="s">
        <v>238</v>
      </c>
      <c r="C1013">
        <v>2021</v>
      </c>
      <c r="D1013">
        <v>6133663261.6540031</v>
      </c>
      <c r="E1013">
        <v>19730119031</v>
      </c>
      <c r="F1013">
        <v>518150</v>
      </c>
      <c r="G1013">
        <v>13.35098189</v>
      </c>
      <c r="H1013">
        <v>220.07229480000001</v>
      </c>
      <c r="I1013">
        <v>116</v>
      </c>
      <c r="J1013">
        <v>5663816326.2669973</v>
      </c>
      <c r="K1013">
        <v>8.3000000000000007</v>
      </c>
    </row>
    <row r="1014" spans="1:11" x14ac:dyDescent="0.3">
      <c r="A1014" t="s">
        <v>237</v>
      </c>
      <c r="B1014" t="s">
        <v>238</v>
      </c>
      <c r="C1014">
        <v>2022</v>
      </c>
      <c r="D1014">
        <v>6514740091.1709976</v>
      </c>
      <c r="E1014">
        <v>18938869147</v>
      </c>
      <c r="F1014">
        <v>531113</v>
      </c>
      <c r="G1014">
        <v>2.5927677689999999</v>
      </c>
      <c r="H1014">
        <v>244.5815355</v>
      </c>
      <c r="I1014">
        <v>116</v>
      </c>
      <c r="J1014">
        <v>6133663261.6540031</v>
      </c>
      <c r="K1014">
        <v>6.21</v>
      </c>
    </row>
    <row r="1015" spans="1:11" x14ac:dyDescent="0.3">
      <c r="A1015" t="s">
        <v>237</v>
      </c>
      <c r="B1015" t="s">
        <v>238</v>
      </c>
      <c r="C1015">
        <v>2023</v>
      </c>
      <c r="D1015">
        <v>6933152206.8789978</v>
      </c>
      <c r="E1015">
        <v>22625329776</v>
      </c>
      <c r="F1015">
        <v>552747</v>
      </c>
      <c r="G1015">
        <v>10.634055800000001</v>
      </c>
      <c r="H1015">
        <v>221.13329640000001</v>
      </c>
      <c r="I1015">
        <v>114</v>
      </c>
      <c r="J1015">
        <v>6514740091.1709976</v>
      </c>
      <c r="K1015">
        <v>6.42</v>
      </c>
    </row>
    <row r="1016" spans="1:11" x14ac:dyDescent="0.3">
      <c r="A1016" t="s">
        <v>237</v>
      </c>
      <c r="B1016" t="s">
        <v>238</v>
      </c>
      <c r="C1016">
        <v>2024</v>
      </c>
      <c r="D1016">
        <v>7564188404.201993</v>
      </c>
      <c r="E1016">
        <v>25042712191</v>
      </c>
      <c r="F1016">
        <v>568847</v>
      </c>
      <c r="G1016">
        <v>6.2127599699999996</v>
      </c>
      <c r="H1016">
        <v>217.7302727</v>
      </c>
      <c r="I1016">
        <v>101</v>
      </c>
      <c r="J1016">
        <v>6933152206.8789978</v>
      </c>
      <c r="K1016">
        <v>9.1</v>
      </c>
    </row>
    <row r="1017" spans="1:11" x14ac:dyDescent="0.3">
      <c r="A1017" t="s">
        <v>239</v>
      </c>
      <c r="B1017" t="s">
        <v>240</v>
      </c>
      <c r="C1017">
        <v>2015</v>
      </c>
      <c r="D1017">
        <v>22863584327.292</v>
      </c>
      <c r="E1017">
        <v>59607290408</v>
      </c>
      <c r="F1017">
        <v>51089056</v>
      </c>
      <c r="G1017">
        <v>6.9928402900000002</v>
      </c>
      <c r="I1017">
        <v>74</v>
      </c>
    </row>
    <row r="1018" spans="1:11" x14ac:dyDescent="0.3">
      <c r="A1018" t="s">
        <v>239</v>
      </c>
      <c r="B1018" t="s">
        <v>240</v>
      </c>
      <c r="C1018">
        <v>2016</v>
      </c>
      <c r="D1018">
        <v>23345434920.179996</v>
      </c>
      <c r="E1018">
        <v>63298361996</v>
      </c>
      <c r="F1018">
        <v>51495696</v>
      </c>
      <c r="G1018">
        <v>5.8624729149999997</v>
      </c>
      <c r="I1018">
        <v>72</v>
      </c>
      <c r="J1018">
        <v>22863584327.292</v>
      </c>
      <c r="K1018">
        <v>2.11</v>
      </c>
    </row>
    <row r="1019" spans="1:11" x14ac:dyDescent="0.3">
      <c r="A1019" t="s">
        <v>239</v>
      </c>
      <c r="B1019" t="s">
        <v>240</v>
      </c>
      <c r="C1019">
        <v>2017</v>
      </c>
      <c r="D1019">
        <v>27755906577.515003</v>
      </c>
      <c r="E1019">
        <v>66053040483</v>
      </c>
      <c r="F1019">
        <v>51894938</v>
      </c>
      <c r="G1019">
        <v>6.1361082439999999</v>
      </c>
      <c r="I1019">
        <v>71</v>
      </c>
      <c r="J1019">
        <v>23345434920.179996</v>
      </c>
      <c r="K1019">
        <v>18.89</v>
      </c>
    </row>
    <row r="1020" spans="1:11" x14ac:dyDescent="0.3">
      <c r="A1020" t="s">
        <v>239</v>
      </c>
      <c r="B1020" t="s">
        <v>240</v>
      </c>
      <c r="C1020">
        <v>2018</v>
      </c>
      <c r="D1020">
        <v>33404317524.012005</v>
      </c>
      <c r="E1020">
        <v>67860515990</v>
      </c>
      <c r="F1020">
        <v>52272247</v>
      </c>
      <c r="G1020">
        <v>6.2688622150000004</v>
      </c>
      <c r="I1020">
        <v>70</v>
      </c>
      <c r="J1020">
        <v>27755906577.515003</v>
      </c>
      <c r="K1020">
        <v>20.350000000000001</v>
      </c>
    </row>
    <row r="1021" spans="1:11" x14ac:dyDescent="0.3">
      <c r="A1021" t="s">
        <v>239</v>
      </c>
      <c r="B1021" t="s">
        <v>240</v>
      </c>
      <c r="C1021">
        <v>2019</v>
      </c>
      <c r="D1021">
        <v>36235210610.992996</v>
      </c>
      <c r="E1021">
        <v>75065106228</v>
      </c>
      <c r="F1021">
        <v>52640713</v>
      </c>
      <c r="G1021">
        <v>6.5791100680000003</v>
      </c>
      <c r="I1021">
        <v>65</v>
      </c>
      <c r="J1021">
        <v>33404317524.012005</v>
      </c>
      <c r="K1021">
        <v>8.4700000000000006</v>
      </c>
    </row>
    <row r="1022" spans="1:11" x14ac:dyDescent="0.3">
      <c r="A1022" t="s">
        <v>239</v>
      </c>
      <c r="B1022" t="s">
        <v>240</v>
      </c>
      <c r="C1022">
        <v>2020</v>
      </c>
      <c r="D1022">
        <v>33899510582.310001</v>
      </c>
      <c r="E1022">
        <v>79006113643</v>
      </c>
      <c r="F1022">
        <v>53016522</v>
      </c>
      <c r="G1022">
        <v>-9.0483471800000004</v>
      </c>
      <c r="I1022">
        <v>65</v>
      </c>
      <c r="J1022">
        <v>36235210610.992996</v>
      </c>
      <c r="K1022">
        <v>-6.45</v>
      </c>
    </row>
    <row r="1023" spans="1:11" x14ac:dyDescent="0.3">
      <c r="A1023" t="s">
        <v>239</v>
      </c>
      <c r="B1023" t="s">
        <v>240</v>
      </c>
      <c r="C1023">
        <v>2021</v>
      </c>
      <c r="D1023">
        <v>30306815426.424011</v>
      </c>
      <c r="E1023">
        <v>66345291160</v>
      </c>
      <c r="F1023">
        <v>53387102</v>
      </c>
      <c r="G1023">
        <v>-12.016372479999999</v>
      </c>
      <c r="I1023">
        <v>72</v>
      </c>
      <c r="J1023">
        <v>33899510582.310001</v>
      </c>
      <c r="K1023">
        <v>-10.6</v>
      </c>
    </row>
    <row r="1024" spans="1:11" x14ac:dyDescent="0.3">
      <c r="A1024" t="s">
        <v>239</v>
      </c>
      <c r="B1024" t="s">
        <v>240</v>
      </c>
      <c r="C1024">
        <v>2022</v>
      </c>
      <c r="D1024">
        <v>34169025780.855999</v>
      </c>
      <c r="E1024">
        <v>62253049892</v>
      </c>
      <c r="F1024">
        <v>53756787</v>
      </c>
      <c r="G1024">
        <v>4.0374934360000001</v>
      </c>
      <c r="I1024">
        <v>70</v>
      </c>
      <c r="J1024">
        <v>30306815426.424011</v>
      </c>
      <c r="K1024">
        <v>12.74</v>
      </c>
    </row>
    <row r="1025" spans="1:11" x14ac:dyDescent="0.3">
      <c r="A1025" t="s">
        <v>239</v>
      </c>
      <c r="B1025" t="s">
        <v>240</v>
      </c>
      <c r="C1025">
        <v>2023</v>
      </c>
      <c r="D1025">
        <v>29505986113.870007</v>
      </c>
      <c r="E1025">
        <v>66757619000</v>
      </c>
      <c r="F1025">
        <v>54133798</v>
      </c>
      <c r="G1025">
        <v>0.958446625</v>
      </c>
      <c r="I1025">
        <v>72</v>
      </c>
      <c r="J1025">
        <v>34169025780.855999</v>
      </c>
      <c r="K1025">
        <v>-13.65</v>
      </c>
    </row>
    <row r="1026" spans="1:11" x14ac:dyDescent="0.3">
      <c r="A1026" t="s">
        <v>239</v>
      </c>
      <c r="B1026" t="s">
        <v>240</v>
      </c>
      <c r="C1026">
        <v>2024</v>
      </c>
      <c r="D1026">
        <v>29847612215.348003</v>
      </c>
      <c r="E1026">
        <v>74068349524</v>
      </c>
      <c r="F1026">
        <v>54500091</v>
      </c>
      <c r="G1026">
        <v>-0.97204641400000003</v>
      </c>
      <c r="I1026">
        <v>69</v>
      </c>
      <c r="J1026">
        <v>29505986113.870007</v>
      </c>
      <c r="K1026">
        <v>1.1599999999999999</v>
      </c>
    </row>
    <row r="1027" spans="1:11" x14ac:dyDescent="0.3">
      <c r="A1027" t="s">
        <v>241</v>
      </c>
      <c r="B1027" t="s">
        <v>242</v>
      </c>
      <c r="C1027">
        <v>2015</v>
      </c>
      <c r="D1027">
        <v>706159023</v>
      </c>
      <c r="E1027">
        <v>4010884107</v>
      </c>
      <c r="F1027">
        <v>624651</v>
      </c>
      <c r="G1027">
        <v>2.5230633400000002</v>
      </c>
      <c r="H1027">
        <v>104.1251089</v>
      </c>
      <c r="I1027">
        <v>146</v>
      </c>
    </row>
    <row r="1028" spans="1:11" x14ac:dyDescent="0.3">
      <c r="A1028" t="s">
        <v>241</v>
      </c>
      <c r="B1028" t="s">
        <v>242</v>
      </c>
      <c r="C1028">
        <v>2016</v>
      </c>
      <c r="D1028">
        <v>710120747.86800039</v>
      </c>
      <c r="E1028">
        <v>4357467226</v>
      </c>
      <c r="F1028">
        <v>625353</v>
      </c>
      <c r="G1028">
        <v>3.4393056209999999</v>
      </c>
      <c r="H1028">
        <v>104.13595460000001</v>
      </c>
      <c r="I1028">
        <v>149</v>
      </c>
      <c r="J1028">
        <v>706159023</v>
      </c>
      <c r="K1028">
        <v>0.56000000000000005</v>
      </c>
    </row>
    <row r="1029" spans="1:11" x14ac:dyDescent="0.3">
      <c r="A1029" t="s">
        <v>241</v>
      </c>
      <c r="B1029" t="s">
        <v>242</v>
      </c>
      <c r="C1029">
        <v>2017</v>
      </c>
      <c r="D1029">
        <v>841741775.89800024</v>
      </c>
      <c r="E1029">
        <v>4803964684</v>
      </c>
      <c r="F1029">
        <v>625982</v>
      </c>
      <c r="G1029">
        <v>3.2166850469999999</v>
      </c>
      <c r="H1029">
        <v>106.7113667</v>
      </c>
      <c r="I1029">
        <v>146</v>
      </c>
      <c r="J1029">
        <v>710120747.86800039</v>
      </c>
      <c r="K1029">
        <v>18.54</v>
      </c>
    </row>
    <row r="1030" spans="1:11" x14ac:dyDescent="0.3">
      <c r="A1030" t="s">
        <v>241</v>
      </c>
      <c r="B1030" t="s">
        <v>242</v>
      </c>
      <c r="C1030">
        <v>2018</v>
      </c>
      <c r="D1030">
        <v>931994715.08600044</v>
      </c>
      <c r="E1030">
        <v>5433469311</v>
      </c>
      <c r="F1030">
        <v>626438</v>
      </c>
      <c r="G1030">
        <v>4.7329211339999997</v>
      </c>
      <c r="H1030">
        <v>111.0989355</v>
      </c>
      <c r="I1030">
        <v>143</v>
      </c>
      <c r="J1030">
        <v>841741775.89800024</v>
      </c>
      <c r="K1030">
        <v>10.72</v>
      </c>
    </row>
    <row r="1031" spans="1:11" x14ac:dyDescent="0.3">
      <c r="A1031" t="s">
        <v>241</v>
      </c>
      <c r="B1031" t="s">
        <v>242</v>
      </c>
      <c r="C1031">
        <v>2019</v>
      </c>
      <c r="D1031">
        <v>926404558.01799989</v>
      </c>
      <c r="E1031">
        <v>5483622632</v>
      </c>
      <c r="F1031">
        <v>626753</v>
      </c>
      <c r="G1031">
        <v>4.3939156580000001</v>
      </c>
      <c r="H1031">
        <v>110.0161239</v>
      </c>
      <c r="I1031">
        <v>141</v>
      </c>
      <c r="J1031">
        <v>931994715.08600044</v>
      </c>
      <c r="K1031">
        <v>-0.6</v>
      </c>
    </row>
    <row r="1032" spans="1:11" x14ac:dyDescent="0.3">
      <c r="A1032" t="s">
        <v>241</v>
      </c>
      <c r="B1032" t="s">
        <v>242</v>
      </c>
      <c r="C1032">
        <v>2020</v>
      </c>
      <c r="D1032">
        <v>819691171.03299987</v>
      </c>
      <c r="E1032">
        <v>4734192593</v>
      </c>
      <c r="F1032">
        <v>626590</v>
      </c>
      <c r="G1032">
        <v>-14.9926187</v>
      </c>
      <c r="H1032">
        <v>87.861202710000001</v>
      </c>
      <c r="I1032">
        <v>138</v>
      </c>
      <c r="J1032">
        <v>926404558.01799989</v>
      </c>
      <c r="K1032">
        <v>-11.52</v>
      </c>
    </row>
    <row r="1033" spans="1:11" x14ac:dyDescent="0.3">
      <c r="A1033" t="s">
        <v>241</v>
      </c>
      <c r="B1033" t="s">
        <v>242</v>
      </c>
      <c r="C1033">
        <v>2021</v>
      </c>
      <c r="D1033">
        <v>1031832607.624001</v>
      </c>
      <c r="E1033">
        <v>5822908964</v>
      </c>
      <c r="F1033">
        <v>625053</v>
      </c>
      <c r="G1033">
        <v>13.046260739999999</v>
      </c>
      <c r="H1033">
        <v>105.71924919999999</v>
      </c>
      <c r="I1033">
        <v>140</v>
      </c>
      <c r="J1033">
        <v>819691171.03299987</v>
      </c>
      <c r="K1033">
        <v>25.88</v>
      </c>
    </row>
    <row r="1034" spans="1:11" x14ac:dyDescent="0.3">
      <c r="A1034" t="s">
        <v>241</v>
      </c>
      <c r="B1034" t="s">
        <v>242</v>
      </c>
      <c r="C1034">
        <v>2022</v>
      </c>
      <c r="D1034">
        <v>1472728254.3319995</v>
      </c>
      <c r="E1034">
        <v>6259721790</v>
      </c>
      <c r="F1034">
        <v>623591</v>
      </c>
      <c r="G1034">
        <v>7.7395468950000001</v>
      </c>
      <c r="H1034">
        <v>125.4559378</v>
      </c>
      <c r="I1034">
        <v>134</v>
      </c>
      <c r="J1034">
        <v>1031832607.624001</v>
      </c>
      <c r="K1034">
        <v>42.73</v>
      </c>
    </row>
    <row r="1035" spans="1:11" x14ac:dyDescent="0.3">
      <c r="A1035" t="s">
        <v>241</v>
      </c>
      <c r="B1035" t="s">
        <v>242</v>
      </c>
      <c r="C1035">
        <v>2023</v>
      </c>
      <c r="D1035">
        <v>1445040465.6290002</v>
      </c>
      <c r="E1035">
        <v>7643318276</v>
      </c>
      <c r="F1035">
        <v>623529</v>
      </c>
      <c r="G1035">
        <v>6.4783628350000004</v>
      </c>
      <c r="H1035">
        <v>116.8066695</v>
      </c>
      <c r="I1035">
        <v>131</v>
      </c>
      <c r="J1035">
        <v>1472728254.3319995</v>
      </c>
      <c r="K1035">
        <v>-1.88</v>
      </c>
    </row>
    <row r="1036" spans="1:11" x14ac:dyDescent="0.3">
      <c r="A1036" t="s">
        <v>241</v>
      </c>
      <c r="B1036" t="s">
        <v>242</v>
      </c>
      <c r="C1036">
        <v>2024</v>
      </c>
      <c r="D1036">
        <v>1321384970.1730001</v>
      </c>
      <c r="E1036">
        <v>8274290506</v>
      </c>
      <c r="F1036">
        <v>623525</v>
      </c>
      <c r="G1036">
        <v>3.164098863</v>
      </c>
      <c r="H1036">
        <v>109.94410449999999</v>
      </c>
      <c r="I1036">
        <v>117</v>
      </c>
      <c r="J1036">
        <v>1445040465.6290002</v>
      </c>
      <c r="K1036">
        <v>-8.56</v>
      </c>
    </row>
    <row r="1037" spans="1:11" x14ac:dyDescent="0.3">
      <c r="A1037" t="s">
        <v>243</v>
      </c>
      <c r="B1037" t="s">
        <v>244</v>
      </c>
      <c r="C1037">
        <v>2015</v>
      </c>
      <c r="D1037">
        <v>9338560911</v>
      </c>
      <c r="E1037">
        <v>11619892591</v>
      </c>
      <c r="F1037">
        <v>3026864</v>
      </c>
      <c r="G1037">
        <v>2.3798358070000001</v>
      </c>
      <c r="H1037">
        <v>89.653663480000006</v>
      </c>
      <c r="I1037">
        <v>98</v>
      </c>
    </row>
    <row r="1038" spans="1:11" x14ac:dyDescent="0.3">
      <c r="A1038" t="s">
        <v>243</v>
      </c>
      <c r="B1038" t="s">
        <v>244</v>
      </c>
      <c r="C1038">
        <v>2016</v>
      </c>
      <c r="D1038">
        <v>9832652922</v>
      </c>
      <c r="E1038">
        <v>11181350649</v>
      </c>
      <c r="F1038">
        <v>3088856</v>
      </c>
      <c r="G1038">
        <v>1.4897844870000001</v>
      </c>
      <c r="H1038">
        <v>101.05523719999999</v>
      </c>
      <c r="I1038">
        <v>95</v>
      </c>
      <c r="J1038">
        <v>9338560911</v>
      </c>
      <c r="K1038">
        <v>5.29</v>
      </c>
    </row>
    <row r="1039" spans="1:11" x14ac:dyDescent="0.3">
      <c r="A1039" t="s">
        <v>243</v>
      </c>
      <c r="B1039" t="s">
        <v>244</v>
      </c>
      <c r="C1039">
        <v>2017</v>
      </c>
      <c r="D1039">
        <v>12401185903.680006</v>
      </c>
      <c r="E1039">
        <v>11480847741</v>
      </c>
      <c r="F1039">
        <v>3148917</v>
      </c>
      <c r="G1039">
        <v>5.636876387</v>
      </c>
      <c r="H1039">
        <v>115.9329019</v>
      </c>
      <c r="I1039">
        <v>91</v>
      </c>
      <c r="J1039">
        <v>9832652922</v>
      </c>
      <c r="K1039">
        <v>26.12</v>
      </c>
    </row>
    <row r="1040" spans="1:11" x14ac:dyDescent="0.3">
      <c r="A1040" t="s">
        <v>243</v>
      </c>
      <c r="B1040" t="s">
        <v>244</v>
      </c>
      <c r="C1040">
        <v>2018</v>
      </c>
      <c r="D1040">
        <v>14023515369.629997</v>
      </c>
      <c r="E1040">
        <v>13178094720</v>
      </c>
      <c r="F1040">
        <v>3208189</v>
      </c>
      <c r="G1040">
        <v>7.74488062</v>
      </c>
      <c r="H1040">
        <v>126.3558732</v>
      </c>
      <c r="I1040">
        <v>91</v>
      </c>
      <c r="J1040">
        <v>12401185903.680006</v>
      </c>
      <c r="K1040">
        <v>13.08</v>
      </c>
    </row>
    <row r="1041" spans="1:11" x14ac:dyDescent="0.3">
      <c r="A1041" t="s">
        <v>243</v>
      </c>
      <c r="B1041" t="s">
        <v>244</v>
      </c>
      <c r="C1041">
        <v>2019</v>
      </c>
      <c r="D1041">
        <v>15239507799.921995</v>
      </c>
      <c r="E1041">
        <v>14206359018</v>
      </c>
      <c r="F1041">
        <v>3267673</v>
      </c>
      <c r="G1041">
        <v>5.6022442210000003</v>
      </c>
      <c r="H1041">
        <v>124.3965146</v>
      </c>
      <c r="I1041">
        <v>87</v>
      </c>
      <c r="J1041">
        <v>14023515369.629997</v>
      </c>
      <c r="K1041">
        <v>8.67</v>
      </c>
    </row>
    <row r="1042" spans="1:11" x14ac:dyDescent="0.3">
      <c r="A1042" t="s">
        <v>243</v>
      </c>
      <c r="B1042" t="s">
        <v>244</v>
      </c>
      <c r="C1042">
        <v>2020</v>
      </c>
      <c r="D1042">
        <v>15152621669.58</v>
      </c>
      <c r="E1042">
        <v>13312981429</v>
      </c>
      <c r="F1042">
        <v>3327204</v>
      </c>
      <c r="G1042">
        <v>-4.5577519759999996</v>
      </c>
      <c r="H1042">
        <v>112.8386476</v>
      </c>
      <c r="I1042">
        <v>83</v>
      </c>
      <c r="J1042">
        <v>15239507799.921995</v>
      </c>
      <c r="K1042">
        <v>-0.56999999999999995</v>
      </c>
    </row>
    <row r="1043" spans="1:11" x14ac:dyDescent="0.3">
      <c r="A1043" t="s">
        <v>243</v>
      </c>
      <c r="B1043" t="s">
        <v>244</v>
      </c>
      <c r="C1043">
        <v>2021</v>
      </c>
      <c r="D1043">
        <v>18482246299.880005</v>
      </c>
      <c r="E1043">
        <v>15286441738</v>
      </c>
      <c r="F1043">
        <v>3383741</v>
      </c>
      <c r="G1043">
        <v>1.6367695769999999</v>
      </c>
      <c r="H1043">
        <v>119.09807840000001</v>
      </c>
      <c r="I1043">
        <v>86</v>
      </c>
      <c r="J1043">
        <v>15152621669.58</v>
      </c>
      <c r="K1043">
        <v>21.97</v>
      </c>
    </row>
    <row r="1044" spans="1:11" x14ac:dyDescent="0.3">
      <c r="A1044" t="s">
        <v>243</v>
      </c>
      <c r="B1044" t="s">
        <v>244</v>
      </c>
      <c r="C1044">
        <v>2022</v>
      </c>
      <c r="D1044">
        <v>25115413412.546009</v>
      </c>
      <c r="E1044">
        <v>17146471714</v>
      </c>
      <c r="F1044">
        <v>3433748</v>
      </c>
      <c r="G1044">
        <v>5.032709637</v>
      </c>
      <c r="H1044">
        <v>136.32792989999999</v>
      </c>
      <c r="I1044">
        <v>80</v>
      </c>
      <c r="J1044">
        <v>18482246299.880005</v>
      </c>
      <c r="K1044">
        <v>35.89</v>
      </c>
    </row>
    <row r="1045" spans="1:11" x14ac:dyDescent="0.3">
      <c r="A1045" t="s">
        <v>243</v>
      </c>
      <c r="B1045" t="s">
        <v>244</v>
      </c>
      <c r="C1045">
        <v>2023</v>
      </c>
      <c r="D1045">
        <v>30368925422.167995</v>
      </c>
      <c r="E1045">
        <v>20325121394</v>
      </c>
      <c r="F1045">
        <v>3481145</v>
      </c>
      <c r="G1045">
        <v>7.4221127620000003</v>
      </c>
      <c r="H1045">
        <v>142.8642466</v>
      </c>
      <c r="I1045">
        <v>71</v>
      </c>
      <c r="J1045">
        <v>25115413412.546009</v>
      </c>
      <c r="K1045">
        <v>20.92</v>
      </c>
    </row>
    <row r="1046" spans="1:11" x14ac:dyDescent="0.3">
      <c r="A1046" t="s">
        <v>245</v>
      </c>
      <c r="B1046" t="s">
        <v>246</v>
      </c>
      <c r="C1046">
        <v>2015</v>
      </c>
      <c r="D1046">
        <v>6461487343.0199995</v>
      </c>
      <c r="E1046">
        <v>16208985770</v>
      </c>
      <c r="F1046">
        <v>26547572</v>
      </c>
      <c r="G1046">
        <v>7.3930936989999996</v>
      </c>
      <c r="H1046">
        <v>98.761203649999999</v>
      </c>
      <c r="I1046">
        <v>107</v>
      </c>
    </row>
    <row r="1047" spans="1:11" x14ac:dyDescent="0.3">
      <c r="A1047" t="s">
        <v>245</v>
      </c>
      <c r="B1047" t="s">
        <v>246</v>
      </c>
      <c r="C1047">
        <v>2016</v>
      </c>
      <c r="D1047">
        <v>6704218489.7000008</v>
      </c>
      <c r="E1047">
        <v>12069051237</v>
      </c>
      <c r="F1047">
        <v>27337105</v>
      </c>
      <c r="G1047">
        <v>4.696990242</v>
      </c>
      <c r="H1047">
        <v>110.3943582</v>
      </c>
      <c r="I1047">
        <v>105</v>
      </c>
      <c r="J1047">
        <v>6461487343.0199995</v>
      </c>
      <c r="K1047">
        <v>3.76</v>
      </c>
    </row>
    <row r="1048" spans="1:11" x14ac:dyDescent="0.3">
      <c r="A1048" t="s">
        <v>245</v>
      </c>
      <c r="B1048" t="s">
        <v>246</v>
      </c>
      <c r="C1048">
        <v>2017</v>
      </c>
      <c r="D1048">
        <v>9509671841.2250023</v>
      </c>
      <c r="E1048">
        <v>13264640646</v>
      </c>
      <c r="F1048">
        <v>28166393</v>
      </c>
      <c r="G1048">
        <v>2.6382073730000002</v>
      </c>
      <c r="H1048">
        <v>105.7456407</v>
      </c>
      <c r="I1048">
        <v>103</v>
      </c>
      <c r="J1048">
        <v>6704218489.7000008</v>
      </c>
      <c r="K1048">
        <v>41.85</v>
      </c>
    </row>
    <row r="1049" spans="1:11" x14ac:dyDescent="0.3">
      <c r="A1049" t="s">
        <v>245</v>
      </c>
      <c r="B1049" t="s">
        <v>246</v>
      </c>
      <c r="C1049">
        <v>2018</v>
      </c>
      <c r="D1049">
        <v>12073139382.215006</v>
      </c>
      <c r="E1049">
        <v>15017358953</v>
      </c>
      <c r="F1049">
        <v>29018644</v>
      </c>
      <c r="G1049">
        <v>3.4849320239999999</v>
      </c>
      <c r="H1049">
        <v>124.6074575</v>
      </c>
      <c r="I1049">
        <v>96</v>
      </c>
      <c r="J1049">
        <v>9509671841.2250023</v>
      </c>
      <c r="K1049">
        <v>26.96</v>
      </c>
    </row>
    <row r="1050" spans="1:11" x14ac:dyDescent="0.3">
      <c r="A1050" t="s">
        <v>245</v>
      </c>
      <c r="B1050" t="s">
        <v>246</v>
      </c>
      <c r="C1050">
        <v>2019</v>
      </c>
      <c r="D1050">
        <v>9573492499.1349964</v>
      </c>
      <c r="E1050">
        <v>15512759047</v>
      </c>
      <c r="F1050">
        <v>29884380</v>
      </c>
      <c r="G1050">
        <v>2.317813948</v>
      </c>
      <c r="H1050">
        <v>105.59117139999999</v>
      </c>
      <c r="I1050">
        <v>101</v>
      </c>
      <c r="J1050">
        <v>12073139382.215006</v>
      </c>
      <c r="K1050">
        <v>-20.7</v>
      </c>
    </row>
    <row r="1051" spans="1:11" x14ac:dyDescent="0.3">
      <c r="A1051" t="s">
        <v>245</v>
      </c>
      <c r="B1051" t="s">
        <v>246</v>
      </c>
      <c r="C1051">
        <v>2020</v>
      </c>
      <c r="D1051">
        <v>7439861800.9039984</v>
      </c>
      <c r="E1051">
        <v>14235420174</v>
      </c>
      <c r="F1051">
        <v>30783688</v>
      </c>
      <c r="G1051">
        <v>-1.2195225000000001</v>
      </c>
      <c r="H1051">
        <v>99.906146050000004</v>
      </c>
      <c r="I1051">
        <v>108</v>
      </c>
      <c r="J1051">
        <v>9573492499.1349964</v>
      </c>
      <c r="K1051">
        <v>-22.29</v>
      </c>
    </row>
    <row r="1052" spans="1:11" x14ac:dyDescent="0.3">
      <c r="A1052" t="s">
        <v>245</v>
      </c>
      <c r="B1052" t="s">
        <v>246</v>
      </c>
      <c r="C1052">
        <v>2021</v>
      </c>
      <c r="D1052">
        <v>11408966623.387003</v>
      </c>
      <c r="E1052">
        <v>16168055475</v>
      </c>
      <c r="F1052">
        <v>31707800</v>
      </c>
      <c r="G1052">
        <v>2.377435728</v>
      </c>
      <c r="H1052">
        <v>112.0789645</v>
      </c>
      <c r="I1052">
        <v>100</v>
      </c>
      <c r="J1052">
        <v>7439861800.9039984</v>
      </c>
      <c r="K1052">
        <v>53.35</v>
      </c>
    </row>
    <row r="1053" spans="1:11" x14ac:dyDescent="0.3">
      <c r="A1053" t="s">
        <v>245</v>
      </c>
      <c r="B1053" t="s">
        <v>246</v>
      </c>
      <c r="C1053">
        <v>2022</v>
      </c>
      <c r="D1053">
        <v>16597747353.857998</v>
      </c>
      <c r="E1053">
        <v>18884232599</v>
      </c>
      <c r="F1053">
        <v>32656246</v>
      </c>
      <c r="G1053">
        <v>4.369308019</v>
      </c>
      <c r="H1053">
        <v>135.27453510000001</v>
      </c>
      <c r="I1053">
        <v>93</v>
      </c>
      <c r="J1053">
        <v>11408966623.387003</v>
      </c>
      <c r="K1053">
        <v>45.48</v>
      </c>
    </row>
    <row r="1054" spans="1:11" x14ac:dyDescent="0.3">
      <c r="A1054" t="s">
        <v>245</v>
      </c>
      <c r="B1054" t="s">
        <v>246</v>
      </c>
      <c r="C1054">
        <v>2023</v>
      </c>
      <c r="D1054">
        <v>16551946000</v>
      </c>
      <c r="E1054">
        <v>20927498317</v>
      </c>
      <c r="F1054">
        <v>33635160</v>
      </c>
      <c r="G1054">
        <v>5.5038445669999998</v>
      </c>
      <c r="H1054">
        <v>106.02608360000001</v>
      </c>
      <c r="I1054">
        <v>90</v>
      </c>
      <c r="J1054">
        <v>16597747353.857998</v>
      </c>
      <c r="K1054">
        <v>-0.28000000000000003</v>
      </c>
    </row>
    <row r="1055" spans="1:11" x14ac:dyDescent="0.3">
      <c r="A1055" t="s">
        <v>245</v>
      </c>
      <c r="B1055" t="s">
        <v>246</v>
      </c>
      <c r="C1055">
        <v>2024</v>
      </c>
      <c r="D1055">
        <v>16422577005.199993</v>
      </c>
      <c r="E1055">
        <v>22752244245</v>
      </c>
      <c r="F1055">
        <v>34631766</v>
      </c>
      <c r="G1055">
        <v>2.1489249909999999</v>
      </c>
      <c r="H1055">
        <v>95.63039766</v>
      </c>
      <c r="I1055">
        <v>85</v>
      </c>
      <c r="J1055">
        <v>16551946000</v>
      </c>
      <c r="K1055">
        <v>-0.78</v>
      </c>
    </row>
    <row r="1056" spans="1:11" x14ac:dyDescent="0.3">
      <c r="A1056" t="s">
        <v>247</v>
      </c>
      <c r="B1056" t="s">
        <v>248</v>
      </c>
      <c r="C1056">
        <v>2015</v>
      </c>
      <c r="D1056">
        <v>3663454278.3999982</v>
      </c>
      <c r="E1056">
        <v>6182303677</v>
      </c>
      <c r="F1056">
        <v>3965959</v>
      </c>
      <c r="G1056">
        <v>5.3763392369999998</v>
      </c>
      <c r="H1056">
        <v>77.34678649</v>
      </c>
      <c r="I1056">
        <v>119</v>
      </c>
    </row>
    <row r="1057" spans="1:11" x14ac:dyDescent="0.3">
      <c r="A1057" t="s">
        <v>247</v>
      </c>
      <c r="B1057" t="s">
        <v>248</v>
      </c>
      <c r="C1057">
        <v>2016</v>
      </c>
      <c r="D1057">
        <v>3245523196</v>
      </c>
      <c r="E1057">
        <v>6407900701</v>
      </c>
      <c r="F1057">
        <v>4086657</v>
      </c>
      <c r="G1057">
        <v>1.2609092239999999</v>
      </c>
      <c r="H1057">
        <v>73.153261670000006</v>
      </c>
      <c r="I1057">
        <v>125</v>
      </c>
      <c r="J1057">
        <v>3663454278.3999982</v>
      </c>
      <c r="K1057">
        <v>-11.41</v>
      </c>
    </row>
    <row r="1058" spans="1:11" x14ac:dyDescent="0.3">
      <c r="A1058" t="s">
        <v>247</v>
      </c>
      <c r="B1058" t="s">
        <v>248</v>
      </c>
      <c r="C1058">
        <v>2017</v>
      </c>
      <c r="D1058">
        <v>3978861542.2999988</v>
      </c>
      <c r="E1058">
        <v>6812472965</v>
      </c>
      <c r="F1058">
        <v>4210600</v>
      </c>
      <c r="G1058">
        <v>6.2705456939999999</v>
      </c>
      <c r="H1058">
        <v>78.814980180000006</v>
      </c>
      <c r="I1058">
        <v>124</v>
      </c>
      <c r="J1058">
        <v>3245523196</v>
      </c>
      <c r="K1058">
        <v>22.6</v>
      </c>
    </row>
    <row r="1059" spans="1:11" x14ac:dyDescent="0.3">
      <c r="A1059" t="s">
        <v>247</v>
      </c>
      <c r="B1059" t="s">
        <v>248</v>
      </c>
      <c r="C1059">
        <v>2018</v>
      </c>
      <c r="D1059">
        <v>4103709085.9399996</v>
      </c>
      <c r="E1059">
        <v>7475471310</v>
      </c>
      <c r="F1059">
        <v>4337685</v>
      </c>
      <c r="G1059">
        <v>4.772173639</v>
      </c>
      <c r="H1059">
        <v>89.146729489999998</v>
      </c>
      <c r="I1059">
        <v>120</v>
      </c>
      <c r="J1059">
        <v>3978861542.2999988</v>
      </c>
      <c r="K1059">
        <v>3.14</v>
      </c>
    </row>
    <row r="1060" spans="1:11" x14ac:dyDescent="0.3">
      <c r="A1060" t="s">
        <v>247</v>
      </c>
      <c r="B1060" t="s">
        <v>248</v>
      </c>
      <c r="C1060">
        <v>2019</v>
      </c>
      <c r="D1060">
        <v>4532939434.3600006</v>
      </c>
      <c r="E1060">
        <v>7894764886</v>
      </c>
      <c r="F1060">
        <v>4467708</v>
      </c>
      <c r="G1060">
        <v>3.1410048929999999</v>
      </c>
      <c r="H1060">
        <v>93.486694139999997</v>
      </c>
      <c r="I1060">
        <v>119</v>
      </c>
      <c r="J1060">
        <v>4103709085.9399996</v>
      </c>
      <c r="K1060">
        <v>10.46</v>
      </c>
    </row>
    <row r="1061" spans="1:11" x14ac:dyDescent="0.3">
      <c r="A1061" t="s">
        <v>247</v>
      </c>
      <c r="B1061" t="s">
        <v>248</v>
      </c>
      <c r="C1061">
        <v>2020</v>
      </c>
      <c r="D1061">
        <v>5657609614.2270012</v>
      </c>
      <c r="E1061">
        <v>8260567357</v>
      </c>
      <c r="F1061">
        <v>4600131</v>
      </c>
      <c r="G1061">
        <v>-0.360657387</v>
      </c>
      <c r="H1061">
        <v>86.776168130000002</v>
      </c>
      <c r="I1061">
        <v>113</v>
      </c>
      <c r="J1061">
        <v>4532939434.3600006</v>
      </c>
      <c r="K1061">
        <v>24.81</v>
      </c>
    </row>
    <row r="1062" spans="1:11" x14ac:dyDescent="0.3">
      <c r="A1062" t="s">
        <v>247</v>
      </c>
      <c r="B1062" t="s">
        <v>248</v>
      </c>
      <c r="C1062">
        <v>2021</v>
      </c>
      <c r="D1062">
        <v>6533977615.5399981</v>
      </c>
      <c r="E1062">
        <v>9221044667</v>
      </c>
      <c r="F1062">
        <v>4734874</v>
      </c>
      <c r="G1062">
        <v>0.74271549800000003</v>
      </c>
      <c r="H1062">
        <v>88.306873760000002</v>
      </c>
      <c r="I1062">
        <v>114</v>
      </c>
      <c r="J1062">
        <v>5657609614.2270012</v>
      </c>
      <c r="K1062">
        <v>15.49</v>
      </c>
    </row>
    <row r="1063" spans="1:11" x14ac:dyDescent="0.3">
      <c r="A1063" t="s">
        <v>247</v>
      </c>
      <c r="B1063" t="s">
        <v>248</v>
      </c>
      <c r="C1063">
        <v>2022</v>
      </c>
      <c r="D1063">
        <v>7556037117.7680025</v>
      </c>
      <c r="E1063">
        <v>9562497461</v>
      </c>
      <c r="F1063">
        <v>4875637</v>
      </c>
      <c r="G1063">
        <v>6.796004999</v>
      </c>
      <c r="H1063">
        <v>102.0258991</v>
      </c>
      <c r="I1063">
        <v>112</v>
      </c>
      <c r="J1063">
        <v>6533977615.5399981</v>
      </c>
      <c r="K1063">
        <v>15.64</v>
      </c>
    </row>
    <row r="1064" spans="1:11" x14ac:dyDescent="0.3">
      <c r="A1064" t="s">
        <v>247</v>
      </c>
      <c r="B1064" t="s">
        <v>248</v>
      </c>
      <c r="C1064">
        <v>2023</v>
      </c>
      <c r="D1064">
        <v>8130379108.8180017</v>
      </c>
      <c r="E1064">
        <v>10687541640</v>
      </c>
      <c r="F1064">
        <v>5022441</v>
      </c>
      <c r="G1064">
        <v>6.8094900249999997</v>
      </c>
      <c r="H1064">
        <v>92.16544451</v>
      </c>
      <c r="I1064">
        <v>111</v>
      </c>
      <c r="J1064">
        <v>7556037117.7680025</v>
      </c>
      <c r="K1064">
        <v>7.6</v>
      </c>
    </row>
    <row r="1065" spans="1:11" x14ac:dyDescent="0.3">
      <c r="A1065" t="s">
        <v>247</v>
      </c>
      <c r="B1065" t="s">
        <v>248</v>
      </c>
      <c r="C1065">
        <v>2024</v>
      </c>
      <c r="D1065">
        <v>8299106474.0309973</v>
      </c>
      <c r="E1065">
        <v>10879212033</v>
      </c>
      <c r="F1065">
        <v>5169395</v>
      </c>
      <c r="G1065">
        <v>6.3076021190000002</v>
      </c>
      <c r="H1065">
        <v>93.598835589999993</v>
      </c>
      <c r="I1065">
        <v>99</v>
      </c>
      <c r="J1065">
        <v>8130379108.8180017</v>
      </c>
      <c r="K1065">
        <v>2.08</v>
      </c>
    </row>
    <row r="1066" spans="1:11" x14ac:dyDescent="0.3">
      <c r="A1066" t="s">
        <v>249</v>
      </c>
      <c r="B1066" t="s">
        <v>250</v>
      </c>
      <c r="C1066">
        <v>2015</v>
      </c>
      <c r="D1066">
        <v>6671681.7119999984</v>
      </c>
      <c r="I1066">
        <v>169</v>
      </c>
    </row>
    <row r="1067" spans="1:11" x14ac:dyDescent="0.3">
      <c r="A1067" t="s">
        <v>249</v>
      </c>
      <c r="B1067" t="s">
        <v>250</v>
      </c>
      <c r="C1067">
        <v>2016</v>
      </c>
      <c r="D1067">
        <v>8027528.3660000013</v>
      </c>
      <c r="I1067">
        <v>172</v>
      </c>
      <c r="J1067">
        <v>6671681.7119999984</v>
      </c>
      <c r="K1067">
        <v>20.32</v>
      </c>
    </row>
    <row r="1068" spans="1:11" x14ac:dyDescent="0.3">
      <c r="A1068" t="s">
        <v>249</v>
      </c>
      <c r="B1068" t="s">
        <v>250</v>
      </c>
      <c r="C1068">
        <v>2017</v>
      </c>
      <c r="D1068">
        <v>11970199.257999998</v>
      </c>
      <c r="I1068">
        <v>175</v>
      </c>
      <c r="J1068">
        <v>8027528.3660000013</v>
      </c>
      <c r="K1068">
        <v>49.11</v>
      </c>
    </row>
    <row r="1069" spans="1:11" x14ac:dyDescent="0.3">
      <c r="A1069" t="s">
        <v>249</v>
      </c>
      <c r="B1069" t="s">
        <v>250</v>
      </c>
      <c r="C1069">
        <v>2018</v>
      </c>
      <c r="D1069">
        <v>11513020.550000001</v>
      </c>
      <c r="I1069">
        <v>172</v>
      </c>
      <c r="J1069">
        <v>11970199.257999998</v>
      </c>
      <c r="K1069">
        <v>-3.82</v>
      </c>
    </row>
    <row r="1070" spans="1:11" x14ac:dyDescent="0.3">
      <c r="A1070" t="s">
        <v>249</v>
      </c>
      <c r="B1070" t="s">
        <v>250</v>
      </c>
      <c r="C1070">
        <v>2019</v>
      </c>
      <c r="D1070">
        <v>11176745.340000004</v>
      </c>
      <c r="I1070">
        <v>166</v>
      </c>
      <c r="J1070">
        <v>11513020.550000001</v>
      </c>
      <c r="K1070">
        <v>-2.92</v>
      </c>
    </row>
    <row r="1071" spans="1:11" x14ac:dyDescent="0.3">
      <c r="A1071" t="s">
        <v>249</v>
      </c>
      <c r="B1071" t="s">
        <v>250</v>
      </c>
      <c r="C1071">
        <v>2020</v>
      </c>
      <c r="D1071">
        <v>11427563.262</v>
      </c>
      <c r="I1071">
        <v>163</v>
      </c>
      <c r="J1071">
        <v>11176745.340000004</v>
      </c>
      <c r="K1071">
        <v>2.2400000000000002</v>
      </c>
    </row>
    <row r="1072" spans="1:11" x14ac:dyDescent="0.3">
      <c r="A1072" t="s">
        <v>249</v>
      </c>
      <c r="B1072" t="s">
        <v>250</v>
      </c>
      <c r="C1072">
        <v>2021</v>
      </c>
      <c r="D1072">
        <v>16865059.241999999</v>
      </c>
      <c r="I1072">
        <v>163</v>
      </c>
      <c r="J1072">
        <v>11427563.262</v>
      </c>
      <c r="K1072">
        <v>47.58</v>
      </c>
    </row>
    <row r="1073" spans="1:11" x14ac:dyDescent="0.3">
      <c r="A1073" t="s">
        <v>249</v>
      </c>
      <c r="B1073" t="s">
        <v>250</v>
      </c>
      <c r="C1073">
        <v>2022</v>
      </c>
      <c r="D1073">
        <v>13290718.733999999</v>
      </c>
      <c r="I1073">
        <v>160</v>
      </c>
      <c r="J1073">
        <v>16865059.241999999</v>
      </c>
      <c r="K1073">
        <v>-21.19</v>
      </c>
    </row>
    <row r="1074" spans="1:11" x14ac:dyDescent="0.3">
      <c r="A1074" t="s">
        <v>249</v>
      </c>
      <c r="B1074" t="s">
        <v>250</v>
      </c>
      <c r="C1074">
        <v>2023</v>
      </c>
      <c r="D1074">
        <v>11531368.736</v>
      </c>
      <c r="I1074">
        <v>158</v>
      </c>
      <c r="J1074">
        <v>13290718.733999999</v>
      </c>
      <c r="K1074">
        <v>-13.24</v>
      </c>
    </row>
    <row r="1075" spans="1:11" x14ac:dyDescent="0.3">
      <c r="A1075" t="s">
        <v>249</v>
      </c>
      <c r="B1075" t="s">
        <v>250</v>
      </c>
      <c r="C1075">
        <v>2024</v>
      </c>
      <c r="D1075">
        <v>12320726.772</v>
      </c>
      <c r="I1075">
        <v>131</v>
      </c>
      <c r="J1075">
        <v>11531368.736</v>
      </c>
      <c r="K1075">
        <v>6.85</v>
      </c>
    </row>
    <row r="1076" spans="1:11" x14ac:dyDescent="0.3">
      <c r="A1076" t="s">
        <v>251</v>
      </c>
      <c r="B1076" t="s">
        <v>252</v>
      </c>
      <c r="C1076">
        <v>2015</v>
      </c>
      <c r="D1076">
        <v>4962185438</v>
      </c>
      <c r="E1076">
        <v>12162211503</v>
      </c>
      <c r="F1076">
        <v>1262879</v>
      </c>
      <c r="G1076">
        <v>3.7176636209999998</v>
      </c>
      <c r="H1076">
        <v>133.13506910000001</v>
      </c>
      <c r="I1076">
        <v>111</v>
      </c>
    </row>
    <row r="1077" spans="1:11" x14ac:dyDescent="0.3">
      <c r="A1077" t="s">
        <v>251</v>
      </c>
      <c r="B1077" t="s">
        <v>252</v>
      </c>
      <c r="C1077">
        <v>2016</v>
      </c>
      <c r="D1077">
        <v>4394552804.0389996</v>
      </c>
      <c r="E1077">
        <v>12757680847</v>
      </c>
      <c r="F1077">
        <v>1263747</v>
      </c>
      <c r="G1077">
        <v>3.8857612110000002</v>
      </c>
      <c r="H1077">
        <v>126.31000899999999</v>
      </c>
      <c r="I1077">
        <v>116</v>
      </c>
      <c r="J1077">
        <v>4962185438</v>
      </c>
      <c r="K1077">
        <v>-11.44</v>
      </c>
    </row>
    <row r="1078" spans="1:11" x14ac:dyDescent="0.3">
      <c r="A1078" t="s">
        <v>251</v>
      </c>
      <c r="B1078" t="s">
        <v>252</v>
      </c>
      <c r="C1078">
        <v>2017</v>
      </c>
      <c r="D1078">
        <v>4205243628.8300004</v>
      </c>
      <c r="E1078">
        <v>13896938315</v>
      </c>
      <c r="F1078">
        <v>1264887</v>
      </c>
      <c r="G1078">
        <v>3.9544173100000002</v>
      </c>
      <c r="H1078">
        <v>126.9640599</v>
      </c>
      <c r="I1078">
        <v>122</v>
      </c>
      <c r="J1078">
        <v>4394552804.0389996</v>
      </c>
      <c r="K1078">
        <v>-4.3099999999999996</v>
      </c>
    </row>
    <row r="1079" spans="1:11" x14ac:dyDescent="0.3">
      <c r="A1079" t="s">
        <v>251</v>
      </c>
      <c r="B1079" t="s">
        <v>252</v>
      </c>
      <c r="C1079">
        <v>2018</v>
      </c>
      <c r="D1079">
        <v>3975345725.7060008</v>
      </c>
      <c r="E1079">
        <v>14957535716</v>
      </c>
      <c r="F1079">
        <v>1265577</v>
      </c>
      <c r="G1079">
        <v>4.1166936950000004</v>
      </c>
      <c r="H1079">
        <v>123.5389844</v>
      </c>
      <c r="I1079">
        <v>121</v>
      </c>
      <c r="J1079">
        <v>4205243628.8300004</v>
      </c>
      <c r="K1079">
        <v>-5.47</v>
      </c>
    </row>
    <row r="1080" spans="1:11" x14ac:dyDescent="0.3">
      <c r="A1080" t="s">
        <v>251</v>
      </c>
      <c r="B1080" t="s">
        <v>252</v>
      </c>
      <c r="C1080">
        <v>2019</v>
      </c>
      <c r="D1080">
        <v>3752736854.1109986</v>
      </c>
      <c r="E1080">
        <v>14645235205</v>
      </c>
      <c r="F1080">
        <v>1265985</v>
      </c>
      <c r="G1080">
        <v>2.8639493869999999</v>
      </c>
      <c r="H1080">
        <v>127.9408991</v>
      </c>
      <c r="I1080">
        <v>124</v>
      </c>
      <c r="J1080">
        <v>3975345725.7060008</v>
      </c>
      <c r="K1080">
        <v>-5.6</v>
      </c>
    </row>
    <row r="1081" spans="1:11" x14ac:dyDescent="0.3">
      <c r="A1081" t="s">
        <v>251</v>
      </c>
      <c r="B1081" t="s">
        <v>252</v>
      </c>
      <c r="C1081">
        <v>2020</v>
      </c>
      <c r="D1081">
        <v>3087220074.9119997</v>
      </c>
      <c r="E1081">
        <v>11566111138</v>
      </c>
      <c r="F1081">
        <v>1266014</v>
      </c>
      <c r="G1081">
        <v>-14.19743581</v>
      </c>
      <c r="H1081">
        <v>121.1252255</v>
      </c>
      <c r="I1081">
        <v>123</v>
      </c>
      <c r="J1081">
        <v>3752736854.1109986</v>
      </c>
      <c r="K1081">
        <v>-17.73</v>
      </c>
    </row>
    <row r="1082" spans="1:11" x14ac:dyDescent="0.3">
      <c r="A1082" t="s">
        <v>251</v>
      </c>
      <c r="B1082" t="s">
        <v>252</v>
      </c>
      <c r="C1082">
        <v>2021</v>
      </c>
      <c r="D1082">
        <v>3343520576.5309982</v>
      </c>
      <c r="E1082">
        <v>11622048697</v>
      </c>
      <c r="F1082">
        <v>1266334</v>
      </c>
      <c r="G1082">
        <v>3.3380908410000001</v>
      </c>
      <c r="H1082">
        <v>135.19300459999999</v>
      </c>
      <c r="I1082">
        <v>125</v>
      </c>
      <c r="J1082">
        <v>3087220074.9119997</v>
      </c>
      <c r="K1082">
        <v>8.3000000000000007</v>
      </c>
    </row>
    <row r="1083" spans="1:11" x14ac:dyDescent="0.3">
      <c r="A1083" t="s">
        <v>251</v>
      </c>
      <c r="B1083" t="s">
        <v>252</v>
      </c>
      <c r="C1083">
        <v>2022</v>
      </c>
      <c r="D1083">
        <v>3761192907.9399996</v>
      </c>
      <c r="E1083">
        <v>12936444123</v>
      </c>
      <c r="F1083">
        <v>1262523</v>
      </c>
      <c r="G1083">
        <v>8.3424438030000001</v>
      </c>
      <c r="H1083">
        <v>147.66379499999999</v>
      </c>
      <c r="I1083">
        <v>124</v>
      </c>
      <c r="J1083">
        <v>3343520576.5309982</v>
      </c>
      <c r="K1083">
        <v>12.49</v>
      </c>
    </row>
    <row r="1084" spans="1:11" x14ac:dyDescent="0.3">
      <c r="A1084" t="s">
        <v>251</v>
      </c>
      <c r="B1084" t="s">
        <v>252</v>
      </c>
      <c r="C1084">
        <v>2023</v>
      </c>
      <c r="D1084">
        <v>3708478363.6800003</v>
      </c>
      <c r="E1084">
        <v>14072212290</v>
      </c>
      <c r="F1084">
        <v>1248647</v>
      </c>
      <c r="G1084">
        <v>4.6991818969999999</v>
      </c>
      <c r="H1084">
        <v>147.3213921</v>
      </c>
      <c r="I1084">
        <v>122</v>
      </c>
      <c r="J1084">
        <v>3761192907.9399996</v>
      </c>
      <c r="K1084">
        <v>-1.4</v>
      </c>
    </row>
    <row r="1085" spans="1:11" x14ac:dyDescent="0.3">
      <c r="A1085" t="s">
        <v>251</v>
      </c>
      <c r="B1085" t="s">
        <v>252</v>
      </c>
      <c r="C1085">
        <v>2024</v>
      </c>
      <c r="D1085">
        <v>3439658328.8889976</v>
      </c>
      <c r="E1085">
        <v>14938055690</v>
      </c>
      <c r="F1085">
        <v>1245779</v>
      </c>
      <c r="G1085">
        <v>4.9484423529999999</v>
      </c>
      <c r="H1085">
        <v>145.4198126</v>
      </c>
      <c r="I1085">
        <v>106</v>
      </c>
      <c r="J1085">
        <v>3708478363.6800003</v>
      </c>
      <c r="K1085">
        <v>-7.25</v>
      </c>
    </row>
    <row r="1086" spans="1:11" x14ac:dyDescent="0.3">
      <c r="A1086" t="s">
        <v>253</v>
      </c>
      <c r="B1086" t="s">
        <v>254</v>
      </c>
      <c r="C1086">
        <v>2015</v>
      </c>
      <c r="D1086">
        <v>2143455810.5660002</v>
      </c>
      <c r="E1086">
        <v>9219474379</v>
      </c>
      <c r="F1086">
        <v>17085587</v>
      </c>
      <c r="G1086">
        <v>2.8</v>
      </c>
      <c r="I1086">
        <v>129</v>
      </c>
    </row>
    <row r="1087" spans="1:11" x14ac:dyDescent="0.3">
      <c r="A1087" t="s">
        <v>253</v>
      </c>
      <c r="B1087" t="s">
        <v>254</v>
      </c>
      <c r="C1087">
        <v>2016</v>
      </c>
      <c r="D1087">
        <v>2044731762.7560012</v>
      </c>
      <c r="E1087">
        <v>7909868618</v>
      </c>
      <c r="F1087">
        <v>17557739</v>
      </c>
      <c r="G1087">
        <v>2.4999999989999999</v>
      </c>
      <c r="I1087">
        <v>131</v>
      </c>
      <c r="J1087">
        <v>2143455810.5660002</v>
      </c>
      <c r="K1087">
        <v>-4.6100000000000003</v>
      </c>
    </row>
    <row r="1088" spans="1:11" x14ac:dyDescent="0.3">
      <c r="A1088" t="s">
        <v>253</v>
      </c>
      <c r="B1088" t="s">
        <v>254</v>
      </c>
      <c r="C1088">
        <v>2017</v>
      </c>
      <c r="D1088">
        <v>1677636821.4220004</v>
      </c>
      <c r="E1088">
        <v>8943543794</v>
      </c>
      <c r="F1088">
        <v>18039715</v>
      </c>
      <c r="G1088">
        <v>4.0000000010000001</v>
      </c>
      <c r="H1088">
        <v>45.300313719999998</v>
      </c>
      <c r="I1088">
        <v>137</v>
      </c>
      <c r="J1088">
        <v>2044731762.7560012</v>
      </c>
      <c r="K1088">
        <v>-17.95</v>
      </c>
    </row>
    <row r="1089" spans="1:11" x14ac:dyDescent="0.3">
      <c r="A1089" t="s">
        <v>253</v>
      </c>
      <c r="B1089" t="s">
        <v>254</v>
      </c>
      <c r="C1089">
        <v>2018</v>
      </c>
      <c r="D1089">
        <v>1675075385.7170012</v>
      </c>
      <c r="E1089">
        <v>9879220354</v>
      </c>
      <c r="F1089">
        <v>18528081</v>
      </c>
      <c r="G1089">
        <v>4.3535647160000002</v>
      </c>
      <c r="H1089">
        <v>43.578773490000003</v>
      </c>
      <c r="I1089">
        <v>138</v>
      </c>
      <c r="J1089">
        <v>1677636821.4220004</v>
      </c>
      <c r="K1089">
        <v>-0.15</v>
      </c>
    </row>
    <row r="1090" spans="1:11" x14ac:dyDescent="0.3">
      <c r="A1090" t="s">
        <v>253</v>
      </c>
      <c r="B1090" t="s">
        <v>254</v>
      </c>
      <c r="C1090">
        <v>2019</v>
      </c>
      <c r="D1090">
        <v>1798241967.618</v>
      </c>
      <c r="E1090">
        <v>11051852713</v>
      </c>
      <c r="F1090">
        <v>19025752</v>
      </c>
      <c r="G1090">
        <v>5.7168251919999999</v>
      </c>
      <c r="H1090">
        <v>44.195452459999998</v>
      </c>
      <c r="I1090">
        <v>133</v>
      </c>
      <c r="J1090">
        <v>1675075385.7170012</v>
      </c>
      <c r="K1090">
        <v>7.35</v>
      </c>
    </row>
    <row r="1091" spans="1:11" x14ac:dyDescent="0.3">
      <c r="A1091" t="s">
        <v>253</v>
      </c>
      <c r="B1091" t="s">
        <v>254</v>
      </c>
      <c r="C1091">
        <v>2020</v>
      </c>
      <c r="D1091">
        <v>1542957644.8920004</v>
      </c>
      <c r="E1091">
        <v>11769313598</v>
      </c>
      <c r="F1091">
        <v>19533888</v>
      </c>
      <c r="G1091">
        <v>0.79359643000000002</v>
      </c>
      <c r="H1091">
        <v>41.032342939999999</v>
      </c>
      <c r="I1091">
        <v>134</v>
      </c>
      <c r="J1091">
        <v>1798241967.618</v>
      </c>
      <c r="K1091">
        <v>-14.2</v>
      </c>
    </row>
    <row r="1092" spans="1:11" x14ac:dyDescent="0.3">
      <c r="A1092" t="s">
        <v>253</v>
      </c>
      <c r="B1092" t="s">
        <v>254</v>
      </c>
      <c r="C1092">
        <v>2021</v>
      </c>
      <c r="D1092">
        <v>2018921557.0649996</v>
      </c>
      <c r="E1092">
        <v>12378119199</v>
      </c>
      <c r="F1092">
        <v>20047258</v>
      </c>
      <c r="G1092">
        <v>4.5582921199999999</v>
      </c>
      <c r="H1092">
        <v>44.59576182</v>
      </c>
      <c r="I1092">
        <v>134</v>
      </c>
      <c r="J1092">
        <v>1542957644.8920004</v>
      </c>
      <c r="K1092">
        <v>30.85</v>
      </c>
    </row>
    <row r="1093" spans="1:11" x14ac:dyDescent="0.3">
      <c r="A1093" t="s">
        <v>253</v>
      </c>
      <c r="B1093" t="s">
        <v>254</v>
      </c>
      <c r="C1093">
        <v>2022</v>
      </c>
      <c r="D1093">
        <v>1799469779.9750006</v>
      </c>
      <c r="E1093">
        <v>12429059928</v>
      </c>
      <c r="F1093">
        <v>20568728</v>
      </c>
      <c r="G1093">
        <v>0.92111506899999995</v>
      </c>
      <c r="H1093">
        <v>43.616624860000002</v>
      </c>
      <c r="I1093">
        <v>131</v>
      </c>
      <c r="J1093">
        <v>2018921557.0649996</v>
      </c>
      <c r="K1093">
        <v>-10.87</v>
      </c>
    </row>
    <row r="1094" spans="1:11" x14ac:dyDescent="0.3">
      <c r="A1094" t="s">
        <v>253</v>
      </c>
      <c r="B1094" t="s">
        <v>254</v>
      </c>
      <c r="C1094">
        <v>2023</v>
      </c>
      <c r="D1094">
        <v>1931018704.382</v>
      </c>
      <c r="E1094">
        <v>13363669673</v>
      </c>
      <c r="F1094">
        <v>21104482</v>
      </c>
      <c r="G1094">
        <v>1.945752817</v>
      </c>
      <c r="H1094">
        <v>42.4376684</v>
      </c>
      <c r="I1094">
        <v>129</v>
      </c>
      <c r="J1094">
        <v>1799469779.9750006</v>
      </c>
      <c r="K1094">
        <v>7.31</v>
      </c>
    </row>
    <row r="1095" spans="1:11" x14ac:dyDescent="0.3">
      <c r="A1095" t="s">
        <v>253</v>
      </c>
      <c r="B1095" t="s">
        <v>254</v>
      </c>
      <c r="C1095">
        <v>2024</v>
      </c>
      <c r="D1095">
        <v>1916993854.8449988</v>
      </c>
      <c r="E1095">
        <v>11311971400</v>
      </c>
      <c r="F1095">
        <v>21655286</v>
      </c>
      <c r="G1095">
        <v>1.673434085</v>
      </c>
      <c r="H1095">
        <v>41.903819650000003</v>
      </c>
      <c r="I1095">
        <v>115</v>
      </c>
      <c r="J1095">
        <v>1931018704.382</v>
      </c>
      <c r="K1095">
        <v>-0.73</v>
      </c>
    </row>
    <row r="1096" spans="1:11" x14ac:dyDescent="0.3">
      <c r="A1096" t="s">
        <v>255</v>
      </c>
      <c r="B1096" t="s">
        <v>256</v>
      </c>
      <c r="C1096">
        <v>2015</v>
      </c>
      <c r="D1096">
        <v>400421743896</v>
      </c>
      <c r="E1096">
        <v>301000000000</v>
      </c>
      <c r="F1096">
        <v>31232798</v>
      </c>
      <c r="G1096">
        <v>5.0915324220000002</v>
      </c>
      <c r="H1096">
        <v>131.3700724</v>
      </c>
      <c r="I1096">
        <v>20</v>
      </c>
    </row>
    <row r="1097" spans="1:11" x14ac:dyDescent="0.3">
      <c r="A1097" t="s">
        <v>255</v>
      </c>
      <c r="B1097" t="s">
        <v>256</v>
      </c>
      <c r="C1097">
        <v>2016</v>
      </c>
      <c r="D1097">
        <v>378828146311</v>
      </c>
      <c r="E1097">
        <v>301000000000</v>
      </c>
      <c r="F1097">
        <v>31789685</v>
      </c>
      <c r="G1097">
        <v>4.4497813979999998</v>
      </c>
      <c r="H1097">
        <v>126.89901</v>
      </c>
      <c r="I1097">
        <v>21</v>
      </c>
      <c r="J1097">
        <v>400421743896</v>
      </c>
      <c r="K1097">
        <v>-5.39</v>
      </c>
    </row>
    <row r="1098" spans="1:11" x14ac:dyDescent="0.3">
      <c r="A1098" t="s">
        <v>255</v>
      </c>
      <c r="B1098" t="s">
        <v>256</v>
      </c>
      <c r="C1098">
        <v>2017</v>
      </c>
      <c r="D1098">
        <v>435445014964.2254</v>
      </c>
      <c r="E1098">
        <v>319000000000</v>
      </c>
      <c r="F1098">
        <v>32355644</v>
      </c>
      <c r="G1098">
        <v>5.8127224100000001</v>
      </c>
      <c r="H1098">
        <v>133.1551734</v>
      </c>
      <c r="I1098">
        <v>22</v>
      </c>
      <c r="J1098">
        <v>378828146311</v>
      </c>
      <c r="K1098">
        <v>14.95</v>
      </c>
    </row>
    <row r="1099" spans="1:11" x14ac:dyDescent="0.3">
      <c r="A1099" t="s">
        <v>255</v>
      </c>
      <c r="B1099" t="s">
        <v>256</v>
      </c>
      <c r="C1099">
        <v>2018</v>
      </c>
      <c r="D1099">
        <v>497423380022.33795</v>
      </c>
      <c r="E1099">
        <v>359000000000</v>
      </c>
      <c r="F1099">
        <v>32910967</v>
      </c>
      <c r="G1099">
        <v>4.8430869760000004</v>
      </c>
      <c r="H1099">
        <v>130.4026255</v>
      </c>
      <c r="I1099">
        <v>22</v>
      </c>
      <c r="J1099">
        <v>435445014964.2254</v>
      </c>
      <c r="K1099">
        <v>14.23</v>
      </c>
    </row>
    <row r="1100" spans="1:11" x14ac:dyDescent="0.3">
      <c r="A1100" t="s">
        <v>255</v>
      </c>
      <c r="B1100" t="s">
        <v>256</v>
      </c>
      <c r="C1100">
        <v>2019</v>
      </c>
      <c r="D1100">
        <v>480423811304.65796</v>
      </c>
      <c r="E1100">
        <v>365000000000</v>
      </c>
      <c r="F1100">
        <v>33440596</v>
      </c>
      <c r="G1100">
        <v>4.4131874209999999</v>
      </c>
      <c r="H1100">
        <v>123.02856199999999</v>
      </c>
      <c r="I1100">
        <v>23</v>
      </c>
      <c r="J1100">
        <v>497423380022.33795</v>
      </c>
      <c r="K1100">
        <v>-3.42</v>
      </c>
    </row>
    <row r="1101" spans="1:11" x14ac:dyDescent="0.3">
      <c r="A1101" t="s">
        <v>255</v>
      </c>
      <c r="B1101" t="s">
        <v>256</v>
      </c>
      <c r="C1101">
        <v>2020</v>
      </c>
      <c r="D1101">
        <v>468100534906.73114</v>
      </c>
      <c r="E1101">
        <v>337000000000</v>
      </c>
      <c r="F1101">
        <v>33889558</v>
      </c>
      <c r="G1101">
        <v>-5.456846584</v>
      </c>
      <c r="H1101">
        <v>116.7881824</v>
      </c>
      <c r="I1101">
        <v>21</v>
      </c>
      <c r="J1101">
        <v>480423811304.65796</v>
      </c>
      <c r="K1101">
        <v>-2.57</v>
      </c>
    </row>
    <row r="1102" spans="1:11" x14ac:dyDescent="0.3">
      <c r="A1102" t="s">
        <v>255</v>
      </c>
      <c r="B1102" t="s">
        <v>256</v>
      </c>
      <c r="C1102">
        <v>2021</v>
      </c>
      <c r="D1102">
        <v>598460868788.46631</v>
      </c>
      <c r="E1102">
        <v>374000000000</v>
      </c>
      <c r="F1102">
        <v>34282399</v>
      </c>
      <c r="G1102">
        <v>3.315349544</v>
      </c>
      <c r="H1102">
        <v>134.0359947</v>
      </c>
      <c r="I1102">
        <v>21</v>
      </c>
      <c r="J1102">
        <v>468100534906.73114</v>
      </c>
      <c r="K1102">
        <v>27.85</v>
      </c>
    </row>
    <row r="1103" spans="1:11" x14ac:dyDescent="0.3">
      <c r="A1103" t="s">
        <v>255</v>
      </c>
      <c r="B1103" t="s">
        <v>256</v>
      </c>
      <c r="C1103">
        <v>2022</v>
      </c>
      <c r="D1103">
        <v>704376332681.10425</v>
      </c>
      <c r="E1103">
        <v>408000000000</v>
      </c>
      <c r="F1103">
        <v>34695493</v>
      </c>
      <c r="G1103">
        <v>9.0317372299999992</v>
      </c>
      <c r="H1103">
        <v>146.4246048</v>
      </c>
      <c r="I1103">
        <v>21</v>
      </c>
      <c r="J1103">
        <v>598460868788.46631</v>
      </c>
      <c r="K1103">
        <v>17.7</v>
      </c>
    </row>
    <row r="1104" spans="1:11" x14ac:dyDescent="0.3">
      <c r="A1104" t="s">
        <v>255</v>
      </c>
      <c r="B1104" t="s">
        <v>256</v>
      </c>
      <c r="C1104">
        <v>2023</v>
      </c>
      <c r="D1104">
        <v>625210771163.29419</v>
      </c>
      <c r="E1104">
        <v>400000000000</v>
      </c>
      <c r="F1104">
        <v>35126298</v>
      </c>
      <c r="G1104">
        <v>3.5370638040000002</v>
      </c>
      <c r="H1104">
        <v>132.59346160000001</v>
      </c>
      <c r="I1104">
        <v>22</v>
      </c>
      <c r="J1104">
        <v>704376332681.10425</v>
      </c>
      <c r="K1104">
        <v>-11.24</v>
      </c>
    </row>
    <row r="1105" spans="1:11" x14ac:dyDescent="0.3">
      <c r="A1105" t="s">
        <v>255</v>
      </c>
      <c r="B1105" t="s">
        <v>256</v>
      </c>
      <c r="C1105">
        <v>2024</v>
      </c>
      <c r="D1105">
        <v>658908054184.78552</v>
      </c>
      <c r="E1105">
        <v>422000000000</v>
      </c>
      <c r="F1105">
        <v>35557673</v>
      </c>
      <c r="G1105">
        <v>5.1054592100000002</v>
      </c>
      <c r="H1105">
        <v>137.36257119999999</v>
      </c>
      <c r="I1105">
        <v>19</v>
      </c>
      <c r="J1105">
        <v>625210771163.29419</v>
      </c>
      <c r="K1105">
        <v>5.39</v>
      </c>
    </row>
    <row r="1106" spans="1:11" x14ac:dyDescent="0.3">
      <c r="A1106" t="s">
        <v>257</v>
      </c>
      <c r="B1106" t="s">
        <v>258</v>
      </c>
      <c r="C1106">
        <v>2015</v>
      </c>
      <c r="D1106">
        <v>9256583499</v>
      </c>
      <c r="E1106">
        <v>11335161084</v>
      </c>
      <c r="F1106">
        <v>2374300</v>
      </c>
      <c r="G1106">
        <v>4.2641745379999998</v>
      </c>
      <c r="H1106">
        <v>97.239031789999999</v>
      </c>
      <c r="I1106">
        <v>100</v>
      </c>
    </row>
    <row r="1107" spans="1:11" x14ac:dyDescent="0.3">
      <c r="A1107" t="s">
        <v>257</v>
      </c>
      <c r="B1107" t="s">
        <v>258</v>
      </c>
      <c r="C1107">
        <v>2016</v>
      </c>
      <c r="D1107">
        <v>9631692820</v>
      </c>
      <c r="E1107">
        <v>10722018732</v>
      </c>
      <c r="F1107">
        <v>2439213</v>
      </c>
      <c r="G1107">
        <v>3.3794449999999997E-2</v>
      </c>
      <c r="H1107">
        <v>93.966187959999999</v>
      </c>
      <c r="I1107">
        <v>98</v>
      </c>
      <c r="J1107">
        <v>9256583499</v>
      </c>
      <c r="K1107">
        <v>4.05</v>
      </c>
    </row>
    <row r="1108" spans="1:11" x14ac:dyDescent="0.3">
      <c r="A1108" t="s">
        <v>257</v>
      </c>
      <c r="B1108" t="s">
        <v>258</v>
      </c>
      <c r="C1108">
        <v>2017</v>
      </c>
      <c r="D1108">
        <v>10458721850.886</v>
      </c>
      <c r="E1108">
        <v>12895153371</v>
      </c>
      <c r="F1108">
        <v>2506853</v>
      </c>
      <c r="G1108">
        <v>-1.027248089</v>
      </c>
      <c r="H1108">
        <v>81.219666099999998</v>
      </c>
      <c r="I1108">
        <v>98</v>
      </c>
      <c r="J1108">
        <v>9631692820</v>
      </c>
      <c r="K1108">
        <v>8.59</v>
      </c>
    </row>
    <row r="1109" spans="1:11" x14ac:dyDescent="0.3">
      <c r="A1109" t="s">
        <v>257</v>
      </c>
      <c r="B1109" t="s">
        <v>258</v>
      </c>
      <c r="C1109">
        <v>2018</v>
      </c>
      <c r="D1109">
        <v>14976592000.514994</v>
      </c>
      <c r="E1109">
        <v>13682019076</v>
      </c>
      <c r="F1109">
        <v>2577327</v>
      </c>
      <c r="G1109">
        <v>1.059939499</v>
      </c>
      <c r="H1109">
        <v>81.713865299999995</v>
      </c>
      <c r="I1109">
        <v>89</v>
      </c>
      <c r="J1109">
        <v>10458721850.886</v>
      </c>
      <c r="K1109">
        <v>43.2</v>
      </c>
    </row>
    <row r="1110" spans="1:11" x14ac:dyDescent="0.3">
      <c r="A1110" t="s">
        <v>257</v>
      </c>
      <c r="B1110" t="s">
        <v>258</v>
      </c>
      <c r="C1110">
        <v>2019</v>
      </c>
      <c r="D1110">
        <v>9485013603.9179993</v>
      </c>
      <c r="E1110">
        <v>12541928303</v>
      </c>
      <c r="F1110">
        <v>2650494</v>
      </c>
      <c r="G1110">
        <v>-0.83915216299999995</v>
      </c>
      <c r="H1110">
        <v>82.901150740000006</v>
      </c>
      <c r="I1110">
        <v>102</v>
      </c>
      <c r="J1110">
        <v>14976592000.514994</v>
      </c>
      <c r="K1110">
        <v>-36.67</v>
      </c>
    </row>
    <row r="1111" spans="1:11" x14ac:dyDescent="0.3">
      <c r="A1111" t="s">
        <v>257</v>
      </c>
      <c r="B1111" t="s">
        <v>258</v>
      </c>
      <c r="C1111">
        <v>2020</v>
      </c>
      <c r="D1111">
        <v>7735637037.3180027</v>
      </c>
      <c r="E1111">
        <v>10583748542</v>
      </c>
      <c r="F1111">
        <v>2728762</v>
      </c>
      <c r="G1111">
        <v>-8.1014020139999996</v>
      </c>
      <c r="H1111">
        <v>76.925242400000002</v>
      </c>
      <c r="I1111">
        <v>106</v>
      </c>
      <c r="J1111">
        <v>9485013603.9179993</v>
      </c>
      <c r="K1111">
        <v>-18.440000000000001</v>
      </c>
    </row>
    <row r="1112" spans="1:11" x14ac:dyDescent="0.3">
      <c r="A1112" t="s">
        <v>257</v>
      </c>
      <c r="B1112" t="s">
        <v>258</v>
      </c>
      <c r="C1112">
        <v>2021</v>
      </c>
      <c r="D1112">
        <v>8834125459.6830006</v>
      </c>
      <c r="E1112">
        <v>12402486184</v>
      </c>
      <c r="F1112">
        <v>2810548</v>
      </c>
      <c r="G1112">
        <v>3.6038291920000001</v>
      </c>
      <c r="H1112">
        <v>83.54430309</v>
      </c>
      <c r="I1112">
        <v>104</v>
      </c>
      <c r="J1112">
        <v>7735637037.3180027</v>
      </c>
      <c r="K1112">
        <v>14.2</v>
      </c>
    </row>
    <row r="1113" spans="1:11" x14ac:dyDescent="0.3">
      <c r="A1113" t="s">
        <v>257</v>
      </c>
      <c r="B1113" t="s">
        <v>258</v>
      </c>
      <c r="C1113">
        <v>2022</v>
      </c>
      <c r="D1113">
        <v>11656436484.000999</v>
      </c>
      <c r="E1113">
        <v>12569449123</v>
      </c>
      <c r="F1113">
        <v>2889662</v>
      </c>
      <c r="G1113">
        <v>5.3987247800000002</v>
      </c>
      <c r="H1113">
        <v>99.262554780000002</v>
      </c>
      <c r="I1113">
        <v>100</v>
      </c>
      <c r="J1113">
        <v>8834125459.6830006</v>
      </c>
      <c r="K1113">
        <v>31.95</v>
      </c>
    </row>
    <row r="1114" spans="1:11" x14ac:dyDescent="0.3">
      <c r="A1114" t="s">
        <v>257</v>
      </c>
      <c r="B1114" t="s">
        <v>258</v>
      </c>
      <c r="C1114">
        <v>2023</v>
      </c>
      <c r="D1114">
        <v>11052051015.15</v>
      </c>
      <c r="E1114">
        <v>12522012874</v>
      </c>
      <c r="F1114">
        <v>2963095</v>
      </c>
      <c r="G1114">
        <v>4.3249804889999997</v>
      </c>
      <c r="H1114">
        <v>109.8175997</v>
      </c>
      <c r="I1114">
        <v>102</v>
      </c>
      <c r="J1114">
        <v>11656436484.000999</v>
      </c>
      <c r="K1114">
        <v>-5.18</v>
      </c>
    </row>
    <row r="1115" spans="1:11" x14ac:dyDescent="0.3">
      <c r="A1115" t="s">
        <v>257</v>
      </c>
      <c r="B1115" t="s">
        <v>258</v>
      </c>
      <c r="C1115">
        <v>2024</v>
      </c>
      <c r="D1115">
        <v>13087570286.567997</v>
      </c>
      <c r="E1115">
        <v>13641190683</v>
      </c>
      <c r="F1115">
        <v>3030131</v>
      </c>
      <c r="G1115">
        <v>3.7785172330000001</v>
      </c>
      <c r="H1115">
        <v>108.0011915</v>
      </c>
      <c r="I1115">
        <v>93</v>
      </c>
      <c r="J1115">
        <v>11052051015.15</v>
      </c>
      <c r="K1115">
        <v>18.420000000000002</v>
      </c>
    </row>
    <row r="1116" spans="1:11" x14ac:dyDescent="0.3">
      <c r="A1116" t="s">
        <v>259</v>
      </c>
      <c r="B1116" t="s">
        <v>260</v>
      </c>
      <c r="C1116">
        <v>2015</v>
      </c>
      <c r="D1116">
        <v>2477891233</v>
      </c>
      <c r="E1116">
        <v>8738203074</v>
      </c>
      <c r="F1116">
        <v>283168</v>
      </c>
      <c r="H1116">
        <v>60.046796100000002</v>
      </c>
      <c r="I1116">
        <v>127</v>
      </c>
    </row>
    <row r="1117" spans="1:11" x14ac:dyDescent="0.3">
      <c r="A1117" t="s">
        <v>261</v>
      </c>
      <c r="B1117" t="s">
        <v>262</v>
      </c>
      <c r="C1117">
        <v>2015</v>
      </c>
      <c r="D1117">
        <v>1579540622</v>
      </c>
      <c r="E1117">
        <v>9683867926</v>
      </c>
      <c r="F1117">
        <v>19939498</v>
      </c>
      <c r="G1117">
        <v>4.3926488319999999</v>
      </c>
      <c r="H1117">
        <v>44.72743037</v>
      </c>
      <c r="I1117">
        <v>134</v>
      </c>
    </row>
    <row r="1118" spans="1:11" x14ac:dyDescent="0.3">
      <c r="A1118" t="s">
        <v>261</v>
      </c>
      <c r="B1118" t="s">
        <v>262</v>
      </c>
      <c r="C1118">
        <v>2016</v>
      </c>
      <c r="D1118">
        <v>1328857523.1979995</v>
      </c>
      <c r="E1118">
        <v>10341025540</v>
      </c>
      <c r="F1118">
        <v>20685753</v>
      </c>
      <c r="G1118">
        <v>4.2813755850000002</v>
      </c>
      <c r="H1118">
        <v>36.67483781</v>
      </c>
      <c r="I1118">
        <v>137</v>
      </c>
      <c r="J1118">
        <v>1579540622</v>
      </c>
      <c r="K1118">
        <v>-15.87</v>
      </c>
    </row>
    <row r="1119" spans="1:11" x14ac:dyDescent="0.3">
      <c r="A1119" t="s">
        <v>261</v>
      </c>
      <c r="B1119" t="s">
        <v>262</v>
      </c>
      <c r="C1119">
        <v>2017</v>
      </c>
      <c r="D1119">
        <v>1741746394.6209998</v>
      </c>
      <c r="E1119">
        <v>11359273443</v>
      </c>
      <c r="F1119">
        <v>21435446</v>
      </c>
      <c r="G1119">
        <v>5.5319853129999998</v>
      </c>
      <c r="H1119">
        <v>39.029895639999999</v>
      </c>
      <c r="I1119">
        <v>135</v>
      </c>
      <c r="J1119">
        <v>1328857523.1979995</v>
      </c>
      <c r="K1119">
        <v>31.07</v>
      </c>
    </row>
    <row r="1120" spans="1:11" x14ac:dyDescent="0.3">
      <c r="A1120" t="s">
        <v>261</v>
      </c>
      <c r="B1120" t="s">
        <v>262</v>
      </c>
      <c r="C1120">
        <v>2018</v>
      </c>
      <c r="D1120">
        <v>1777598875.27</v>
      </c>
      <c r="E1120">
        <v>12800907986</v>
      </c>
      <c r="F1120">
        <v>22188069</v>
      </c>
      <c r="G1120">
        <v>6.8945842089999996</v>
      </c>
      <c r="H1120">
        <v>38.292969599999999</v>
      </c>
      <c r="I1120">
        <v>134</v>
      </c>
      <c r="J1120">
        <v>1741746394.6209998</v>
      </c>
      <c r="K1120">
        <v>2.06</v>
      </c>
    </row>
    <row r="1121" spans="1:11" x14ac:dyDescent="0.3">
      <c r="A1121" t="s">
        <v>261</v>
      </c>
      <c r="B1121" t="s">
        <v>262</v>
      </c>
      <c r="C1121">
        <v>2019</v>
      </c>
      <c r="D1121">
        <v>1391846284.3870003</v>
      </c>
      <c r="E1121">
        <v>12420836507</v>
      </c>
      <c r="F1121">
        <v>22947757</v>
      </c>
      <c r="G1121">
        <v>6.0788152899999996</v>
      </c>
      <c r="H1121">
        <v>39.289303670000002</v>
      </c>
      <c r="I1121">
        <v>139</v>
      </c>
      <c r="J1121">
        <v>1777598875.27</v>
      </c>
      <c r="K1121">
        <v>-21.7</v>
      </c>
    </row>
    <row r="1122" spans="1:11" x14ac:dyDescent="0.3">
      <c r="A1122" t="s">
        <v>261</v>
      </c>
      <c r="B1122" t="s">
        <v>262</v>
      </c>
      <c r="C1122">
        <v>2020</v>
      </c>
      <c r="D1122">
        <v>1412780952.6540008</v>
      </c>
      <c r="E1122">
        <v>13648332190</v>
      </c>
      <c r="F1122">
        <v>23717613</v>
      </c>
      <c r="G1122">
        <v>4.454818038</v>
      </c>
      <c r="H1122">
        <v>36.338819690000001</v>
      </c>
      <c r="I1122">
        <v>136</v>
      </c>
      <c r="J1122">
        <v>1391846284.3870003</v>
      </c>
      <c r="K1122">
        <v>1.5</v>
      </c>
    </row>
    <row r="1123" spans="1:11" x14ac:dyDescent="0.3">
      <c r="A1123" t="s">
        <v>261</v>
      </c>
      <c r="B1123" t="s">
        <v>262</v>
      </c>
      <c r="C1123">
        <v>2021</v>
      </c>
      <c r="D1123">
        <v>1474232844.5299997</v>
      </c>
      <c r="E1123">
        <v>14936154253</v>
      </c>
      <c r="F1123">
        <v>24502140</v>
      </c>
      <c r="G1123">
        <v>1.115200639</v>
      </c>
      <c r="H1123">
        <v>38.046094879999998</v>
      </c>
      <c r="I1123">
        <v>137</v>
      </c>
      <c r="J1123">
        <v>1412780952.6540008</v>
      </c>
      <c r="K1123">
        <v>4.3499999999999996</v>
      </c>
    </row>
    <row r="1124" spans="1:11" x14ac:dyDescent="0.3">
      <c r="A1124" t="s">
        <v>261</v>
      </c>
      <c r="B1124" t="s">
        <v>262</v>
      </c>
      <c r="C1124">
        <v>2022</v>
      </c>
      <c r="D1124">
        <v>846698123.36200011</v>
      </c>
      <c r="E1124">
        <v>15531799641</v>
      </c>
      <c r="F1124">
        <v>25311973</v>
      </c>
      <c r="G1124">
        <v>12.221549749999999</v>
      </c>
      <c r="H1124">
        <v>37.146045409999999</v>
      </c>
      <c r="I1124">
        <v>140</v>
      </c>
      <c r="J1124">
        <v>1474232844.5299997</v>
      </c>
      <c r="K1124">
        <v>-42.57</v>
      </c>
    </row>
    <row r="1125" spans="1:11" x14ac:dyDescent="0.3">
      <c r="A1125" t="s">
        <v>261</v>
      </c>
      <c r="B1125" t="s">
        <v>262</v>
      </c>
      <c r="C1125">
        <v>2023</v>
      </c>
      <c r="D1125">
        <v>934852444.84399998</v>
      </c>
      <c r="E1125">
        <v>16949765464</v>
      </c>
      <c r="F1125">
        <v>26159867</v>
      </c>
      <c r="G1125">
        <v>2.6351698039999998</v>
      </c>
      <c r="H1125">
        <v>30.717653510000002</v>
      </c>
      <c r="I1125">
        <v>136</v>
      </c>
      <c r="J1125">
        <v>846698123.36200011</v>
      </c>
      <c r="K1125">
        <v>10.41</v>
      </c>
    </row>
    <row r="1126" spans="1:11" x14ac:dyDescent="0.3">
      <c r="A1126" t="s">
        <v>261</v>
      </c>
      <c r="B1126" t="s">
        <v>262</v>
      </c>
      <c r="C1126">
        <v>2024</v>
      </c>
      <c r="D1126">
        <v>2015573314.8740001</v>
      </c>
      <c r="E1126">
        <v>19729786047</v>
      </c>
      <c r="F1126">
        <v>27032412</v>
      </c>
      <c r="G1126">
        <v>8.3232705829999993</v>
      </c>
      <c r="H1126">
        <v>24.38894621</v>
      </c>
      <c r="I1126">
        <v>113</v>
      </c>
      <c r="J1126">
        <v>934852444.84399998</v>
      </c>
      <c r="K1126">
        <v>115.6</v>
      </c>
    </row>
    <row r="1127" spans="1:11" x14ac:dyDescent="0.3">
      <c r="A1127" t="s">
        <v>263</v>
      </c>
      <c r="B1127" t="s">
        <v>264</v>
      </c>
      <c r="C1127">
        <v>2015</v>
      </c>
      <c r="D1127">
        <v>96866702739.303024</v>
      </c>
      <c r="E1127">
        <v>493000000000</v>
      </c>
      <c r="F1127">
        <v>190671878</v>
      </c>
      <c r="G1127">
        <v>2.6526932950000002</v>
      </c>
      <c r="I1127">
        <v>46</v>
      </c>
    </row>
    <row r="1128" spans="1:11" x14ac:dyDescent="0.3">
      <c r="A1128" t="s">
        <v>263</v>
      </c>
      <c r="B1128" t="s">
        <v>264</v>
      </c>
      <c r="C1128">
        <v>2016</v>
      </c>
      <c r="D1128">
        <v>65766090936</v>
      </c>
      <c r="E1128">
        <v>405000000000</v>
      </c>
      <c r="F1128">
        <v>195443700</v>
      </c>
      <c r="G1128">
        <v>-1.6168689490000001</v>
      </c>
      <c r="I1128">
        <v>51</v>
      </c>
      <c r="J1128">
        <v>96866702739.303024</v>
      </c>
      <c r="K1128">
        <v>-32.11</v>
      </c>
    </row>
    <row r="1129" spans="1:11" x14ac:dyDescent="0.3">
      <c r="A1129" t="s">
        <v>263</v>
      </c>
      <c r="B1129" t="s">
        <v>264</v>
      </c>
      <c r="C1129">
        <v>2017</v>
      </c>
      <c r="D1129">
        <v>88932733514.230988</v>
      </c>
      <c r="E1129">
        <v>376000000000</v>
      </c>
      <c r="F1129">
        <v>200254579</v>
      </c>
      <c r="G1129">
        <v>0.80588661900000003</v>
      </c>
      <c r="I1129">
        <v>46</v>
      </c>
      <c r="J1129">
        <v>65766090936</v>
      </c>
      <c r="K1129">
        <v>35.229999999999997</v>
      </c>
    </row>
    <row r="1130" spans="1:11" x14ac:dyDescent="0.3">
      <c r="A1130" t="s">
        <v>263</v>
      </c>
      <c r="B1130" t="s">
        <v>264</v>
      </c>
      <c r="C1130">
        <v>2018</v>
      </c>
      <c r="D1130">
        <v>124799392680.83505</v>
      </c>
      <c r="E1130">
        <v>422000000000</v>
      </c>
      <c r="F1130">
        <v>204938755</v>
      </c>
      <c r="G1130">
        <v>1.9227573419999999</v>
      </c>
      <c r="I1130">
        <v>43</v>
      </c>
      <c r="J1130">
        <v>88932733514.230988</v>
      </c>
      <c r="K1130">
        <v>40.33</v>
      </c>
    </row>
    <row r="1131" spans="1:11" x14ac:dyDescent="0.3">
      <c r="A1131" t="s">
        <v>263</v>
      </c>
      <c r="B1131" t="s">
        <v>264</v>
      </c>
      <c r="C1131">
        <v>2019</v>
      </c>
      <c r="D1131">
        <v>107235624380.59999</v>
      </c>
      <c r="E1131">
        <v>668000000000</v>
      </c>
      <c r="F1131">
        <v>209485641</v>
      </c>
      <c r="G1131">
        <v>2.2084292780000001</v>
      </c>
      <c r="I1131">
        <v>45</v>
      </c>
      <c r="J1131">
        <v>124799392680.83505</v>
      </c>
      <c r="K1131">
        <v>-14.07</v>
      </c>
    </row>
    <row r="1132" spans="1:11" x14ac:dyDescent="0.3">
      <c r="A1132" t="s">
        <v>263</v>
      </c>
      <c r="B1132" t="s">
        <v>264</v>
      </c>
      <c r="C1132">
        <v>2020</v>
      </c>
      <c r="D1132">
        <v>69800942182.63295</v>
      </c>
      <c r="E1132">
        <v>599000000000</v>
      </c>
      <c r="F1132">
        <v>213996181</v>
      </c>
      <c r="G1132">
        <v>-6.3688984050000004</v>
      </c>
      <c r="I1132">
        <v>50</v>
      </c>
      <c r="J1132">
        <v>107235624380.59999</v>
      </c>
      <c r="K1132">
        <v>-34.909999999999997</v>
      </c>
    </row>
    <row r="1133" spans="1:11" x14ac:dyDescent="0.3">
      <c r="A1133" t="s">
        <v>263</v>
      </c>
      <c r="B1133" t="s">
        <v>264</v>
      </c>
      <c r="C1133">
        <v>2021</v>
      </c>
      <c r="D1133">
        <v>94463425860.727982</v>
      </c>
      <c r="E1133">
        <v>609000000000</v>
      </c>
      <c r="F1133">
        <v>218529286</v>
      </c>
      <c r="G1133">
        <v>1.10925254</v>
      </c>
      <c r="I1133">
        <v>49</v>
      </c>
      <c r="J1133">
        <v>69800942182.63295</v>
      </c>
      <c r="K1133">
        <v>35.33</v>
      </c>
    </row>
    <row r="1134" spans="1:11" x14ac:dyDescent="0.3">
      <c r="A1134" t="s">
        <v>263</v>
      </c>
      <c r="B1134" t="s">
        <v>264</v>
      </c>
      <c r="C1134">
        <v>2022</v>
      </c>
      <c r="D1134">
        <v>126833422763.20609</v>
      </c>
      <c r="E1134">
        <v>647000000000</v>
      </c>
      <c r="F1134">
        <v>223150896</v>
      </c>
      <c r="G1134">
        <v>4.3188294919999999</v>
      </c>
      <c r="I1134">
        <v>46</v>
      </c>
      <c r="J1134">
        <v>94463425860.727982</v>
      </c>
      <c r="K1134">
        <v>34.270000000000003</v>
      </c>
    </row>
    <row r="1135" spans="1:11" x14ac:dyDescent="0.3">
      <c r="A1135" t="s">
        <v>263</v>
      </c>
      <c r="B1135" t="s">
        <v>264</v>
      </c>
      <c r="C1135">
        <v>2023</v>
      </c>
      <c r="D1135">
        <v>130258015095.73695</v>
      </c>
      <c r="E1135">
        <v>487000000000</v>
      </c>
      <c r="F1135">
        <v>227882945</v>
      </c>
      <c r="G1135">
        <v>3.315903681</v>
      </c>
      <c r="I1135">
        <v>43</v>
      </c>
      <c r="J1135">
        <v>126833422763.20609</v>
      </c>
      <c r="K1135">
        <v>2.7</v>
      </c>
    </row>
    <row r="1136" spans="1:11" x14ac:dyDescent="0.3">
      <c r="A1136" t="s">
        <v>263</v>
      </c>
      <c r="B1136" t="s">
        <v>264</v>
      </c>
      <c r="C1136">
        <v>2024</v>
      </c>
      <c r="D1136">
        <v>104723401574.56094</v>
      </c>
      <c r="E1136">
        <v>252000000000</v>
      </c>
      <c r="F1136">
        <v>232679478</v>
      </c>
      <c r="G1136">
        <v>4.0710665009999998</v>
      </c>
      <c r="I1136">
        <v>47</v>
      </c>
      <c r="J1136">
        <v>130258015095.73695</v>
      </c>
      <c r="K1136">
        <v>-19.600000000000001</v>
      </c>
    </row>
    <row r="1137" spans="1:11" x14ac:dyDescent="0.3">
      <c r="A1137" t="s">
        <v>265</v>
      </c>
      <c r="B1137" t="s">
        <v>266</v>
      </c>
      <c r="C1137">
        <v>2015</v>
      </c>
      <c r="D1137">
        <v>9334731220</v>
      </c>
      <c r="E1137">
        <v>12756696261</v>
      </c>
      <c r="F1137">
        <v>6149417</v>
      </c>
      <c r="G1137">
        <v>4.7922676830000004</v>
      </c>
      <c r="H1137">
        <v>98.19416459</v>
      </c>
      <c r="I1137">
        <v>99</v>
      </c>
    </row>
    <row r="1138" spans="1:11" x14ac:dyDescent="0.3">
      <c r="A1138" t="s">
        <v>265</v>
      </c>
      <c r="B1138" t="s">
        <v>266</v>
      </c>
      <c r="C1138">
        <v>2016</v>
      </c>
      <c r="D1138">
        <v>9183923957.8599949</v>
      </c>
      <c r="E1138">
        <v>13286093388</v>
      </c>
      <c r="F1138">
        <v>6232666</v>
      </c>
      <c r="G1138">
        <v>4.5631473949999997</v>
      </c>
      <c r="H1138">
        <v>93.813727810000003</v>
      </c>
      <c r="I1138">
        <v>100</v>
      </c>
      <c r="J1138">
        <v>9334731220</v>
      </c>
      <c r="K1138">
        <v>-1.62</v>
      </c>
    </row>
    <row r="1139" spans="1:11" x14ac:dyDescent="0.3">
      <c r="A1139" t="s">
        <v>265</v>
      </c>
      <c r="B1139" t="s">
        <v>266</v>
      </c>
      <c r="C1139">
        <v>2017</v>
      </c>
      <c r="D1139">
        <v>9851162355.3199997</v>
      </c>
      <c r="E1139">
        <v>13785893007</v>
      </c>
      <c r="F1139">
        <v>6316231</v>
      </c>
      <c r="G1139">
        <v>4.6312075760000004</v>
      </c>
      <c r="H1139">
        <v>96.380586440000002</v>
      </c>
      <c r="I1139">
        <v>100</v>
      </c>
      <c r="J1139">
        <v>9183923957.8599949</v>
      </c>
      <c r="K1139">
        <v>7.27</v>
      </c>
    </row>
    <row r="1140" spans="1:11" x14ac:dyDescent="0.3">
      <c r="A1140" t="s">
        <v>265</v>
      </c>
      <c r="B1140" t="s">
        <v>266</v>
      </c>
      <c r="C1140">
        <v>2018</v>
      </c>
      <c r="D1140">
        <v>10027815139.259998</v>
      </c>
      <c r="E1140">
        <v>13025221974</v>
      </c>
      <c r="F1140">
        <v>6400080</v>
      </c>
      <c r="G1140">
        <v>-3.36335666</v>
      </c>
      <c r="H1140">
        <v>93.984740489999993</v>
      </c>
      <c r="I1140">
        <v>101</v>
      </c>
      <c r="J1140">
        <v>9851162355.3199997</v>
      </c>
      <c r="K1140">
        <v>1.79</v>
      </c>
    </row>
    <row r="1141" spans="1:11" x14ac:dyDescent="0.3">
      <c r="A1141" t="s">
        <v>265</v>
      </c>
      <c r="B1141" t="s">
        <v>266</v>
      </c>
      <c r="C1141">
        <v>2019</v>
      </c>
      <c r="D1141">
        <v>10545106242.66</v>
      </c>
      <c r="E1141">
        <v>12699023614</v>
      </c>
      <c r="F1141">
        <v>6483657</v>
      </c>
      <c r="G1141">
        <v>-2.8968698669999999</v>
      </c>
      <c r="H1141">
        <v>94.042215920000004</v>
      </c>
      <c r="I1141">
        <v>98</v>
      </c>
      <c r="J1141">
        <v>10027815139.259998</v>
      </c>
      <c r="K1141">
        <v>5.16</v>
      </c>
    </row>
    <row r="1142" spans="1:11" x14ac:dyDescent="0.3">
      <c r="A1142" t="s">
        <v>265</v>
      </c>
      <c r="B1142" t="s">
        <v>266</v>
      </c>
      <c r="C1142">
        <v>2020</v>
      </c>
      <c r="D1142">
        <v>10174675439.74</v>
      </c>
      <c r="E1142">
        <v>12726422432</v>
      </c>
      <c r="F1142">
        <v>6565267</v>
      </c>
      <c r="G1142">
        <v>-2.236541763</v>
      </c>
      <c r="H1142">
        <v>88.638123120000003</v>
      </c>
      <c r="I1142">
        <v>94</v>
      </c>
      <c r="J1142">
        <v>10545106242.66</v>
      </c>
      <c r="K1142">
        <v>-3.51</v>
      </c>
    </row>
    <row r="1143" spans="1:11" x14ac:dyDescent="0.3">
      <c r="A1143" t="s">
        <v>265</v>
      </c>
      <c r="B1143" t="s">
        <v>266</v>
      </c>
      <c r="C1143">
        <v>2021</v>
      </c>
      <c r="D1143">
        <v>12989969733.84</v>
      </c>
      <c r="E1143">
        <v>14209019392</v>
      </c>
      <c r="F1143">
        <v>6644741</v>
      </c>
      <c r="G1143">
        <v>10.45438878</v>
      </c>
      <c r="H1143">
        <v>106.20739810000001</v>
      </c>
      <c r="I1143">
        <v>95</v>
      </c>
      <c r="J1143">
        <v>10174675439.74</v>
      </c>
      <c r="K1143">
        <v>27.67</v>
      </c>
    </row>
    <row r="1144" spans="1:11" x14ac:dyDescent="0.3">
      <c r="A1144" t="s">
        <v>265</v>
      </c>
      <c r="B1144" t="s">
        <v>266</v>
      </c>
      <c r="C1144">
        <v>2022</v>
      </c>
      <c r="D1144">
        <v>14719657601.9</v>
      </c>
      <c r="E1144">
        <v>15634573556</v>
      </c>
      <c r="F1144">
        <v>6730654</v>
      </c>
      <c r="G1144">
        <v>3.5502747710000002</v>
      </c>
      <c r="H1144">
        <v>115.4546709</v>
      </c>
      <c r="I1144">
        <v>96</v>
      </c>
      <c r="J1144">
        <v>12989969733.84</v>
      </c>
      <c r="K1144">
        <v>13.32</v>
      </c>
    </row>
    <row r="1145" spans="1:11" x14ac:dyDescent="0.3">
      <c r="A1145" t="s">
        <v>265</v>
      </c>
      <c r="B1145" t="s">
        <v>266</v>
      </c>
      <c r="C1145">
        <v>2023</v>
      </c>
      <c r="D1145">
        <v>14756972854.079992</v>
      </c>
      <c r="E1145">
        <v>17805842221</v>
      </c>
      <c r="F1145">
        <v>6823613</v>
      </c>
      <c r="G1145">
        <v>4.4277939320000002</v>
      </c>
      <c r="H1145">
        <v>105.0195356</v>
      </c>
      <c r="I1145">
        <v>92</v>
      </c>
      <c r="J1145">
        <v>14719657601.9</v>
      </c>
      <c r="K1145">
        <v>0.25</v>
      </c>
    </row>
    <row r="1146" spans="1:11" x14ac:dyDescent="0.3">
      <c r="A1146" t="s">
        <v>265</v>
      </c>
      <c r="B1146" t="s">
        <v>266</v>
      </c>
      <c r="C1146">
        <v>2024</v>
      </c>
      <c r="D1146">
        <v>15043703233.000002</v>
      </c>
      <c r="E1146">
        <v>19696311850</v>
      </c>
      <c r="F1146">
        <v>6916140</v>
      </c>
      <c r="G1146">
        <v>3.5809449529999999</v>
      </c>
      <c r="H1146">
        <v>99.146065089999993</v>
      </c>
      <c r="I1146">
        <v>88</v>
      </c>
      <c r="J1146">
        <v>14756972854.079992</v>
      </c>
      <c r="K1146">
        <v>1.94</v>
      </c>
    </row>
    <row r="1147" spans="1:11" x14ac:dyDescent="0.3">
      <c r="A1147" t="s">
        <v>267</v>
      </c>
      <c r="B1147" t="s">
        <v>268</v>
      </c>
      <c r="C1147">
        <v>2015</v>
      </c>
      <c r="D1147">
        <v>929394432946.56665</v>
      </c>
      <c r="E1147">
        <v>776000000000</v>
      </c>
      <c r="F1147">
        <v>16939923</v>
      </c>
      <c r="G1147">
        <v>2.120640072</v>
      </c>
      <c r="H1147">
        <v>160.32581260000001</v>
      </c>
      <c r="I1147">
        <v>8</v>
      </c>
    </row>
    <row r="1148" spans="1:11" x14ac:dyDescent="0.3">
      <c r="A1148" t="s">
        <v>267</v>
      </c>
      <c r="B1148" t="s">
        <v>268</v>
      </c>
      <c r="C1148">
        <v>2016</v>
      </c>
      <c r="D1148">
        <v>936352656282.18054</v>
      </c>
      <c r="E1148">
        <v>797000000000</v>
      </c>
      <c r="F1148">
        <v>17030314</v>
      </c>
      <c r="G1148">
        <v>2.4242806539999999</v>
      </c>
      <c r="H1148">
        <v>150.96552919999999</v>
      </c>
      <c r="I1148">
        <v>7</v>
      </c>
      <c r="J1148">
        <v>929394432946.56665</v>
      </c>
      <c r="K1148">
        <v>0.75</v>
      </c>
    </row>
    <row r="1149" spans="1:11" x14ac:dyDescent="0.3">
      <c r="A1149" t="s">
        <v>267</v>
      </c>
      <c r="B1149" t="s">
        <v>268</v>
      </c>
      <c r="C1149">
        <v>2017</v>
      </c>
      <c r="D1149">
        <v>1055815644698.5747</v>
      </c>
      <c r="E1149">
        <v>848000000000</v>
      </c>
      <c r="F1149">
        <v>17131296</v>
      </c>
      <c r="G1149">
        <v>2.7815083469999999</v>
      </c>
      <c r="H1149">
        <v>159.6460597</v>
      </c>
      <c r="I1149">
        <v>6</v>
      </c>
      <c r="J1149">
        <v>936352656282.18054</v>
      </c>
      <c r="K1149">
        <v>12.76</v>
      </c>
    </row>
    <row r="1150" spans="1:11" x14ac:dyDescent="0.3">
      <c r="A1150" t="s">
        <v>267</v>
      </c>
      <c r="B1150" t="s">
        <v>268</v>
      </c>
      <c r="C1150">
        <v>2018</v>
      </c>
      <c r="D1150">
        <v>1175786168857.366</v>
      </c>
      <c r="E1150">
        <v>930000000000</v>
      </c>
      <c r="F1150">
        <v>17231624</v>
      </c>
      <c r="G1150">
        <v>2.2587315819999998</v>
      </c>
      <c r="H1150">
        <v>163.55914659999999</v>
      </c>
      <c r="I1150">
        <v>5</v>
      </c>
      <c r="J1150">
        <v>1055815644698.5747</v>
      </c>
      <c r="K1150">
        <v>11.36</v>
      </c>
    </row>
    <row r="1151" spans="1:11" x14ac:dyDescent="0.3">
      <c r="A1151" t="s">
        <v>267</v>
      </c>
      <c r="B1151" t="s">
        <v>268</v>
      </c>
      <c r="C1151">
        <v>2019</v>
      </c>
      <c r="D1151">
        <v>1153568910822.5483</v>
      </c>
      <c r="E1151">
        <v>929000000000</v>
      </c>
      <c r="F1151">
        <v>17344874</v>
      </c>
      <c r="G1151">
        <v>2.300161605</v>
      </c>
      <c r="H1151">
        <v>160.6766719</v>
      </c>
      <c r="I1151">
        <v>4</v>
      </c>
      <c r="J1151">
        <v>1175786168857.366</v>
      </c>
      <c r="K1151">
        <v>-1.89</v>
      </c>
    </row>
    <row r="1152" spans="1:11" x14ac:dyDescent="0.3">
      <c r="A1152" t="s">
        <v>267</v>
      </c>
      <c r="B1152" t="s">
        <v>268</v>
      </c>
      <c r="C1152">
        <v>2020</v>
      </c>
      <c r="D1152">
        <v>1102705584563.7949</v>
      </c>
      <c r="E1152">
        <v>933000000000</v>
      </c>
      <c r="F1152">
        <v>17441500</v>
      </c>
      <c r="G1152">
        <v>-3.8679971420000001</v>
      </c>
      <c r="H1152">
        <v>152.2332304</v>
      </c>
      <c r="I1152">
        <v>5</v>
      </c>
      <c r="J1152">
        <v>1153568910822.5483</v>
      </c>
      <c r="K1152">
        <v>-4.41</v>
      </c>
    </row>
    <row r="1153" spans="1:11" x14ac:dyDescent="0.3">
      <c r="A1153" t="s">
        <v>267</v>
      </c>
      <c r="B1153" t="s">
        <v>268</v>
      </c>
      <c r="C1153">
        <v>2021</v>
      </c>
      <c r="D1153">
        <v>1393746514369.9468</v>
      </c>
      <c r="E1153">
        <v>1050000000000</v>
      </c>
      <c r="F1153">
        <v>17533044</v>
      </c>
      <c r="G1153">
        <v>6.2768359370000004</v>
      </c>
      <c r="H1153">
        <v>163.15484269999999</v>
      </c>
      <c r="I1153">
        <v>4</v>
      </c>
      <c r="J1153">
        <v>1102705584563.7949</v>
      </c>
      <c r="K1153">
        <v>26.39</v>
      </c>
    </row>
    <row r="1154" spans="1:11" x14ac:dyDescent="0.3">
      <c r="A1154" t="s">
        <v>267</v>
      </c>
      <c r="B1154" t="s">
        <v>268</v>
      </c>
      <c r="C1154">
        <v>2022</v>
      </c>
      <c r="D1154">
        <v>1536518539361.6272</v>
      </c>
      <c r="E1154">
        <v>1050000000000</v>
      </c>
      <c r="F1154">
        <v>17700982</v>
      </c>
      <c r="G1154">
        <v>5.0072345340000002</v>
      </c>
      <c r="H1154">
        <v>184.10748430000001</v>
      </c>
      <c r="I1154">
        <v>3</v>
      </c>
      <c r="J1154">
        <v>1393746514369.9468</v>
      </c>
      <c r="K1154">
        <v>10.24</v>
      </c>
    </row>
    <row r="1155" spans="1:11" x14ac:dyDescent="0.3">
      <c r="A1155" t="s">
        <v>267</v>
      </c>
      <c r="B1155" t="s">
        <v>268</v>
      </c>
      <c r="C1155">
        <v>2023</v>
      </c>
      <c r="D1155">
        <v>1434880199116.707</v>
      </c>
      <c r="E1155">
        <v>1140000000000</v>
      </c>
      <c r="F1155">
        <v>17877117</v>
      </c>
      <c r="G1155">
        <v>-0.598061018</v>
      </c>
      <c r="H1155">
        <v>165.0304295</v>
      </c>
      <c r="I1155">
        <v>4</v>
      </c>
      <c r="J1155">
        <v>1536518539361.6272</v>
      </c>
      <c r="K1155">
        <v>-6.61</v>
      </c>
    </row>
    <row r="1156" spans="1:11" x14ac:dyDescent="0.3">
      <c r="A1156" t="s">
        <v>267</v>
      </c>
      <c r="B1156" t="s">
        <v>268</v>
      </c>
      <c r="C1156">
        <v>2024</v>
      </c>
      <c r="D1156">
        <v>1398511380067.49</v>
      </c>
      <c r="E1156">
        <v>1210000000000</v>
      </c>
      <c r="F1156">
        <v>17993485</v>
      </c>
      <c r="G1156">
        <v>1.073831373</v>
      </c>
      <c r="H1156">
        <v>153.95629059999999</v>
      </c>
      <c r="I1156">
        <v>4</v>
      </c>
      <c r="J1156">
        <v>1434880199116.707</v>
      </c>
      <c r="K1156">
        <v>-2.5299999999999998</v>
      </c>
    </row>
    <row r="1157" spans="1:11" x14ac:dyDescent="0.3">
      <c r="A1157" t="s">
        <v>269</v>
      </c>
      <c r="B1157" t="s">
        <v>270</v>
      </c>
      <c r="C1157">
        <v>2015</v>
      </c>
      <c r="D1157">
        <v>1320363977</v>
      </c>
      <c r="E1157">
        <v>24360801287</v>
      </c>
      <c r="F1157">
        <v>27823629</v>
      </c>
      <c r="G1157">
        <v>3.9760532720000001</v>
      </c>
      <c r="H1157">
        <v>46.66573039</v>
      </c>
      <c r="I1157">
        <v>135</v>
      </c>
    </row>
    <row r="1158" spans="1:11" x14ac:dyDescent="0.3">
      <c r="A1158" t="s">
        <v>269</v>
      </c>
      <c r="B1158" t="s">
        <v>270</v>
      </c>
      <c r="C1158">
        <v>2016</v>
      </c>
      <c r="D1158">
        <v>1457692880.2100003</v>
      </c>
      <c r="E1158">
        <v>24524109484</v>
      </c>
      <c r="F1158">
        <v>27955462</v>
      </c>
      <c r="G1158">
        <v>0.43311371900000001</v>
      </c>
      <c r="H1158">
        <v>42.11548612</v>
      </c>
      <c r="I1158">
        <v>136</v>
      </c>
      <c r="J1158">
        <v>1320363977</v>
      </c>
      <c r="K1158">
        <v>10.4</v>
      </c>
    </row>
    <row r="1159" spans="1:11" x14ac:dyDescent="0.3">
      <c r="A1159" t="s">
        <v>269</v>
      </c>
      <c r="B1159" t="s">
        <v>270</v>
      </c>
      <c r="C1159">
        <v>2017</v>
      </c>
      <c r="D1159">
        <v>1481485828.8320003</v>
      </c>
      <c r="E1159">
        <v>28971588940</v>
      </c>
      <c r="F1159">
        <v>28011258</v>
      </c>
      <c r="G1159">
        <v>8.9772793560000004</v>
      </c>
      <c r="H1159">
        <v>44.64241062</v>
      </c>
      <c r="I1159">
        <v>140</v>
      </c>
      <c r="J1159">
        <v>1457692880.2100003</v>
      </c>
      <c r="K1159">
        <v>1.63</v>
      </c>
    </row>
    <row r="1160" spans="1:11" x14ac:dyDescent="0.3">
      <c r="A1160" t="s">
        <v>269</v>
      </c>
      <c r="B1160" t="s">
        <v>270</v>
      </c>
      <c r="C1160">
        <v>2018</v>
      </c>
      <c r="D1160">
        <v>1562285513.1200001</v>
      </c>
      <c r="E1160">
        <v>33111525237</v>
      </c>
      <c r="F1160">
        <v>28079689</v>
      </c>
      <c r="G1160">
        <v>7.6223761039999998</v>
      </c>
      <c r="H1160">
        <v>48.447386950000002</v>
      </c>
      <c r="I1160">
        <v>139</v>
      </c>
      <c r="J1160">
        <v>1481485828.8320003</v>
      </c>
      <c r="K1160">
        <v>5.45</v>
      </c>
    </row>
    <row r="1161" spans="1:11" x14ac:dyDescent="0.3">
      <c r="A1161" t="s">
        <v>269</v>
      </c>
      <c r="B1161" t="s">
        <v>270</v>
      </c>
      <c r="C1161">
        <v>2019</v>
      </c>
      <c r="D1161">
        <v>1919257041.6199992</v>
      </c>
      <c r="E1161">
        <v>34186180699</v>
      </c>
      <c r="F1161">
        <v>28414064</v>
      </c>
      <c r="G1161">
        <v>6.6570554309999999</v>
      </c>
      <c r="H1161">
        <v>49.249526590000002</v>
      </c>
      <c r="I1161">
        <v>132</v>
      </c>
      <c r="J1161">
        <v>1562285513.1200001</v>
      </c>
      <c r="K1161">
        <v>22.85</v>
      </c>
    </row>
    <row r="1162" spans="1:11" x14ac:dyDescent="0.3">
      <c r="A1162" t="s">
        <v>269</v>
      </c>
      <c r="B1162" t="s">
        <v>270</v>
      </c>
      <c r="C1162">
        <v>2020</v>
      </c>
      <c r="D1162">
        <v>1710841209.8960001</v>
      </c>
      <c r="E1162">
        <v>33433659301</v>
      </c>
      <c r="F1162">
        <v>28966574</v>
      </c>
      <c r="G1162">
        <v>-2.3696206289999999</v>
      </c>
      <c r="H1162">
        <v>40.918874119999998</v>
      </c>
      <c r="I1162">
        <v>130</v>
      </c>
      <c r="J1162">
        <v>1919257041.6199992</v>
      </c>
      <c r="K1162">
        <v>-10.86</v>
      </c>
    </row>
    <row r="1163" spans="1:11" x14ac:dyDescent="0.3">
      <c r="A1163" t="s">
        <v>269</v>
      </c>
      <c r="B1163" t="s">
        <v>270</v>
      </c>
      <c r="C1163">
        <v>2021</v>
      </c>
      <c r="D1163">
        <v>3331455589.1000009</v>
      </c>
      <c r="E1163">
        <v>36924841394</v>
      </c>
      <c r="F1163">
        <v>29475010</v>
      </c>
      <c r="G1163">
        <v>4.8381496139999998</v>
      </c>
      <c r="H1163">
        <v>43.053804790000001</v>
      </c>
      <c r="I1163">
        <v>126</v>
      </c>
      <c r="J1163">
        <v>1710841209.8960001</v>
      </c>
      <c r="K1163">
        <v>94.73</v>
      </c>
    </row>
    <row r="1164" spans="1:11" x14ac:dyDescent="0.3">
      <c r="A1164" t="s">
        <v>269</v>
      </c>
      <c r="B1164" t="s">
        <v>270</v>
      </c>
      <c r="C1164">
        <v>2022</v>
      </c>
      <c r="D1164">
        <v>2600939512.9919996</v>
      </c>
      <c r="E1164">
        <v>41182939520</v>
      </c>
      <c r="F1164">
        <v>29715436</v>
      </c>
      <c r="G1164">
        <v>5.6313145569999996</v>
      </c>
      <c r="H1164">
        <v>48.97340148</v>
      </c>
      <c r="I1164">
        <v>129</v>
      </c>
      <c r="J1164">
        <v>3331455589.1000009</v>
      </c>
      <c r="K1164">
        <v>-21.93</v>
      </c>
    </row>
    <row r="1165" spans="1:11" x14ac:dyDescent="0.3">
      <c r="A1165" t="s">
        <v>271</v>
      </c>
      <c r="B1165" t="s">
        <v>272</v>
      </c>
      <c r="C1165">
        <v>2015</v>
      </c>
      <c r="D1165">
        <v>68714670246.476021</v>
      </c>
      <c r="E1165">
        <v>178000000000</v>
      </c>
      <c r="F1165">
        <v>4609400</v>
      </c>
      <c r="G1165">
        <v>3.7296831209999999</v>
      </c>
      <c r="H1165">
        <v>54.874950579999997</v>
      </c>
      <c r="I1165">
        <v>53</v>
      </c>
    </row>
    <row r="1166" spans="1:11" x14ac:dyDescent="0.3">
      <c r="A1166" t="s">
        <v>271</v>
      </c>
      <c r="B1166" t="s">
        <v>272</v>
      </c>
      <c r="C1166">
        <v>2016</v>
      </c>
      <c r="D1166">
        <v>67462656941.560982</v>
      </c>
      <c r="E1166">
        <v>189000000000</v>
      </c>
      <c r="F1166">
        <v>4714100</v>
      </c>
      <c r="G1166">
        <v>3.7435247469999999</v>
      </c>
      <c r="H1166">
        <v>52.47960217</v>
      </c>
      <c r="I1166">
        <v>50</v>
      </c>
      <c r="J1166">
        <v>68714670246.476021</v>
      </c>
      <c r="K1166">
        <v>-1.82</v>
      </c>
    </row>
    <row r="1167" spans="1:11" x14ac:dyDescent="0.3">
      <c r="A1167" t="s">
        <v>271</v>
      </c>
      <c r="B1167" t="s">
        <v>272</v>
      </c>
      <c r="C1167">
        <v>2017</v>
      </c>
      <c r="D1167">
        <v>76100572399.570023</v>
      </c>
      <c r="E1167">
        <v>207000000000</v>
      </c>
      <c r="F1167">
        <v>4813600</v>
      </c>
      <c r="G1167">
        <v>3.315686216</v>
      </c>
      <c r="H1167">
        <v>54.277527630000002</v>
      </c>
      <c r="I1167">
        <v>51</v>
      </c>
      <c r="J1167">
        <v>67462656941.560982</v>
      </c>
      <c r="K1167">
        <v>12.8</v>
      </c>
    </row>
    <row r="1168" spans="1:11" x14ac:dyDescent="0.3">
      <c r="A1168" t="s">
        <v>271</v>
      </c>
      <c r="B1168" t="s">
        <v>272</v>
      </c>
      <c r="C1168">
        <v>2018</v>
      </c>
      <c r="D1168">
        <v>79677797760.991013</v>
      </c>
      <c r="E1168">
        <v>212000000000</v>
      </c>
      <c r="F1168">
        <v>4900600</v>
      </c>
      <c r="G1168">
        <v>3.3221966649999999</v>
      </c>
      <c r="H1168">
        <v>55.906391849999999</v>
      </c>
      <c r="I1168">
        <v>53</v>
      </c>
      <c r="J1168">
        <v>76100572399.570023</v>
      </c>
      <c r="K1168">
        <v>4.7</v>
      </c>
    </row>
    <row r="1169" spans="1:11" x14ac:dyDescent="0.3">
      <c r="A1169" t="s">
        <v>271</v>
      </c>
      <c r="B1169" t="s">
        <v>272</v>
      </c>
      <c r="C1169">
        <v>2019</v>
      </c>
      <c r="D1169">
        <v>79079651592.024017</v>
      </c>
      <c r="E1169">
        <v>213000000000</v>
      </c>
      <c r="F1169">
        <v>4970300</v>
      </c>
      <c r="G1169">
        <v>2.3237170840000001</v>
      </c>
      <c r="H1169">
        <v>54.461246410000001</v>
      </c>
      <c r="I1169">
        <v>49</v>
      </c>
      <c r="J1169">
        <v>79677797760.991013</v>
      </c>
      <c r="K1169">
        <v>-0.75</v>
      </c>
    </row>
    <row r="1170" spans="1:11" x14ac:dyDescent="0.3">
      <c r="A1170" t="s">
        <v>271</v>
      </c>
      <c r="B1170" t="s">
        <v>272</v>
      </c>
      <c r="C1170">
        <v>2020</v>
      </c>
      <c r="D1170">
        <v>76580219416.310028</v>
      </c>
      <c r="E1170">
        <v>213000000000</v>
      </c>
      <c r="F1170">
        <v>5072400</v>
      </c>
      <c r="G1170">
        <v>-0.24091611499999999</v>
      </c>
      <c r="H1170">
        <v>43.826246619999999</v>
      </c>
      <c r="I1170">
        <v>47</v>
      </c>
      <c r="J1170">
        <v>79079651592.024017</v>
      </c>
      <c r="K1170">
        <v>-3.16</v>
      </c>
    </row>
    <row r="1171" spans="1:11" x14ac:dyDescent="0.3">
      <c r="A1171" t="s">
        <v>271</v>
      </c>
      <c r="B1171" t="s">
        <v>272</v>
      </c>
      <c r="C1171">
        <v>2021</v>
      </c>
      <c r="D1171">
        <v>88650575640.923996</v>
      </c>
      <c r="E1171">
        <v>254000000000</v>
      </c>
      <c r="F1171">
        <v>5084600</v>
      </c>
      <c r="G1171">
        <v>4.2991600520000004</v>
      </c>
      <c r="H1171">
        <v>48.431537069999997</v>
      </c>
      <c r="I1171">
        <v>52</v>
      </c>
      <c r="J1171">
        <v>76580219416.310028</v>
      </c>
      <c r="K1171">
        <v>15.76</v>
      </c>
    </row>
    <row r="1172" spans="1:11" x14ac:dyDescent="0.3">
      <c r="A1172" t="s">
        <v>271</v>
      </c>
      <c r="B1172" t="s">
        <v>272</v>
      </c>
      <c r="C1172">
        <v>2022</v>
      </c>
      <c r="D1172">
        <v>91230165590.715927</v>
      </c>
      <c r="E1172">
        <v>250000000000</v>
      </c>
      <c r="F1172">
        <v>5081700</v>
      </c>
      <c r="G1172">
        <v>3.3452184780000001</v>
      </c>
      <c r="H1172">
        <v>53.20914337</v>
      </c>
      <c r="I1172">
        <v>55</v>
      </c>
      <c r="J1172">
        <v>88650575640.923996</v>
      </c>
      <c r="K1172">
        <v>2.91</v>
      </c>
    </row>
    <row r="1173" spans="1:11" x14ac:dyDescent="0.3">
      <c r="A1173" t="s">
        <v>271</v>
      </c>
      <c r="B1173" t="s">
        <v>272</v>
      </c>
      <c r="C1173">
        <v>2023</v>
      </c>
      <c r="D1173">
        <v>84248481112.05603</v>
      </c>
      <c r="E1173">
        <v>256000000000</v>
      </c>
      <c r="F1173">
        <v>5200000</v>
      </c>
      <c r="G1173">
        <v>1.8138945339999999</v>
      </c>
      <c r="H1173">
        <v>49.86550415</v>
      </c>
      <c r="I1173">
        <v>54</v>
      </c>
      <c r="J1173">
        <v>91230165590.715927</v>
      </c>
      <c r="K1173">
        <v>-7.65</v>
      </c>
    </row>
    <row r="1174" spans="1:11" x14ac:dyDescent="0.3">
      <c r="A1174" t="s">
        <v>271</v>
      </c>
      <c r="B1174" t="s">
        <v>272</v>
      </c>
      <c r="C1174">
        <v>2024</v>
      </c>
      <c r="D1174">
        <v>85660255855.706009</v>
      </c>
      <c r="E1174">
        <v>261000000000</v>
      </c>
      <c r="F1174">
        <v>5290000</v>
      </c>
      <c r="G1174">
        <v>-0.86872237200000002</v>
      </c>
      <c r="H1174">
        <v>50.660766440000003</v>
      </c>
      <c r="I1174">
        <v>52</v>
      </c>
      <c r="J1174">
        <v>84248481112.05603</v>
      </c>
      <c r="K1174">
        <v>1.68</v>
      </c>
    </row>
    <row r="1175" spans="1:11" x14ac:dyDescent="0.3">
      <c r="A1175" t="s">
        <v>273</v>
      </c>
      <c r="B1175" t="s">
        <v>274</v>
      </c>
      <c r="C1175">
        <v>2015</v>
      </c>
      <c r="D1175">
        <v>71372597264.368958</v>
      </c>
      <c r="E1175">
        <v>78710793238</v>
      </c>
      <c r="F1175">
        <v>4184895</v>
      </c>
      <c r="G1175">
        <v>5.0170579970000002</v>
      </c>
      <c r="H1175">
        <v>96.377580190000003</v>
      </c>
      <c r="I1175">
        <v>51</v>
      </c>
    </row>
    <row r="1176" spans="1:11" x14ac:dyDescent="0.3">
      <c r="A1176" t="s">
        <v>273</v>
      </c>
      <c r="B1176" t="s">
        <v>274</v>
      </c>
      <c r="C1176">
        <v>2016</v>
      </c>
      <c r="D1176">
        <v>60027199102.106049</v>
      </c>
      <c r="E1176">
        <v>75128738622</v>
      </c>
      <c r="F1176">
        <v>4390877</v>
      </c>
      <c r="G1176">
        <v>5.046423946</v>
      </c>
      <c r="H1176">
        <v>82.864264199999994</v>
      </c>
      <c r="I1176">
        <v>53</v>
      </c>
      <c r="J1176">
        <v>71372597264.368958</v>
      </c>
      <c r="K1176">
        <v>-15.9</v>
      </c>
    </row>
    <row r="1177" spans="1:11" x14ac:dyDescent="0.3">
      <c r="A1177" t="s">
        <v>273</v>
      </c>
      <c r="B1177" t="s">
        <v>274</v>
      </c>
      <c r="C1177">
        <v>2017</v>
      </c>
      <c r="D1177">
        <v>65808094410.166992</v>
      </c>
      <c r="E1177">
        <v>80856697009</v>
      </c>
      <c r="F1177">
        <v>4537396</v>
      </c>
      <c r="G1177">
        <v>0.304057566</v>
      </c>
      <c r="H1177">
        <v>88.95314802</v>
      </c>
      <c r="I1177">
        <v>54</v>
      </c>
      <c r="J1177">
        <v>60027199102.106049</v>
      </c>
      <c r="K1177">
        <v>9.6300000000000008</v>
      </c>
    </row>
    <row r="1178" spans="1:11" x14ac:dyDescent="0.3">
      <c r="A1178" t="s">
        <v>273</v>
      </c>
      <c r="B1178" t="s">
        <v>274</v>
      </c>
      <c r="C1178">
        <v>2018</v>
      </c>
      <c r="D1178">
        <v>83524569699.95195</v>
      </c>
      <c r="E1178">
        <v>91505851756</v>
      </c>
      <c r="F1178">
        <v>4597877</v>
      </c>
      <c r="G1178">
        <v>1.2871039150000001</v>
      </c>
      <c r="H1178">
        <v>89.279217829999993</v>
      </c>
      <c r="I1178">
        <v>50</v>
      </c>
      <c r="J1178">
        <v>65808094410.166992</v>
      </c>
      <c r="K1178">
        <v>26.92</v>
      </c>
    </row>
    <row r="1179" spans="1:11" x14ac:dyDescent="0.3">
      <c r="A1179" t="s">
        <v>273</v>
      </c>
      <c r="B1179" t="s">
        <v>274</v>
      </c>
      <c r="C1179">
        <v>2019</v>
      </c>
      <c r="D1179">
        <v>77447160696.850998</v>
      </c>
      <c r="E1179">
        <v>88060858257</v>
      </c>
      <c r="F1179">
        <v>4591241</v>
      </c>
      <c r="G1179">
        <v>-1.1286380170000001</v>
      </c>
      <c r="H1179">
        <v>86.478201029999994</v>
      </c>
      <c r="I1179">
        <v>51</v>
      </c>
      <c r="J1179">
        <v>83524569699.95195</v>
      </c>
      <c r="K1179">
        <v>-7.28</v>
      </c>
    </row>
    <row r="1180" spans="1:11" x14ac:dyDescent="0.3">
      <c r="A1180" t="s">
        <v>273</v>
      </c>
      <c r="B1180" t="s">
        <v>274</v>
      </c>
      <c r="C1180">
        <v>2020</v>
      </c>
      <c r="D1180">
        <v>66958717646.014969</v>
      </c>
      <c r="E1180">
        <v>75909492848</v>
      </c>
      <c r="F1180">
        <v>4522497</v>
      </c>
      <c r="G1180">
        <v>-3.3797205269999999</v>
      </c>
      <c r="H1180">
        <v>91.875890799999993</v>
      </c>
      <c r="I1180">
        <v>52</v>
      </c>
      <c r="J1180">
        <v>77447160696.850998</v>
      </c>
      <c r="K1180">
        <v>-13.54</v>
      </c>
    </row>
    <row r="1181" spans="1:11" x14ac:dyDescent="0.3">
      <c r="A1181" t="s">
        <v>273</v>
      </c>
      <c r="B1181" t="s">
        <v>274</v>
      </c>
      <c r="C1181">
        <v>2021</v>
      </c>
      <c r="D1181">
        <v>89181853041.18396</v>
      </c>
      <c r="E1181">
        <v>87323797139</v>
      </c>
      <c r="F1181">
        <v>4500424</v>
      </c>
      <c r="G1181">
        <v>2.5821749889999999</v>
      </c>
      <c r="H1181">
        <v>95.949487730000001</v>
      </c>
      <c r="I1181">
        <v>51</v>
      </c>
      <c r="J1181">
        <v>66958717646.014969</v>
      </c>
      <c r="K1181">
        <v>33.19</v>
      </c>
    </row>
    <row r="1182" spans="1:11" x14ac:dyDescent="0.3">
      <c r="A1182" t="s">
        <v>273</v>
      </c>
      <c r="B1182" t="s">
        <v>274</v>
      </c>
      <c r="C1182">
        <v>2022</v>
      </c>
      <c r="D1182">
        <v>132126705670.98898</v>
      </c>
      <c r="E1182">
        <v>110000000000</v>
      </c>
      <c r="F1182">
        <v>4730226</v>
      </c>
      <c r="G1182">
        <v>7.9857072840000001</v>
      </c>
      <c r="H1182">
        <v>105.74500930000001</v>
      </c>
      <c r="I1182">
        <v>45</v>
      </c>
      <c r="J1182">
        <v>89181853041.18396</v>
      </c>
      <c r="K1182">
        <v>48.15</v>
      </c>
    </row>
    <row r="1183" spans="1:11" x14ac:dyDescent="0.3">
      <c r="A1183" t="s">
        <v>273</v>
      </c>
      <c r="B1183" t="s">
        <v>274</v>
      </c>
      <c r="C1183">
        <v>2023</v>
      </c>
      <c r="D1183">
        <v>118021062915.43198</v>
      </c>
      <c r="E1183">
        <v>106000000000</v>
      </c>
      <c r="F1183">
        <v>5049269</v>
      </c>
      <c r="G1183">
        <v>1.414013832</v>
      </c>
      <c r="H1183">
        <v>106.44673109999999</v>
      </c>
      <c r="I1183">
        <v>46</v>
      </c>
      <c r="J1183">
        <v>132126705670.98898</v>
      </c>
      <c r="K1183">
        <v>-10.68</v>
      </c>
    </row>
    <row r="1184" spans="1:11" x14ac:dyDescent="0.3">
      <c r="A1184" t="s">
        <v>273</v>
      </c>
      <c r="B1184" t="s">
        <v>274</v>
      </c>
      <c r="C1184">
        <v>2024</v>
      </c>
      <c r="D1184">
        <v>130319720789.54999</v>
      </c>
      <c r="E1184">
        <v>107000000000</v>
      </c>
      <c r="F1184">
        <v>5281538</v>
      </c>
      <c r="G1184">
        <v>1.631632314</v>
      </c>
      <c r="H1184">
        <v>114.85267159999999</v>
      </c>
      <c r="I1184">
        <v>44</v>
      </c>
      <c r="J1184">
        <v>118021062915.43198</v>
      </c>
      <c r="K1184">
        <v>10.42</v>
      </c>
    </row>
    <row r="1185" spans="1:11" x14ac:dyDescent="0.3">
      <c r="A1185" t="s">
        <v>275</v>
      </c>
      <c r="B1185" t="s">
        <v>276</v>
      </c>
      <c r="C1185">
        <v>2015</v>
      </c>
      <c r="D1185">
        <v>44178036120</v>
      </c>
      <c r="E1185">
        <v>300000000000</v>
      </c>
      <c r="F1185">
        <v>217290883</v>
      </c>
      <c r="G1185">
        <v>4.2179420959999998</v>
      </c>
      <c r="H1185">
        <v>26.68818602</v>
      </c>
      <c r="I1185">
        <v>62</v>
      </c>
    </row>
    <row r="1186" spans="1:11" x14ac:dyDescent="0.3">
      <c r="A1186" t="s">
        <v>275</v>
      </c>
      <c r="B1186" t="s">
        <v>276</v>
      </c>
      <c r="C1186">
        <v>2016</v>
      </c>
      <c r="D1186">
        <v>41067585668</v>
      </c>
      <c r="E1186">
        <v>314000000000</v>
      </c>
      <c r="F1186">
        <v>220138869</v>
      </c>
      <c r="G1186">
        <v>6.5738382849999999</v>
      </c>
      <c r="H1186">
        <v>24.701578049999998</v>
      </c>
      <c r="I1186">
        <v>63</v>
      </c>
      <c r="J1186">
        <v>44178036120</v>
      </c>
      <c r="K1186">
        <v>-7.04</v>
      </c>
    </row>
    <row r="1187" spans="1:11" x14ac:dyDescent="0.3">
      <c r="A1187" t="s">
        <v>275</v>
      </c>
      <c r="B1187" t="s">
        <v>276</v>
      </c>
      <c r="C1187">
        <v>2017</v>
      </c>
      <c r="D1187">
        <v>43755574328.882004</v>
      </c>
      <c r="E1187">
        <v>339000000000</v>
      </c>
      <c r="F1187">
        <v>223273967</v>
      </c>
      <c r="G1187">
        <v>4.4326259070000003</v>
      </c>
      <c r="H1187">
        <v>25.472035000000002</v>
      </c>
      <c r="I1187">
        <v>62</v>
      </c>
      <c r="J1187">
        <v>41067585668</v>
      </c>
      <c r="K1187">
        <v>6.55</v>
      </c>
    </row>
    <row r="1188" spans="1:11" x14ac:dyDescent="0.3">
      <c r="A1188" t="s">
        <v>275</v>
      </c>
      <c r="B1188" t="s">
        <v>276</v>
      </c>
      <c r="C1188">
        <v>2018</v>
      </c>
      <c r="D1188">
        <v>47261785959.422012</v>
      </c>
      <c r="E1188">
        <v>356000000000</v>
      </c>
      <c r="F1188">
        <v>226928892</v>
      </c>
      <c r="G1188">
        <v>6.1517026110000002</v>
      </c>
      <c r="H1188">
        <v>27.626057079999999</v>
      </c>
      <c r="I1188">
        <v>62</v>
      </c>
      <c r="J1188">
        <v>43755574328.882004</v>
      </c>
      <c r="K1188">
        <v>8.01</v>
      </c>
    </row>
    <row r="1189" spans="1:11" x14ac:dyDescent="0.3">
      <c r="A1189" t="s">
        <v>275</v>
      </c>
      <c r="B1189" t="s">
        <v>276</v>
      </c>
      <c r="C1189">
        <v>2019</v>
      </c>
      <c r="D1189">
        <v>47497360505.096001</v>
      </c>
      <c r="E1189">
        <v>321000000000</v>
      </c>
      <c r="F1189">
        <v>230800899</v>
      </c>
      <c r="G1189">
        <v>2.497636929</v>
      </c>
      <c r="H1189">
        <v>28.90557699</v>
      </c>
      <c r="I1189">
        <v>61</v>
      </c>
      <c r="J1189">
        <v>47261785959.422012</v>
      </c>
      <c r="K1189">
        <v>0.5</v>
      </c>
    </row>
    <row r="1190" spans="1:11" x14ac:dyDescent="0.3">
      <c r="A1190" t="s">
        <v>275</v>
      </c>
      <c r="B1190" t="s">
        <v>276</v>
      </c>
      <c r="C1190">
        <v>2020</v>
      </c>
      <c r="D1190">
        <v>44474326749.106003</v>
      </c>
      <c r="E1190">
        <v>300000000000</v>
      </c>
      <c r="F1190">
        <v>235001746</v>
      </c>
      <c r="G1190">
        <v>-1.274087443</v>
      </c>
      <c r="H1190">
        <v>26.716280730000001</v>
      </c>
      <c r="I1190">
        <v>59</v>
      </c>
      <c r="J1190">
        <v>47497360505.096001</v>
      </c>
      <c r="K1190">
        <v>-6.36</v>
      </c>
    </row>
    <row r="1191" spans="1:11" x14ac:dyDescent="0.3">
      <c r="A1191" t="s">
        <v>275</v>
      </c>
      <c r="B1191" t="s">
        <v>276</v>
      </c>
      <c r="C1191">
        <v>2021</v>
      </c>
      <c r="D1191">
        <v>57590358171.930031</v>
      </c>
      <c r="E1191">
        <v>349000000000</v>
      </c>
      <c r="F1191">
        <v>239477801</v>
      </c>
      <c r="G1191">
        <v>6.5138857589999999</v>
      </c>
      <c r="H1191">
        <v>27.030420410000001</v>
      </c>
      <c r="I1191">
        <v>60</v>
      </c>
      <c r="J1191">
        <v>44474326749.106003</v>
      </c>
      <c r="K1191">
        <v>29.49</v>
      </c>
    </row>
    <row r="1192" spans="1:11" x14ac:dyDescent="0.3">
      <c r="A1192" t="s">
        <v>275</v>
      </c>
      <c r="B1192" t="s">
        <v>276</v>
      </c>
      <c r="C1192">
        <v>2022</v>
      </c>
      <c r="D1192">
        <v>61538183672.921989</v>
      </c>
      <c r="E1192">
        <v>375000000000</v>
      </c>
      <c r="F1192">
        <v>243700667</v>
      </c>
      <c r="G1192">
        <v>4.7781068690000001</v>
      </c>
      <c r="H1192">
        <v>33.03135348</v>
      </c>
      <c r="I1192">
        <v>60</v>
      </c>
      <c r="J1192">
        <v>57590358171.930031</v>
      </c>
      <c r="K1192">
        <v>6.86</v>
      </c>
    </row>
    <row r="1193" spans="1:11" x14ac:dyDescent="0.3">
      <c r="A1193" t="s">
        <v>275</v>
      </c>
      <c r="B1193" t="s">
        <v>276</v>
      </c>
      <c r="C1193">
        <v>2023</v>
      </c>
      <c r="D1193">
        <v>57492784887.866997</v>
      </c>
      <c r="E1193">
        <v>337000000000</v>
      </c>
      <c r="F1193">
        <v>247504495</v>
      </c>
      <c r="G1193">
        <v>-0.414935997</v>
      </c>
      <c r="H1193">
        <v>28.467692549999999</v>
      </c>
      <c r="I1193">
        <v>60</v>
      </c>
      <c r="J1193">
        <v>61538183672.921989</v>
      </c>
      <c r="K1193">
        <v>-6.57</v>
      </c>
    </row>
    <row r="1194" spans="1:11" x14ac:dyDescent="0.3">
      <c r="A1194" t="s">
        <v>275</v>
      </c>
      <c r="B1194" t="s">
        <v>276</v>
      </c>
      <c r="C1194">
        <v>2024</v>
      </c>
      <c r="D1194">
        <v>64876991210.689987</v>
      </c>
      <c r="E1194">
        <v>372000000000</v>
      </c>
      <c r="F1194">
        <v>251269164</v>
      </c>
      <c r="G1194">
        <v>3.0817629559999999</v>
      </c>
      <c r="H1194">
        <v>27.56533091</v>
      </c>
      <c r="I1194">
        <v>57</v>
      </c>
      <c r="J1194">
        <v>57492784887.866997</v>
      </c>
      <c r="K1194">
        <v>12.84</v>
      </c>
    </row>
    <row r="1195" spans="1:11" x14ac:dyDescent="0.3">
      <c r="A1195" t="s">
        <v>277</v>
      </c>
      <c r="B1195" t="s">
        <v>278</v>
      </c>
      <c r="C1195">
        <v>2015</v>
      </c>
      <c r="D1195">
        <v>24086754208</v>
      </c>
      <c r="E1195">
        <v>55767806100</v>
      </c>
      <c r="F1195">
        <v>3960035</v>
      </c>
      <c r="G1195">
        <v>5.2669171959999996</v>
      </c>
      <c r="H1195">
        <v>96.579157339999995</v>
      </c>
      <c r="I1195">
        <v>73</v>
      </c>
    </row>
    <row r="1196" spans="1:11" x14ac:dyDescent="0.3">
      <c r="A1196" t="s">
        <v>277</v>
      </c>
      <c r="B1196" t="s">
        <v>278</v>
      </c>
      <c r="C1196">
        <v>2016</v>
      </c>
      <c r="D1196">
        <v>21686421026</v>
      </c>
      <c r="E1196">
        <v>59760858700</v>
      </c>
      <c r="F1196">
        <v>4029086</v>
      </c>
      <c r="G1196">
        <v>4.5719670790000002</v>
      </c>
      <c r="H1196">
        <v>84.395971869999997</v>
      </c>
      <c r="I1196">
        <v>74</v>
      </c>
      <c r="J1196">
        <v>24086754208</v>
      </c>
      <c r="K1196">
        <v>-9.9700000000000006</v>
      </c>
    </row>
    <row r="1197" spans="1:11" x14ac:dyDescent="0.3">
      <c r="A1197" t="s">
        <v>277</v>
      </c>
      <c r="B1197" t="s">
        <v>278</v>
      </c>
      <c r="C1197">
        <v>2017</v>
      </c>
      <c r="D1197">
        <v>22183113984</v>
      </c>
      <c r="E1197">
        <v>64327688800</v>
      </c>
      <c r="F1197">
        <v>4098707</v>
      </c>
      <c r="G1197">
        <v>5.7440594640000002</v>
      </c>
      <c r="H1197">
        <v>84.047537239999997</v>
      </c>
      <c r="I1197">
        <v>79</v>
      </c>
      <c r="J1197">
        <v>21686421026</v>
      </c>
      <c r="K1197">
        <v>2.29</v>
      </c>
    </row>
    <row r="1198" spans="1:11" x14ac:dyDescent="0.3">
      <c r="A1198" t="s">
        <v>277</v>
      </c>
      <c r="B1198" t="s">
        <v>278</v>
      </c>
      <c r="C1198">
        <v>2018</v>
      </c>
      <c r="D1198">
        <v>22960215232</v>
      </c>
      <c r="E1198">
        <v>67316471200</v>
      </c>
      <c r="F1198">
        <v>4167860</v>
      </c>
      <c r="G1198">
        <v>3.9182425329999999</v>
      </c>
      <c r="H1198">
        <v>86.130961510000006</v>
      </c>
      <c r="I1198">
        <v>76</v>
      </c>
      <c r="J1198">
        <v>22183113984</v>
      </c>
      <c r="K1198">
        <v>3.5</v>
      </c>
    </row>
    <row r="1199" spans="1:11" x14ac:dyDescent="0.3">
      <c r="A1199" t="s">
        <v>277</v>
      </c>
      <c r="B1199" t="s">
        <v>278</v>
      </c>
      <c r="C1199">
        <v>2019</v>
      </c>
      <c r="D1199">
        <v>20956119052</v>
      </c>
      <c r="E1199">
        <v>69778991200</v>
      </c>
      <c r="F1199">
        <v>4234700</v>
      </c>
      <c r="G1199">
        <v>3.1029539559999999</v>
      </c>
      <c r="H1199">
        <v>80.428650559999994</v>
      </c>
      <c r="I1199">
        <v>80</v>
      </c>
      <c r="J1199">
        <v>22960215232</v>
      </c>
      <c r="K1199">
        <v>-8.73</v>
      </c>
    </row>
    <row r="1200" spans="1:11" x14ac:dyDescent="0.3">
      <c r="A1200" t="s">
        <v>277</v>
      </c>
      <c r="B1200" t="s">
        <v>278</v>
      </c>
      <c r="C1200">
        <v>2020</v>
      </c>
      <c r="D1200">
        <v>17317597830</v>
      </c>
      <c r="E1200">
        <v>57059846500</v>
      </c>
      <c r="F1200">
        <v>4293261</v>
      </c>
      <c r="G1200">
        <v>-17.821117409999999</v>
      </c>
      <c r="H1200">
        <v>68.700423509999993</v>
      </c>
      <c r="I1200">
        <v>79</v>
      </c>
      <c r="J1200">
        <v>20956119052</v>
      </c>
      <c r="K1200">
        <v>-17.36</v>
      </c>
    </row>
    <row r="1201" spans="1:11" x14ac:dyDescent="0.3">
      <c r="A1201" t="s">
        <v>277</v>
      </c>
      <c r="B1201" t="s">
        <v>278</v>
      </c>
      <c r="C1201">
        <v>2021</v>
      </c>
      <c r="D1201">
        <v>7563845302</v>
      </c>
      <c r="E1201">
        <v>67396392500</v>
      </c>
      <c r="F1201">
        <v>4345405</v>
      </c>
      <c r="G1201">
        <v>16.4669992</v>
      </c>
      <c r="H1201">
        <v>80.133463520000006</v>
      </c>
      <c r="I1201">
        <v>112</v>
      </c>
      <c r="J1201">
        <v>17317597830</v>
      </c>
      <c r="K1201">
        <v>-56.32</v>
      </c>
    </row>
    <row r="1202" spans="1:11" x14ac:dyDescent="0.3">
      <c r="A1202" t="s">
        <v>277</v>
      </c>
      <c r="B1202" t="s">
        <v>278</v>
      </c>
      <c r="C1202">
        <v>2022</v>
      </c>
      <c r="D1202">
        <v>7304307136</v>
      </c>
      <c r="E1202">
        <v>76479304500</v>
      </c>
      <c r="F1202">
        <v>4400773</v>
      </c>
      <c r="G1202">
        <v>11.03860229</v>
      </c>
      <c r="H1202">
        <v>93.47526886</v>
      </c>
      <c r="I1202">
        <v>114</v>
      </c>
      <c r="J1202">
        <v>7563845302</v>
      </c>
      <c r="K1202">
        <v>-3.43</v>
      </c>
    </row>
    <row r="1203" spans="1:11" x14ac:dyDescent="0.3">
      <c r="A1203" t="s">
        <v>277</v>
      </c>
      <c r="B1203" t="s">
        <v>278</v>
      </c>
      <c r="C1203">
        <v>2023</v>
      </c>
      <c r="D1203">
        <v>6733640960</v>
      </c>
      <c r="E1203">
        <v>83812155200</v>
      </c>
      <c r="F1203">
        <v>4458759</v>
      </c>
      <c r="G1203">
        <v>7.1663401640000002</v>
      </c>
      <c r="H1203">
        <v>88.348910520000004</v>
      </c>
      <c r="I1203">
        <v>116</v>
      </c>
      <c r="J1203">
        <v>7304307136</v>
      </c>
      <c r="K1203">
        <v>-7.81</v>
      </c>
    </row>
    <row r="1204" spans="1:11" x14ac:dyDescent="0.3">
      <c r="A1204" t="s">
        <v>277</v>
      </c>
      <c r="B1204" t="s">
        <v>278</v>
      </c>
      <c r="C1204">
        <v>2024</v>
      </c>
      <c r="D1204">
        <v>2316715428</v>
      </c>
      <c r="E1204">
        <v>86523959100</v>
      </c>
      <c r="F1204">
        <v>4515577</v>
      </c>
      <c r="G1204">
        <v>2.7478414880000002</v>
      </c>
      <c r="H1204">
        <v>83.673778859999999</v>
      </c>
      <c r="I1204">
        <v>109</v>
      </c>
      <c r="J1204">
        <v>6733640960</v>
      </c>
      <c r="K1204">
        <v>-65.59</v>
      </c>
    </row>
    <row r="1205" spans="1:11" x14ac:dyDescent="0.3">
      <c r="A1205" t="s">
        <v>279</v>
      </c>
      <c r="B1205" t="s">
        <v>280</v>
      </c>
      <c r="C1205">
        <v>2015</v>
      </c>
      <c r="D1205">
        <v>74556008238.660019</v>
      </c>
      <c r="E1205">
        <v>190000000000</v>
      </c>
      <c r="F1205">
        <v>30457600</v>
      </c>
      <c r="G1205">
        <v>3.2522447720000001</v>
      </c>
      <c r="H1205">
        <v>45.16276869</v>
      </c>
      <c r="I1205">
        <v>49</v>
      </c>
    </row>
    <row r="1206" spans="1:11" x14ac:dyDescent="0.3">
      <c r="A1206" t="s">
        <v>279</v>
      </c>
      <c r="B1206" t="s">
        <v>280</v>
      </c>
      <c r="C1206">
        <v>2016</v>
      </c>
      <c r="D1206">
        <v>72619917607.000076</v>
      </c>
      <c r="E1206">
        <v>192000000000</v>
      </c>
      <c r="F1206">
        <v>30866494</v>
      </c>
      <c r="G1206">
        <v>3.953318715</v>
      </c>
      <c r="H1206">
        <v>45.388841200000002</v>
      </c>
      <c r="I1206">
        <v>48</v>
      </c>
      <c r="J1206">
        <v>74556008238.660019</v>
      </c>
      <c r="K1206">
        <v>-2.6</v>
      </c>
    </row>
    <row r="1207" spans="1:11" x14ac:dyDescent="0.3">
      <c r="A1207" t="s">
        <v>279</v>
      </c>
      <c r="B1207" t="s">
        <v>280</v>
      </c>
      <c r="C1207">
        <v>2017</v>
      </c>
      <c r="D1207">
        <v>88475898845.419937</v>
      </c>
      <c r="E1207">
        <v>211000000000</v>
      </c>
      <c r="F1207">
        <v>31324637</v>
      </c>
      <c r="G1207">
        <v>2.5188354419999999</v>
      </c>
      <c r="H1207">
        <v>47.513550360000004</v>
      </c>
      <c r="I1207">
        <v>47</v>
      </c>
      <c r="J1207">
        <v>72619917607.000076</v>
      </c>
      <c r="K1207">
        <v>21.83</v>
      </c>
    </row>
    <row r="1208" spans="1:11" x14ac:dyDescent="0.3">
      <c r="A1208" t="s">
        <v>279</v>
      </c>
      <c r="B1208" t="s">
        <v>280</v>
      </c>
      <c r="C1208">
        <v>2018</v>
      </c>
      <c r="D1208">
        <v>96030296750.680038</v>
      </c>
      <c r="E1208">
        <v>223000000000</v>
      </c>
      <c r="F1208">
        <v>31897584</v>
      </c>
      <c r="G1208">
        <v>3.9693513409999999</v>
      </c>
      <c r="H1208">
        <v>48.63147017</v>
      </c>
      <c r="I1208">
        <v>47</v>
      </c>
      <c r="J1208">
        <v>88475898845.419937</v>
      </c>
      <c r="K1208">
        <v>8.5399999999999991</v>
      </c>
    </row>
    <row r="1209" spans="1:11" x14ac:dyDescent="0.3">
      <c r="A1209" t="s">
        <v>279</v>
      </c>
      <c r="B1209" t="s">
        <v>280</v>
      </c>
      <c r="C1209">
        <v>2019</v>
      </c>
      <c r="D1209">
        <v>92263129518.800095</v>
      </c>
      <c r="E1209">
        <v>228000000000</v>
      </c>
      <c r="F1209">
        <v>32449303</v>
      </c>
      <c r="G1209">
        <v>2.2406317690000002</v>
      </c>
      <c r="H1209">
        <v>46.943505379999998</v>
      </c>
      <c r="I1209">
        <v>47</v>
      </c>
      <c r="J1209">
        <v>96030296750.680038</v>
      </c>
      <c r="K1209">
        <v>-3.92</v>
      </c>
    </row>
    <row r="1210" spans="1:11" x14ac:dyDescent="0.3">
      <c r="A1210" t="s">
        <v>279</v>
      </c>
      <c r="B1210" t="s">
        <v>280</v>
      </c>
      <c r="C1210">
        <v>2020</v>
      </c>
      <c r="D1210">
        <v>77514468088.220016</v>
      </c>
      <c r="E1210">
        <v>201000000000</v>
      </c>
      <c r="F1210">
        <v>32838579</v>
      </c>
      <c r="G1210">
        <v>-10.9333065</v>
      </c>
      <c r="H1210">
        <v>44.245967200000003</v>
      </c>
      <c r="I1210">
        <v>46</v>
      </c>
      <c r="J1210">
        <v>92263129518.800095</v>
      </c>
      <c r="K1210">
        <v>-15.99</v>
      </c>
    </row>
    <row r="1211" spans="1:11" x14ac:dyDescent="0.3">
      <c r="A1211" t="s">
        <v>279</v>
      </c>
      <c r="B1211" t="s">
        <v>280</v>
      </c>
      <c r="C1211">
        <v>2021</v>
      </c>
      <c r="D1211">
        <v>112520230405.51207</v>
      </c>
      <c r="E1211">
        <v>226000000000</v>
      </c>
      <c r="F1211">
        <v>33155882</v>
      </c>
      <c r="G1211">
        <v>13.41664561</v>
      </c>
      <c r="H1211">
        <v>55.408323189999997</v>
      </c>
      <c r="I1211">
        <v>46</v>
      </c>
      <c r="J1211">
        <v>77514468088.220016</v>
      </c>
      <c r="K1211">
        <v>45.16</v>
      </c>
    </row>
    <row r="1212" spans="1:11" x14ac:dyDescent="0.3">
      <c r="A1212" t="s">
        <v>279</v>
      </c>
      <c r="B1212" t="s">
        <v>280</v>
      </c>
      <c r="C1212">
        <v>2022</v>
      </c>
      <c r="D1212">
        <v>116344843732.36003</v>
      </c>
      <c r="E1212">
        <v>246000000000</v>
      </c>
      <c r="F1212">
        <v>33475438</v>
      </c>
      <c r="G1212">
        <v>2.8181997640000001</v>
      </c>
      <c r="H1212">
        <v>57.272700309999998</v>
      </c>
      <c r="I1212">
        <v>47</v>
      </c>
      <c r="J1212">
        <v>112520230405.51207</v>
      </c>
      <c r="K1212">
        <v>3.4</v>
      </c>
    </row>
    <row r="1213" spans="1:11" x14ac:dyDescent="0.3">
      <c r="A1213" t="s">
        <v>279</v>
      </c>
      <c r="B1213" t="s">
        <v>280</v>
      </c>
      <c r="C1213">
        <v>2023</v>
      </c>
      <c r="D1213">
        <v>128710080870</v>
      </c>
      <c r="E1213">
        <v>268000000000</v>
      </c>
      <c r="F1213">
        <v>33845617</v>
      </c>
      <c r="G1213">
        <v>-0.350699814</v>
      </c>
      <c r="H1213">
        <v>50.907030720000002</v>
      </c>
      <c r="I1213">
        <v>44</v>
      </c>
      <c r="J1213">
        <v>116344843732.36003</v>
      </c>
      <c r="K1213">
        <v>10.63</v>
      </c>
    </row>
    <row r="1214" spans="1:11" x14ac:dyDescent="0.3">
      <c r="A1214" t="s">
        <v>279</v>
      </c>
      <c r="B1214" t="s">
        <v>280</v>
      </c>
      <c r="C1214">
        <v>2024</v>
      </c>
      <c r="D1214">
        <v>148107849031.5061</v>
      </c>
      <c r="E1214">
        <v>292000000000</v>
      </c>
      <c r="F1214">
        <v>34217848</v>
      </c>
      <c r="G1214">
        <v>3.5152749270000001</v>
      </c>
      <c r="H1214">
        <v>51.681147989999999</v>
      </c>
      <c r="I1214">
        <v>41</v>
      </c>
      <c r="J1214">
        <v>128710080870</v>
      </c>
      <c r="K1214">
        <v>15.07</v>
      </c>
    </row>
    <row r="1215" spans="1:11" x14ac:dyDescent="0.3">
      <c r="A1215" t="s">
        <v>281</v>
      </c>
      <c r="B1215" t="s">
        <v>282</v>
      </c>
      <c r="C1215">
        <v>2015</v>
      </c>
      <c r="D1215">
        <v>117296166160</v>
      </c>
      <c r="E1215">
        <v>306000000000</v>
      </c>
      <c r="F1215">
        <v>105312992</v>
      </c>
      <c r="G1215">
        <v>6.3483097170000002</v>
      </c>
      <c r="H1215">
        <v>59.141592109999998</v>
      </c>
      <c r="I1215">
        <v>41</v>
      </c>
    </row>
    <row r="1216" spans="1:11" x14ac:dyDescent="0.3">
      <c r="A1216" t="s">
        <v>281</v>
      </c>
      <c r="B1216" t="s">
        <v>282</v>
      </c>
      <c r="C1216">
        <v>2016</v>
      </c>
      <c r="D1216">
        <v>112625495896</v>
      </c>
      <c r="E1216">
        <v>319000000000</v>
      </c>
      <c r="F1216">
        <v>106735719</v>
      </c>
      <c r="G1216">
        <v>7.1494567499999997</v>
      </c>
      <c r="H1216">
        <v>61.776065770000002</v>
      </c>
      <c r="I1216">
        <v>42</v>
      </c>
      <c r="J1216">
        <v>117296166160</v>
      </c>
      <c r="K1216">
        <v>-3.98</v>
      </c>
    </row>
    <row r="1217" spans="1:11" x14ac:dyDescent="0.3">
      <c r="A1217" t="s">
        <v>281</v>
      </c>
      <c r="B1217" t="s">
        <v>282</v>
      </c>
      <c r="C1217">
        <v>2017</v>
      </c>
      <c r="D1217">
        <v>137425222372</v>
      </c>
      <c r="E1217">
        <v>328000000000</v>
      </c>
      <c r="F1217">
        <v>108119693</v>
      </c>
      <c r="G1217">
        <v>6.9309883259999996</v>
      </c>
      <c r="H1217">
        <v>68.168369740000003</v>
      </c>
      <c r="I1217">
        <v>38</v>
      </c>
      <c r="J1217">
        <v>112625495896</v>
      </c>
      <c r="K1217">
        <v>22.02</v>
      </c>
    </row>
    <row r="1218" spans="1:11" x14ac:dyDescent="0.3">
      <c r="A1218" t="s">
        <v>281</v>
      </c>
      <c r="B1218" t="s">
        <v>282</v>
      </c>
      <c r="C1218">
        <v>2018</v>
      </c>
      <c r="D1218">
        <v>134975336596</v>
      </c>
      <c r="E1218">
        <v>347000000000</v>
      </c>
      <c r="F1218">
        <v>109465287</v>
      </c>
      <c r="G1218">
        <v>6.3414855719999998</v>
      </c>
      <c r="H1218">
        <v>72.163398299999997</v>
      </c>
      <c r="I1218">
        <v>42</v>
      </c>
      <c r="J1218">
        <v>137425222372</v>
      </c>
      <c r="K1218">
        <v>-1.78</v>
      </c>
    </row>
    <row r="1219" spans="1:11" x14ac:dyDescent="0.3">
      <c r="A1219" t="s">
        <v>281</v>
      </c>
      <c r="B1219" t="s">
        <v>282</v>
      </c>
      <c r="C1219">
        <v>2019</v>
      </c>
      <c r="D1219">
        <v>141853348980</v>
      </c>
      <c r="E1219">
        <v>377000000000</v>
      </c>
      <c r="F1219">
        <v>110804683</v>
      </c>
      <c r="G1219">
        <v>6.1185256619999997</v>
      </c>
      <c r="H1219">
        <v>68.841842260000007</v>
      </c>
      <c r="I1219">
        <v>38</v>
      </c>
      <c r="J1219">
        <v>134975336596</v>
      </c>
      <c r="K1219">
        <v>5.0999999999999996</v>
      </c>
    </row>
    <row r="1220" spans="1:11" x14ac:dyDescent="0.3">
      <c r="A1220" t="s">
        <v>281</v>
      </c>
      <c r="B1220" t="s">
        <v>282</v>
      </c>
      <c r="C1220">
        <v>2020</v>
      </c>
      <c r="D1220">
        <v>130428870144</v>
      </c>
      <c r="E1220">
        <v>362000000000</v>
      </c>
      <c r="F1220">
        <v>112081264</v>
      </c>
      <c r="G1220">
        <v>-9.51829474</v>
      </c>
      <c r="H1220">
        <v>58.169560300000001</v>
      </c>
      <c r="I1220">
        <v>38</v>
      </c>
      <c r="J1220">
        <v>141853348980</v>
      </c>
      <c r="K1220">
        <v>-8.0500000000000007</v>
      </c>
    </row>
    <row r="1221" spans="1:11" x14ac:dyDescent="0.3">
      <c r="A1221" t="s">
        <v>281</v>
      </c>
      <c r="B1221" t="s">
        <v>282</v>
      </c>
      <c r="C1221">
        <v>2021</v>
      </c>
      <c r="D1221">
        <v>149239057510</v>
      </c>
      <c r="E1221">
        <v>394000000000</v>
      </c>
      <c r="F1221">
        <v>113100950</v>
      </c>
      <c r="G1221">
        <v>5.7147331320000001</v>
      </c>
      <c r="H1221">
        <v>63.484609810000002</v>
      </c>
      <c r="I1221">
        <v>41</v>
      </c>
      <c r="J1221">
        <v>130428870144</v>
      </c>
      <c r="K1221">
        <v>14.42</v>
      </c>
    </row>
    <row r="1222" spans="1:11" x14ac:dyDescent="0.3">
      <c r="A1222" t="s">
        <v>281</v>
      </c>
      <c r="B1222" t="s">
        <v>282</v>
      </c>
      <c r="C1222">
        <v>2022</v>
      </c>
      <c r="D1222">
        <v>157857036170</v>
      </c>
      <c r="E1222">
        <v>404000000000</v>
      </c>
      <c r="F1222">
        <v>113964338</v>
      </c>
      <c r="G1222">
        <v>7.5809821279999996</v>
      </c>
      <c r="H1222">
        <v>72.429683609999998</v>
      </c>
      <c r="I1222">
        <v>42</v>
      </c>
      <c r="J1222">
        <v>149239057510</v>
      </c>
      <c r="K1222">
        <v>5.77</v>
      </c>
    </row>
    <row r="1223" spans="1:11" x14ac:dyDescent="0.3">
      <c r="A1223" t="s">
        <v>281</v>
      </c>
      <c r="B1223" t="s">
        <v>282</v>
      </c>
      <c r="C1223">
        <v>2023</v>
      </c>
      <c r="D1223">
        <v>147234228448</v>
      </c>
      <c r="E1223">
        <v>437000000000</v>
      </c>
      <c r="F1223">
        <v>114891199</v>
      </c>
      <c r="G1223">
        <v>5.5189496790000003</v>
      </c>
      <c r="H1223">
        <v>67.419969320000007</v>
      </c>
      <c r="I1223">
        <v>41</v>
      </c>
      <c r="J1223">
        <v>157857036170</v>
      </c>
      <c r="K1223">
        <v>-6.73</v>
      </c>
    </row>
    <row r="1224" spans="1:11" x14ac:dyDescent="0.3">
      <c r="A1224" t="s">
        <v>281</v>
      </c>
      <c r="B1224" t="s">
        <v>282</v>
      </c>
      <c r="C1224">
        <v>2024</v>
      </c>
      <c r="D1224">
        <v>146537436994</v>
      </c>
      <c r="E1224">
        <v>462000000000</v>
      </c>
      <c r="F1224">
        <v>115843670</v>
      </c>
      <c r="G1224">
        <v>5.714745261</v>
      </c>
      <c r="H1224">
        <v>65.863788389999996</v>
      </c>
      <c r="I1224">
        <v>42</v>
      </c>
      <c r="J1224">
        <v>147234228448</v>
      </c>
      <c r="K1224">
        <v>-0.47</v>
      </c>
    </row>
    <row r="1225" spans="1:11" x14ac:dyDescent="0.3">
      <c r="A1225" t="s">
        <v>283</v>
      </c>
      <c r="B1225" t="s">
        <v>284</v>
      </c>
      <c r="C1225">
        <v>2015</v>
      </c>
      <c r="D1225">
        <v>12769341</v>
      </c>
      <c r="E1225">
        <v>283224750</v>
      </c>
      <c r="F1225">
        <v>17770</v>
      </c>
      <c r="G1225">
        <v>8.5700056819999997</v>
      </c>
      <c r="H1225">
        <v>128.20729829999999</v>
      </c>
      <c r="I1225">
        <v>168</v>
      </c>
    </row>
    <row r="1226" spans="1:11" x14ac:dyDescent="0.3">
      <c r="A1226" t="s">
        <v>283</v>
      </c>
      <c r="B1226" t="s">
        <v>284</v>
      </c>
      <c r="C1226">
        <v>2016</v>
      </c>
      <c r="D1226">
        <v>13079363</v>
      </c>
      <c r="E1226">
        <v>303326125</v>
      </c>
      <c r="F1226">
        <v>17797</v>
      </c>
      <c r="G1226">
        <v>1.666506882</v>
      </c>
      <c r="H1226">
        <v>118.7598661</v>
      </c>
      <c r="I1226">
        <v>171</v>
      </c>
      <c r="J1226">
        <v>12769341</v>
      </c>
      <c r="K1226">
        <v>2.4300000000000002</v>
      </c>
    </row>
    <row r="1227" spans="1:11" x14ac:dyDescent="0.3">
      <c r="A1227" t="s">
        <v>283</v>
      </c>
      <c r="B1227" t="s">
        <v>284</v>
      </c>
      <c r="C1227">
        <v>2017</v>
      </c>
      <c r="D1227">
        <v>12839519.719999999</v>
      </c>
      <c r="E1227">
        <v>289983656.30000001</v>
      </c>
      <c r="F1227">
        <v>17812</v>
      </c>
      <c r="G1227">
        <v>-3.421431702</v>
      </c>
      <c r="H1227">
        <v>122.6506365</v>
      </c>
      <c r="I1227">
        <v>174</v>
      </c>
      <c r="J1227">
        <v>13079363</v>
      </c>
      <c r="K1227">
        <v>-1.83</v>
      </c>
    </row>
    <row r="1228" spans="1:11" x14ac:dyDescent="0.3">
      <c r="A1228" t="s">
        <v>283</v>
      </c>
      <c r="B1228" t="s">
        <v>284</v>
      </c>
      <c r="C1228">
        <v>2018</v>
      </c>
      <c r="D1228">
        <v>17241816.100000001</v>
      </c>
      <c r="E1228">
        <v>288228343.80000001</v>
      </c>
      <c r="F1228">
        <v>17814</v>
      </c>
      <c r="G1228">
        <v>-0.41762585899999999</v>
      </c>
      <c r="H1228">
        <v>117.77197049999999</v>
      </c>
      <c r="I1228">
        <v>170</v>
      </c>
      <c r="J1228">
        <v>12839519.719999999</v>
      </c>
      <c r="K1228">
        <v>34.29</v>
      </c>
    </row>
    <row r="1229" spans="1:11" x14ac:dyDescent="0.3">
      <c r="A1229" t="s">
        <v>285</v>
      </c>
      <c r="B1229" t="s">
        <v>286</v>
      </c>
      <c r="C1229">
        <v>2019</v>
      </c>
      <c r="D1229">
        <v>20392664337.852009</v>
      </c>
      <c r="E1229">
        <v>24750626030</v>
      </c>
      <c r="F1229">
        <v>9609010</v>
      </c>
      <c r="G1229">
        <v>4.4805145690000003</v>
      </c>
      <c r="I1229">
        <v>81</v>
      </c>
    </row>
    <row r="1230" spans="1:11" x14ac:dyDescent="0.3">
      <c r="A1230" t="s">
        <v>285</v>
      </c>
      <c r="B1230" t="s">
        <v>286</v>
      </c>
      <c r="C1230">
        <v>2020</v>
      </c>
      <c r="D1230">
        <v>20734008408.80901</v>
      </c>
      <c r="E1230">
        <v>23848447850</v>
      </c>
      <c r="F1230">
        <v>9815746</v>
      </c>
      <c r="G1230">
        <v>-3.1674320439999999</v>
      </c>
      <c r="I1230">
        <v>77</v>
      </c>
      <c r="J1230">
        <v>20392664337.852009</v>
      </c>
      <c r="K1230">
        <v>1.67</v>
      </c>
    </row>
    <row r="1231" spans="1:11" x14ac:dyDescent="0.3">
      <c r="A1231" t="s">
        <v>285</v>
      </c>
      <c r="B1231" t="s">
        <v>286</v>
      </c>
      <c r="C1231">
        <v>2021</v>
      </c>
      <c r="D1231">
        <v>19301082034.974003</v>
      </c>
      <c r="E1231">
        <v>26113409478</v>
      </c>
      <c r="F1231">
        <v>10012896</v>
      </c>
      <c r="G1231">
        <v>-0.510612607</v>
      </c>
      <c r="I1231">
        <v>83</v>
      </c>
      <c r="J1231">
        <v>20734008408.80901</v>
      </c>
      <c r="K1231">
        <v>-6.91</v>
      </c>
    </row>
    <row r="1232" spans="1:11" x14ac:dyDescent="0.3">
      <c r="A1232" t="s">
        <v>285</v>
      </c>
      <c r="B1232" t="s">
        <v>286</v>
      </c>
      <c r="C1232">
        <v>2022</v>
      </c>
      <c r="D1232">
        <v>21857810109.360001</v>
      </c>
      <c r="E1232">
        <v>31653230962</v>
      </c>
      <c r="F1232">
        <v>10203169</v>
      </c>
      <c r="G1232">
        <v>5.7070196500000003</v>
      </c>
      <c r="I1232">
        <v>84</v>
      </c>
      <c r="J1232">
        <v>19301082034.974003</v>
      </c>
      <c r="K1232">
        <v>13.25</v>
      </c>
    </row>
    <row r="1233" spans="1:11" x14ac:dyDescent="0.3">
      <c r="A1233" t="s">
        <v>285</v>
      </c>
      <c r="B1233" t="s">
        <v>286</v>
      </c>
      <c r="C1233">
        <v>2023</v>
      </c>
      <c r="D1233">
        <v>19867993464.770996</v>
      </c>
      <c r="E1233">
        <v>30816328066</v>
      </c>
      <c r="F1233">
        <v>10389635</v>
      </c>
      <c r="G1233">
        <v>3.8104630830000001</v>
      </c>
      <c r="I1233">
        <v>84</v>
      </c>
      <c r="J1233">
        <v>21857810109.360001</v>
      </c>
      <c r="K1233">
        <v>-9.1</v>
      </c>
    </row>
    <row r="1234" spans="1:11" x14ac:dyDescent="0.3">
      <c r="A1234" t="s">
        <v>287</v>
      </c>
      <c r="B1234" t="s">
        <v>288</v>
      </c>
      <c r="C1234">
        <v>2015</v>
      </c>
      <c r="D1234">
        <v>388922314540</v>
      </c>
      <c r="E1234">
        <v>480000000000</v>
      </c>
      <c r="F1234">
        <v>37986412</v>
      </c>
      <c r="G1234">
        <v>4.431767003</v>
      </c>
      <c r="H1234">
        <v>92.255427269999998</v>
      </c>
      <c r="I1234">
        <v>21</v>
      </c>
    </row>
    <row r="1235" spans="1:11" x14ac:dyDescent="0.3">
      <c r="A1235" t="s">
        <v>287</v>
      </c>
      <c r="B1235" t="s">
        <v>288</v>
      </c>
      <c r="C1235">
        <v>2016</v>
      </c>
      <c r="D1235">
        <v>392910539196</v>
      </c>
      <c r="E1235">
        <v>473000000000</v>
      </c>
      <c r="F1235">
        <v>37970087</v>
      </c>
      <c r="G1235">
        <v>3.031177676</v>
      </c>
      <c r="H1235">
        <v>96.865902809999994</v>
      </c>
      <c r="I1235">
        <v>19</v>
      </c>
      <c r="J1235">
        <v>388922314540</v>
      </c>
      <c r="K1235">
        <v>1.03</v>
      </c>
    </row>
    <row r="1236" spans="1:11" x14ac:dyDescent="0.3">
      <c r="A1236" t="s">
        <v>287</v>
      </c>
      <c r="B1236" t="s">
        <v>288</v>
      </c>
      <c r="C1236">
        <v>2017</v>
      </c>
      <c r="D1236">
        <v>442615242604</v>
      </c>
      <c r="E1236">
        <v>528000000000</v>
      </c>
      <c r="F1236">
        <v>37974826</v>
      </c>
      <c r="G1236">
        <v>5.1524577330000003</v>
      </c>
      <c r="H1236">
        <v>100.5658952</v>
      </c>
      <c r="I1236">
        <v>21</v>
      </c>
      <c r="J1236">
        <v>392910539196</v>
      </c>
      <c r="K1236">
        <v>12.65</v>
      </c>
    </row>
    <row r="1237" spans="1:11" x14ac:dyDescent="0.3">
      <c r="A1237" t="s">
        <v>287</v>
      </c>
      <c r="B1237" t="s">
        <v>288</v>
      </c>
      <c r="C1237">
        <v>2018</v>
      </c>
      <c r="D1237">
        <v>523630537050</v>
      </c>
      <c r="E1237">
        <v>595000000000</v>
      </c>
      <c r="F1237">
        <v>37974750</v>
      </c>
      <c r="G1237">
        <v>6.2458584720000001</v>
      </c>
      <c r="H1237">
        <v>102.44246219999999</v>
      </c>
      <c r="I1237">
        <v>19</v>
      </c>
      <c r="J1237">
        <v>442615242604</v>
      </c>
      <c r="K1237">
        <v>18.3</v>
      </c>
    </row>
    <row r="1238" spans="1:11" x14ac:dyDescent="0.3">
      <c r="A1238" t="s">
        <v>287</v>
      </c>
      <c r="B1238" t="s">
        <v>288</v>
      </c>
      <c r="C1238">
        <v>2019</v>
      </c>
      <c r="D1238">
        <v>503729546540</v>
      </c>
      <c r="E1238">
        <v>603000000000</v>
      </c>
      <c r="F1238">
        <v>37965475</v>
      </c>
      <c r="G1238">
        <v>4.5804581730000002</v>
      </c>
      <c r="H1238">
        <v>101.5810338</v>
      </c>
      <c r="I1238">
        <v>21</v>
      </c>
      <c r="J1238">
        <v>523630537050</v>
      </c>
      <c r="K1238">
        <v>-3.8</v>
      </c>
    </row>
    <row r="1239" spans="1:11" x14ac:dyDescent="0.3">
      <c r="A1239" t="s">
        <v>287</v>
      </c>
      <c r="B1239" t="s">
        <v>288</v>
      </c>
      <c r="C1239">
        <v>2020</v>
      </c>
      <c r="D1239">
        <v>508338063804</v>
      </c>
      <c r="E1239">
        <v>606000000000</v>
      </c>
      <c r="F1239">
        <v>37515748</v>
      </c>
      <c r="G1239">
        <v>-2.0355688239999998</v>
      </c>
      <c r="H1239">
        <v>99.259091229999996</v>
      </c>
      <c r="I1239">
        <v>19</v>
      </c>
      <c r="J1239">
        <v>503729546540</v>
      </c>
      <c r="K1239">
        <v>0.91</v>
      </c>
    </row>
    <row r="1240" spans="1:11" x14ac:dyDescent="0.3">
      <c r="A1240" t="s">
        <v>287</v>
      </c>
      <c r="B1240" t="s">
        <v>288</v>
      </c>
      <c r="C1240">
        <v>2021</v>
      </c>
      <c r="D1240">
        <v>635664249884</v>
      </c>
      <c r="E1240">
        <v>689000000000</v>
      </c>
      <c r="F1240">
        <v>36981559</v>
      </c>
      <c r="G1240">
        <v>6.9271826609999998</v>
      </c>
      <c r="H1240">
        <v>110.87428300000001</v>
      </c>
      <c r="I1240">
        <v>20</v>
      </c>
      <c r="J1240">
        <v>508338063804</v>
      </c>
      <c r="K1240">
        <v>25.05</v>
      </c>
    </row>
    <row r="1241" spans="1:11" x14ac:dyDescent="0.3">
      <c r="A1241" t="s">
        <v>287</v>
      </c>
      <c r="B1241" t="s">
        <v>288</v>
      </c>
      <c r="C1241">
        <v>2022</v>
      </c>
      <c r="D1241">
        <v>731501387036</v>
      </c>
      <c r="E1241">
        <v>696000000000</v>
      </c>
      <c r="F1241">
        <v>36821749</v>
      </c>
      <c r="G1241">
        <v>5.2554569740000003</v>
      </c>
      <c r="H1241">
        <v>123.0213329</v>
      </c>
      <c r="I1241">
        <v>20</v>
      </c>
      <c r="J1241">
        <v>635664249884</v>
      </c>
      <c r="K1241">
        <v>15.08</v>
      </c>
    </row>
    <row r="1242" spans="1:11" x14ac:dyDescent="0.3">
      <c r="A1242" t="s">
        <v>287</v>
      </c>
      <c r="B1242" t="s">
        <v>288</v>
      </c>
      <c r="C1242">
        <v>2023</v>
      </c>
      <c r="D1242">
        <v>763865680454</v>
      </c>
      <c r="E1242">
        <v>812000000000</v>
      </c>
      <c r="F1242">
        <v>36687353</v>
      </c>
      <c r="G1242">
        <v>0.249610834</v>
      </c>
      <c r="H1242">
        <v>110.024935</v>
      </c>
      <c r="I1242">
        <v>17</v>
      </c>
      <c r="J1242">
        <v>731501387036</v>
      </c>
      <c r="K1242">
        <v>4.42</v>
      </c>
    </row>
    <row r="1243" spans="1:11" x14ac:dyDescent="0.3">
      <c r="A1243" t="s">
        <v>287</v>
      </c>
      <c r="B1243" t="s">
        <v>288</v>
      </c>
      <c r="C1243">
        <v>2024</v>
      </c>
      <c r="D1243">
        <v>760666374322</v>
      </c>
      <c r="E1243">
        <v>918000000000</v>
      </c>
      <c r="F1243">
        <v>36559233</v>
      </c>
      <c r="G1243">
        <v>3.0284163070000001</v>
      </c>
      <c r="H1243">
        <v>100.3594428</v>
      </c>
      <c r="I1243">
        <v>15</v>
      </c>
      <c r="J1243">
        <v>763865680454</v>
      </c>
      <c r="K1243">
        <v>-0.42</v>
      </c>
    </row>
    <row r="1244" spans="1:11" x14ac:dyDescent="0.3">
      <c r="A1244" t="s">
        <v>289</v>
      </c>
      <c r="B1244" t="s">
        <v>290</v>
      </c>
      <c r="C1244">
        <v>2015</v>
      </c>
      <c r="D1244">
        <v>110090051435.60794</v>
      </c>
      <c r="E1244">
        <v>199000000000</v>
      </c>
      <c r="F1244">
        <v>10358076</v>
      </c>
      <c r="G1244">
        <v>1.589798037</v>
      </c>
      <c r="H1244">
        <v>80.634675630000004</v>
      </c>
      <c r="I1244">
        <v>43</v>
      </c>
    </row>
    <row r="1245" spans="1:11" x14ac:dyDescent="0.3">
      <c r="A1245" t="s">
        <v>289</v>
      </c>
      <c r="B1245" t="s">
        <v>290</v>
      </c>
      <c r="C1245">
        <v>2016</v>
      </c>
      <c r="D1245">
        <v>110743098499.15297</v>
      </c>
      <c r="E1245">
        <v>206000000000</v>
      </c>
      <c r="F1245">
        <v>10325452</v>
      </c>
      <c r="G1245">
        <v>2.0041412969999999</v>
      </c>
      <c r="H1245">
        <v>79.522346479999996</v>
      </c>
      <c r="I1245">
        <v>43</v>
      </c>
      <c r="J1245">
        <v>110090051435.60794</v>
      </c>
      <c r="K1245">
        <v>0.59</v>
      </c>
    </row>
    <row r="1246" spans="1:11" x14ac:dyDescent="0.3">
      <c r="A1246" t="s">
        <v>289</v>
      </c>
      <c r="B1246" t="s">
        <v>290</v>
      </c>
      <c r="C1246">
        <v>2017</v>
      </c>
      <c r="D1246">
        <v>124233681032.54901</v>
      </c>
      <c r="E1246">
        <v>221000000000</v>
      </c>
      <c r="F1246">
        <v>10300300</v>
      </c>
      <c r="G1246">
        <v>3.314720082</v>
      </c>
      <c r="H1246">
        <v>84.807792309999996</v>
      </c>
      <c r="I1246">
        <v>41</v>
      </c>
      <c r="J1246">
        <v>110743098499.15297</v>
      </c>
      <c r="K1246">
        <v>12.18</v>
      </c>
    </row>
    <row r="1247" spans="1:11" x14ac:dyDescent="0.3">
      <c r="A1247" t="s">
        <v>289</v>
      </c>
      <c r="B1247" t="s">
        <v>290</v>
      </c>
      <c r="C1247">
        <v>2018</v>
      </c>
      <c r="D1247">
        <v>148271811615.73209</v>
      </c>
      <c r="E1247">
        <v>242000000000</v>
      </c>
      <c r="F1247">
        <v>10283822</v>
      </c>
      <c r="G1247">
        <v>2.9462834340000001</v>
      </c>
      <c r="H1247">
        <v>86.735695489999998</v>
      </c>
      <c r="I1247">
        <v>40</v>
      </c>
      <c r="J1247">
        <v>124233681032.54901</v>
      </c>
      <c r="K1247">
        <v>19.350000000000001</v>
      </c>
    </row>
    <row r="1248" spans="1:11" x14ac:dyDescent="0.3">
      <c r="A1248" t="s">
        <v>289</v>
      </c>
      <c r="B1248" t="s">
        <v>290</v>
      </c>
      <c r="C1248">
        <v>2019</v>
      </c>
      <c r="D1248">
        <v>134128148349.88603</v>
      </c>
      <c r="E1248">
        <v>240000000000</v>
      </c>
      <c r="F1248">
        <v>10286263</v>
      </c>
      <c r="G1248">
        <v>2.7456843260000001</v>
      </c>
      <c r="H1248">
        <v>86.77098891</v>
      </c>
      <c r="I1248">
        <v>40</v>
      </c>
      <c r="J1248">
        <v>148271811615.73209</v>
      </c>
      <c r="K1248">
        <v>-9.5399999999999991</v>
      </c>
    </row>
    <row r="1249" spans="1:11" x14ac:dyDescent="0.3">
      <c r="A1249" t="s">
        <v>289</v>
      </c>
      <c r="B1249" t="s">
        <v>290</v>
      </c>
      <c r="C1249">
        <v>2020</v>
      </c>
      <c r="D1249">
        <v>122800524321.33701</v>
      </c>
      <c r="E1249">
        <v>230000000000</v>
      </c>
      <c r="F1249">
        <v>10297081</v>
      </c>
      <c r="G1249">
        <v>-8.2046315930000002</v>
      </c>
      <c r="H1249">
        <v>76.508640720000002</v>
      </c>
      <c r="I1249">
        <v>39</v>
      </c>
      <c r="J1249">
        <v>134128148349.88603</v>
      </c>
      <c r="K1249">
        <v>-8.4499999999999993</v>
      </c>
    </row>
    <row r="1250" spans="1:11" x14ac:dyDescent="0.3">
      <c r="A1250" t="s">
        <v>289</v>
      </c>
      <c r="B1250" t="s">
        <v>290</v>
      </c>
      <c r="C1250">
        <v>2021</v>
      </c>
      <c r="D1250">
        <v>150485533788.13086</v>
      </c>
      <c r="E1250">
        <v>256000000000</v>
      </c>
      <c r="F1250">
        <v>10361831</v>
      </c>
      <c r="G1250">
        <v>5.558756721</v>
      </c>
      <c r="H1250">
        <v>85.873545210000003</v>
      </c>
      <c r="I1250">
        <v>40</v>
      </c>
      <c r="J1250">
        <v>122800524321.33701</v>
      </c>
      <c r="K1250">
        <v>22.54</v>
      </c>
    </row>
    <row r="1251" spans="1:11" x14ac:dyDescent="0.3">
      <c r="A1251" t="s">
        <v>289</v>
      </c>
      <c r="B1251" t="s">
        <v>290</v>
      </c>
      <c r="C1251">
        <v>2022</v>
      </c>
      <c r="D1251">
        <v>166033562348.99399</v>
      </c>
      <c r="E1251">
        <v>257000000000</v>
      </c>
      <c r="F1251">
        <v>10434332</v>
      </c>
      <c r="G1251">
        <v>6.9858413759999998</v>
      </c>
      <c r="H1251">
        <v>101.3641465</v>
      </c>
      <c r="I1251">
        <v>40</v>
      </c>
      <c r="J1251">
        <v>150485533788.13086</v>
      </c>
      <c r="K1251">
        <v>10.33</v>
      </c>
    </row>
    <row r="1252" spans="1:11" x14ac:dyDescent="0.3">
      <c r="A1252" t="s">
        <v>289</v>
      </c>
      <c r="B1252" t="s">
        <v>290</v>
      </c>
      <c r="C1252">
        <v>2023</v>
      </c>
      <c r="D1252">
        <v>167249764715.82495</v>
      </c>
      <c r="E1252">
        <v>292000000000</v>
      </c>
      <c r="F1252">
        <v>10578174</v>
      </c>
      <c r="G1252">
        <v>3.0999874589999998</v>
      </c>
      <c r="H1252">
        <v>93.135853710000006</v>
      </c>
      <c r="I1252">
        <v>38</v>
      </c>
      <c r="J1252">
        <v>166033562348.99399</v>
      </c>
      <c r="K1252">
        <v>0.73</v>
      </c>
    </row>
    <row r="1253" spans="1:11" x14ac:dyDescent="0.3">
      <c r="A1253" t="s">
        <v>289</v>
      </c>
      <c r="B1253" t="s">
        <v>290</v>
      </c>
      <c r="C1253">
        <v>2024</v>
      </c>
      <c r="D1253">
        <v>165341104494.81</v>
      </c>
      <c r="E1253">
        <v>314000000000</v>
      </c>
      <c r="F1253">
        <v>10694681</v>
      </c>
      <c r="G1253">
        <v>2.2145923230000002</v>
      </c>
      <c r="H1253">
        <v>89.661563709999996</v>
      </c>
      <c r="I1253">
        <v>35</v>
      </c>
      <c r="J1253">
        <v>167249764715.82495</v>
      </c>
      <c r="K1253">
        <v>-1.1399999999999999</v>
      </c>
    </row>
    <row r="1254" spans="1:11" x14ac:dyDescent="0.3">
      <c r="A1254" t="s">
        <v>291</v>
      </c>
      <c r="B1254" t="s">
        <v>292</v>
      </c>
      <c r="C1254">
        <v>2015</v>
      </c>
      <c r="D1254">
        <v>16655092582</v>
      </c>
      <c r="E1254">
        <v>36211447840</v>
      </c>
      <c r="F1254">
        <v>6159103</v>
      </c>
      <c r="G1254">
        <v>2.9571516839999998</v>
      </c>
      <c r="H1254">
        <v>66.915065530000007</v>
      </c>
      <c r="I1254">
        <v>86</v>
      </c>
    </row>
    <row r="1255" spans="1:11" x14ac:dyDescent="0.3">
      <c r="A1255" t="s">
        <v>291</v>
      </c>
      <c r="B1255" t="s">
        <v>292</v>
      </c>
      <c r="C1255">
        <v>2016</v>
      </c>
      <c r="D1255">
        <v>17002315172.100002</v>
      </c>
      <c r="E1255">
        <v>36089700223</v>
      </c>
      <c r="F1255">
        <v>6249126</v>
      </c>
      <c r="G1255">
        <v>4.2680258330000003</v>
      </c>
      <c r="H1255">
        <v>67.759315229999999</v>
      </c>
      <c r="I1255">
        <v>83</v>
      </c>
      <c r="J1255">
        <v>16655092582</v>
      </c>
      <c r="K1255">
        <v>2.08</v>
      </c>
    </row>
    <row r="1256" spans="1:11" x14ac:dyDescent="0.3">
      <c r="A1256" t="s">
        <v>291</v>
      </c>
      <c r="B1256" t="s">
        <v>292</v>
      </c>
      <c r="C1256">
        <v>2017</v>
      </c>
      <c r="D1256">
        <v>17359666090</v>
      </c>
      <c r="E1256">
        <v>38997129474</v>
      </c>
      <c r="F1256">
        <v>6338660</v>
      </c>
      <c r="G1256">
        <v>4.8100788559999996</v>
      </c>
      <c r="H1256">
        <v>71.080134400000006</v>
      </c>
      <c r="I1256">
        <v>84</v>
      </c>
      <c r="J1256">
        <v>17002315172.100002</v>
      </c>
      <c r="K1256">
        <v>2.1</v>
      </c>
    </row>
    <row r="1257" spans="1:11" x14ac:dyDescent="0.3">
      <c r="A1257" t="s">
        <v>291</v>
      </c>
      <c r="B1257" t="s">
        <v>292</v>
      </c>
      <c r="C1257">
        <v>2018</v>
      </c>
      <c r="D1257">
        <v>18084281360</v>
      </c>
      <c r="E1257">
        <v>40225448341</v>
      </c>
      <c r="F1257">
        <v>6427382</v>
      </c>
      <c r="G1257">
        <v>3.2042503409999998</v>
      </c>
      <c r="H1257">
        <v>72.069223629999996</v>
      </c>
      <c r="I1257">
        <v>84</v>
      </c>
      <c r="J1257">
        <v>17359666090</v>
      </c>
      <c r="K1257">
        <v>4.17</v>
      </c>
    </row>
    <row r="1258" spans="1:11" x14ac:dyDescent="0.3">
      <c r="A1258" t="s">
        <v>291</v>
      </c>
      <c r="B1258" t="s">
        <v>292</v>
      </c>
      <c r="C1258">
        <v>2019</v>
      </c>
      <c r="D1258">
        <v>15935610060</v>
      </c>
      <c r="E1258">
        <v>37925338329</v>
      </c>
      <c r="F1258">
        <v>6515058</v>
      </c>
      <c r="G1258">
        <v>-0.40185510099999999</v>
      </c>
      <c r="H1258">
        <v>71.222161729999996</v>
      </c>
      <c r="I1258">
        <v>84</v>
      </c>
      <c r="J1258">
        <v>18084281360</v>
      </c>
      <c r="K1258">
        <v>-11.88</v>
      </c>
    </row>
    <row r="1259" spans="1:11" x14ac:dyDescent="0.3">
      <c r="A1259" t="s">
        <v>291</v>
      </c>
      <c r="B1259" t="s">
        <v>292</v>
      </c>
      <c r="C1259">
        <v>2020</v>
      </c>
      <c r="D1259">
        <v>17035782768</v>
      </c>
      <c r="E1259">
        <v>35432178068</v>
      </c>
      <c r="F1259">
        <v>6603739</v>
      </c>
      <c r="G1259">
        <v>-0.81978539100000003</v>
      </c>
      <c r="H1259">
        <v>62.760217470000001</v>
      </c>
      <c r="I1259">
        <v>80</v>
      </c>
      <c r="J1259">
        <v>15935610060</v>
      </c>
      <c r="K1259">
        <v>6.9</v>
      </c>
    </row>
    <row r="1260" spans="1:11" x14ac:dyDescent="0.3">
      <c r="A1260" t="s">
        <v>291</v>
      </c>
      <c r="B1260" t="s">
        <v>292</v>
      </c>
      <c r="C1260">
        <v>2021</v>
      </c>
      <c r="D1260">
        <v>21141939736</v>
      </c>
      <c r="E1260">
        <v>39937357256</v>
      </c>
      <c r="F1260">
        <v>6684182</v>
      </c>
      <c r="G1260">
        <v>3.994615107</v>
      </c>
      <c r="H1260">
        <v>69.732012679999997</v>
      </c>
      <c r="I1260">
        <v>82</v>
      </c>
      <c r="J1260">
        <v>17035782768</v>
      </c>
      <c r="K1260">
        <v>24.1</v>
      </c>
    </row>
    <row r="1261" spans="1:11" x14ac:dyDescent="0.3">
      <c r="A1261" t="s">
        <v>291</v>
      </c>
      <c r="B1261" t="s">
        <v>292</v>
      </c>
      <c r="C1261">
        <v>2022</v>
      </c>
      <c r="D1261">
        <v>19896572728.007999</v>
      </c>
      <c r="E1261">
        <v>41841201627</v>
      </c>
      <c r="F1261">
        <v>6760464</v>
      </c>
      <c r="G1261">
        <v>-2.8077172000000001E-2</v>
      </c>
      <c r="H1261">
        <v>73.873631140000001</v>
      </c>
      <c r="I1261">
        <v>86</v>
      </c>
      <c r="J1261">
        <v>21141939736</v>
      </c>
      <c r="K1261">
        <v>-5.89</v>
      </c>
    </row>
    <row r="1262" spans="1:11" x14ac:dyDescent="0.3">
      <c r="A1262" t="s">
        <v>291</v>
      </c>
      <c r="B1262" t="s">
        <v>292</v>
      </c>
      <c r="C1262">
        <v>2023</v>
      </c>
      <c r="D1262">
        <v>23738132327.720005</v>
      </c>
      <c r="E1262">
        <v>43140465596</v>
      </c>
      <c r="F1262">
        <v>6844146</v>
      </c>
      <c r="G1262">
        <v>5.2858458500000003</v>
      </c>
      <c r="H1262">
        <v>82.577725229999999</v>
      </c>
      <c r="I1262">
        <v>79</v>
      </c>
      <c r="J1262">
        <v>19896572728.007999</v>
      </c>
      <c r="K1262">
        <v>19.309999999999999</v>
      </c>
    </row>
    <row r="1263" spans="1:11" x14ac:dyDescent="0.3">
      <c r="A1263" t="s">
        <v>291</v>
      </c>
      <c r="B1263" t="s">
        <v>292</v>
      </c>
      <c r="C1263">
        <v>2024</v>
      </c>
      <c r="D1263">
        <v>21828803450.97002</v>
      </c>
      <c r="E1263">
        <v>44738819362</v>
      </c>
      <c r="F1263">
        <v>6929153</v>
      </c>
      <c r="G1263">
        <v>4.66914578</v>
      </c>
      <c r="H1263">
        <v>77.094438449999998</v>
      </c>
      <c r="I1263">
        <v>78</v>
      </c>
      <c r="J1263">
        <v>23738132327.720005</v>
      </c>
      <c r="K1263">
        <v>-8.0399999999999991</v>
      </c>
    </row>
    <row r="1264" spans="1:11" x14ac:dyDescent="0.3">
      <c r="A1264" t="s">
        <v>293</v>
      </c>
      <c r="B1264" t="s">
        <v>294</v>
      </c>
      <c r="C1264">
        <v>2015</v>
      </c>
      <c r="D1264">
        <v>1915621739</v>
      </c>
      <c r="E1264">
        <v>13972400000</v>
      </c>
      <c r="F1264">
        <v>4270092</v>
      </c>
      <c r="G1264">
        <v>3.7212996710000001</v>
      </c>
      <c r="H1264">
        <v>70.780968189999996</v>
      </c>
      <c r="I1264">
        <v>131</v>
      </c>
    </row>
    <row r="1265" spans="1:11" x14ac:dyDescent="0.3">
      <c r="A1265" t="s">
        <v>293</v>
      </c>
      <c r="B1265" t="s">
        <v>294</v>
      </c>
      <c r="C1265">
        <v>2016</v>
      </c>
      <c r="D1265">
        <v>1852997955</v>
      </c>
      <c r="E1265">
        <v>15405400000</v>
      </c>
      <c r="F1265">
        <v>4367088</v>
      </c>
      <c r="G1265">
        <v>8.8646188200000005</v>
      </c>
      <c r="H1265">
        <v>65.422514179999993</v>
      </c>
      <c r="I1265">
        <v>132</v>
      </c>
      <c r="J1265">
        <v>1915621739</v>
      </c>
      <c r="K1265">
        <v>-3.27</v>
      </c>
    </row>
    <row r="1266" spans="1:11" x14ac:dyDescent="0.3">
      <c r="A1266" t="s">
        <v>293</v>
      </c>
      <c r="B1266" t="s">
        <v>294</v>
      </c>
      <c r="C1266">
        <v>2017</v>
      </c>
      <c r="D1266">
        <v>2129768277.5250001</v>
      </c>
      <c r="E1266">
        <v>16128000000</v>
      </c>
      <c r="F1266">
        <v>4454805</v>
      </c>
      <c r="G1266">
        <v>1.419367563</v>
      </c>
      <c r="H1266">
        <v>68.448660709999999</v>
      </c>
      <c r="I1266">
        <v>130</v>
      </c>
      <c r="J1266">
        <v>1852997955</v>
      </c>
      <c r="K1266">
        <v>14.94</v>
      </c>
    </row>
    <row r="1267" spans="1:11" x14ac:dyDescent="0.3">
      <c r="A1267" t="s">
        <v>293</v>
      </c>
      <c r="B1267" t="s">
        <v>294</v>
      </c>
      <c r="C1267">
        <v>2018</v>
      </c>
      <c r="D1267">
        <v>2311268099.3929996</v>
      </c>
      <c r="E1267">
        <v>16276600000</v>
      </c>
      <c r="F1267">
        <v>4569087</v>
      </c>
      <c r="G1267">
        <v>1.2270773779999999</v>
      </c>
      <c r="H1267">
        <v>71.40127545</v>
      </c>
      <c r="I1267">
        <v>128</v>
      </c>
      <c r="J1267">
        <v>2129768277.5250001</v>
      </c>
      <c r="K1267">
        <v>8.52</v>
      </c>
    </row>
    <row r="1268" spans="1:11" x14ac:dyDescent="0.3">
      <c r="A1268" t="s">
        <v>293</v>
      </c>
      <c r="B1268" t="s">
        <v>294</v>
      </c>
      <c r="C1268">
        <v>2019</v>
      </c>
      <c r="D1268">
        <v>2207616663.8799996</v>
      </c>
      <c r="E1268">
        <v>17133500000</v>
      </c>
      <c r="F1268">
        <v>4685306</v>
      </c>
      <c r="G1268">
        <v>1.3626874659999999</v>
      </c>
      <c r="H1268">
        <v>68.993492279999998</v>
      </c>
      <c r="I1268">
        <v>128</v>
      </c>
      <c r="J1268">
        <v>2311268099.3929996</v>
      </c>
      <c r="K1268">
        <v>-4.4800000000000004</v>
      </c>
    </row>
    <row r="1269" spans="1:11" x14ac:dyDescent="0.3">
      <c r="A1269" t="s">
        <v>293</v>
      </c>
      <c r="B1269" t="s">
        <v>294</v>
      </c>
      <c r="C1269">
        <v>2020</v>
      </c>
      <c r="D1269">
        <v>2109241688.3200009</v>
      </c>
      <c r="E1269">
        <v>15531700000</v>
      </c>
      <c r="F1269">
        <v>4803269</v>
      </c>
      <c r="G1269">
        <v>-11.318466109999999</v>
      </c>
      <c r="H1269">
        <v>67.288191249999997</v>
      </c>
      <c r="I1269">
        <v>126</v>
      </c>
      <c r="J1269">
        <v>2207616663.8799996</v>
      </c>
      <c r="K1269">
        <v>-4.46</v>
      </c>
    </row>
    <row r="1270" spans="1:11" x14ac:dyDescent="0.3">
      <c r="A1270" t="s">
        <v>293</v>
      </c>
      <c r="B1270" t="s">
        <v>294</v>
      </c>
      <c r="C1270">
        <v>2021</v>
      </c>
      <c r="D1270">
        <v>2715280058.3400002</v>
      </c>
      <c r="E1270">
        <v>18109000000</v>
      </c>
      <c r="F1270">
        <v>4922749</v>
      </c>
      <c r="G1270">
        <v>7.0119822760000003</v>
      </c>
      <c r="H1270">
        <v>73.083549619999999</v>
      </c>
      <c r="I1270">
        <v>131</v>
      </c>
      <c r="J1270">
        <v>2109241688.3200009</v>
      </c>
      <c r="K1270">
        <v>28.73</v>
      </c>
    </row>
    <row r="1271" spans="1:11" x14ac:dyDescent="0.3">
      <c r="A1271" t="s">
        <v>293</v>
      </c>
      <c r="B1271" t="s">
        <v>294</v>
      </c>
      <c r="C1271">
        <v>2022</v>
      </c>
      <c r="D1271">
        <v>3050317692.9110003</v>
      </c>
      <c r="E1271">
        <v>19165500000</v>
      </c>
      <c r="F1271">
        <v>5043612</v>
      </c>
      <c r="G1271">
        <v>4.0827602729999999</v>
      </c>
      <c r="H1271">
        <v>82.394928390000004</v>
      </c>
      <c r="I1271">
        <v>126</v>
      </c>
      <c r="J1271">
        <v>2715280058.3400002</v>
      </c>
      <c r="K1271">
        <v>12.34</v>
      </c>
    </row>
    <row r="1272" spans="1:11" x14ac:dyDescent="0.3">
      <c r="A1272" t="s">
        <v>293</v>
      </c>
      <c r="B1272" t="s">
        <v>294</v>
      </c>
      <c r="C1272">
        <v>2023</v>
      </c>
      <c r="D1272">
        <v>3042775839.2410002</v>
      </c>
      <c r="E1272">
        <v>18635100000</v>
      </c>
      <c r="F1272">
        <v>5165775</v>
      </c>
      <c r="G1272">
        <v>-0.97217780600000003</v>
      </c>
      <c r="H1272">
        <v>76.17345761</v>
      </c>
      <c r="I1272">
        <v>123</v>
      </c>
      <c r="J1272">
        <v>3050317692.9110003</v>
      </c>
      <c r="K1272">
        <v>-0.25</v>
      </c>
    </row>
    <row r="1273" spans="1:11" x14ac:dyDescent="0.3">
      <c r="A1273" t="s">
        <v>295</v>
      </c>
      <c r="B1273" t="s">
        <v>296</v>
      </c>
      <c r="C1273">
        <v>2015</v>
      </c>
      <c r="D1273">
        <v>154180525440.12512</v>
      </c>
      <c r="E1273">
        <v>162000000000</v>
      </c>
      <c r="F1273">
        <v>2344557</v>
      </c>
      <c r="G1273">
        <v>4.7533457239999999</v>
      </c>
      <c r="H1273">
        <v>93.707604169999996</v>
      </c>
      <c r="I1273">
        <v>34</v>
      </c>
    </row>
    <row r="1274" spans="1:11" x14ac:dyDescent="0.3">
      <c r="A1274" t="s">
        <v>295</v>
      </c>
      <c r="B1274" t="s">
        <v>296</v>
      </c>
      <c r="C1274">
        <v>2016</v>
      </c>
      <c r="D1274">
        <v>114617269187.46399</v>
      </c>
      <c r="E1274">
        <v>152000000000</v>
      </c>
      <c r="F1274">
        <v>2477113</v>
      </c>
      <c r="G1274">
        <v>3.064191884</v>
      </c>
      <c r="H1274">
        <v>89.547600119999998</v>
      </c>
      <c r="I1274">
        <v>41</v>
      </c>
      <c r="J1274">
        <v>154180525440.12512</v>
      </c>
      <c r="K1274">
        <v>-25.66</v>
      </c>
    </row>
    <row r="1275" spans="1:11" x14ac:dyDescent="0.3">
      <c r="A1275" t="s">
        <v>295</v>
      </c>
      <c r="B1275" t="s">
        <v>296</v>
      </c>
      <c r="C1275">
        <v>2017</v>
      </c>
      <c r="D1275">
        <v>134996211703.83394</v>
      </c>
      <c r="E1275">
        <v>161000000000</v>
      </c>
      <c r="F1275">
        <v>2545820</v>
      </c>
      <c r="G1275">
        <v>-1.4976047020000001</v>
      </c>
      <c r="H1275">
        <v>91.494587920000001</v>
      </c>
      <c r="I1275">
        <v>39</v>
      </c>
      <c r="J1275">
        <v>114617269187.46399</v>
      </c>
      <c r="K1275">
        <v>17.78</v>
      </c>
    </row>
    <row r="1276" spans="1:11" x14ac:dyDescent="0.3">
      <c r="A1276" t="s">
        <v>295</v>
      </c>
      <c r="B1276" t="s">
        <v>296</v>
      </c>
      <c r="C1276">
        <v>2018</v>
      </c>
      <c r="D1276">
        <v>168576918250.64713</v>
      </c>
      <c r="E1276">
        <v>183000000000</v>
      </c>
      <c r="F1276">
        <v>2580734</v>
      </c>
      <c r="G1276">
        <v>1.234872202</v>
      </c>
      <c r="H1276">
        <v>91.838448979999995</v>
      </c>
      <c r="I1276">
        <v>36</v>
      </c>
      <c r="J1276">
        <v>134996211703.83394</v>
      </c>
      <c r="K1276">
        <v>24.88</v>
      </c>
    </row>
    <row r="1277" spans="1:11" x14ac:dyDescent="0.3">
      <c r="A1277" t="s">
        <v>295</v>
      </c>
      <c r="B1277" t="s">
        <v>296</v>
      </c>
      <c r="C1277">
        <v>2019</v>
      </c>
      <c r="D1277">
        <v>145869912586.306</v>
      </c>
      <c r="E1277">
        <v>176000000000</v>
      </c>
      <c r="F1277">
        <v>2638657</v>
      </c>
      <c r="G1277">
        <v>0.68824095500000004</v>
      </c>
      <c r="H1277">
        <v>90.046375549999993</v>
      </c>
      <c r="I1277">
        <v>36</v>
      </c>
      <c r="J1277">
        <v>168576918250.64713</v>
      </c>
      <c r="K1277">
        <v>-13.47</v>
      </c>
    </row>
    <row r="1278" spans="1:11" x14ac:dyDescent="0.3">
      <c r="A1278" t="s">
        <v>295</v>
      </c>
      <c r="B1278" t="s">
        <v>296</v>
      </c>
      <c r="C1278">
        <v>2020</v>
      </c>
      <c r="D1278">
        <v>103008316115.49899</v>
      </c>
      <c r="E1278">
        <v>144000000000</v>
      </c>
      <c r="F1278">
        <v>2794148</v>
      </c>
      <c r="G1278">
        <v>-3.55760399</v>
      </c>
      <c r="H1278">
        <v>90.019094879999997</v>
      </c>
      <c r="I1278">
        <v>41</v>
      </c>
      <c r="J1278">
        <v>145869912586.306</v>
      </c>
      <c r="K1278">
        <v>-29.38</v>
      </c>
    </row>
    <row r="1279" spans="1:11" x14ac:dyDescent="0.3">
      <c r="A1279" t="s">
        <v>295</v>
      </c>
      <c r="B1279" t="s">
        <v>296</v>
      </c>
      <c r="C1279">
        <v>2021</v>
      </c>
      <c r="D1279">
        <v>174406582377.73798</v>
      </c>
      <c r="E1279">
        <v>180000000000</v>
      </c>
      <c r="F1279">
        <v>2504910</v>
      </c>
      <c r="G1279">
        <v>1.626846719</v>
      </c>
      <c r="H1279">
        <v>92.779158570000007</v>
      </c>
      <c r="I1279">
        <v>37</v>
      </c>
      <c r="J1279">
        <v>103008316115.49899</v>
      </c>
      <c r="K1279">
        <v>69.31</v>
      </c>
    </row>
    <row r="1280" spans="1:11" x14ac:dyDescent="0.3">
      <c r="A1280" t="s">
        <v>295</v>
      </c>
      <c r="B1280" t="s">
        <v>296</v>
      </c>
      <c r="C1280">
        <v>2022</v>
      </c>
      <c r="D1280">
        <v>261928945148.53586</v>
      </c>
      <c r="E1280">
        <v>236000000000</v>
      </c>
      <c r="F1280">
        <v>2657333</v>
      </c>
      <c r="G1280">
        <v>4.1850097100000001</v>
      </c>
      <c r="H1280">
        <v>100.2136472</v>
      </c>
      <c r="I1280">
        <v>31</v>
      </c>
      <c r="J1280">
        <v>174406582377.73798</v>
      </c>
      <c r="K1280">
        <v>50.18</v>
      </c>
    </row>
    <row r="1281" spans="1:11" x14ac:dyDescent="0.3">
      <c r="A1281" t="s">
        <v>295</v>
      </c>
      <c r="B1281" t="s">
        <v>296</v>
      </c>
      <c r="C1281">
        <v>2023</v>
      </c>
      <c r="D1281">
        <v>195502987992.14188</v>
      </c>
      <c r="E1281">
        <v>213000000000</v>
      </c>
      <c r="F1281">
        <v>2656032</v>
      </c>
      <c r="G1281">
        <v>1.1871599159999999</v>
      </c>
      <c r="I1281">
        <v>35</v>
      </c>
      <c r="J1281">
        <v>261928945148.53586</v>
      </c>
      <c r="K1281">
        <v>-25.36</v>
      </c>
    </row>
    <row r="1282" spans="1:11" x14ac:dyDescent="0.3">
      <c r="A1282" t="s">
        <v>295</v>
      </c>
      <c r="B1282" t="s">
        <v>296</v>
      </c>
      <c r="C1282">
        <v>2024</v>
      </c>
      <c r="D1282">
        <v>190087953261.80209</v>
      </c>
      <c r="E1282">
        <v>216000000000</v>
      </c>
      <c r="F1282">
        <v>2857822</v>
      </c>
      <c r="G1282">
        <v>3.109632832</v>
      </c>
      <c r="I1282">
        <v>34</v>
      </c>
      <c r="J1282">
        <v>195502987992.14188</v>
      </c>
      <c r="K1282">
        <v>-2.77</v>
      </c>
    </row>
    <row r="1283" spans="1:11" x14ac:dyDescent="0.3">
      <c r="A1283" t="s">
        <v>297</v>
      </c>
      <c r="B1283" t="s">
        <v>298</v>
      </c>
      <c r="C1283">
        <v>2015</v>
      </c>
      <c r="D1283">
        <v>121210095333</v>
      </c>
      <c r="E1283">
        <v>178000000000</v>
      </c>
      <c r="F1283">
        <v>19815616</v>
      </c>
      <c r="G1283">
        <v>3.1570360540000002</v>
      </c>
      <c r="H1283">
        <v>83.520576700000007</v>
      </c>
      <c r="I1283">
        <v>38</v>
      </c>
    </row>
    <row r="1284" spans="1:11" x14ac:dyDescent="0.3">
      <c r="A1284" t="s">
        <v>297</v>
      </c>
      <c r="B1284" t="s">
        <v>298</v>
      </c>
      <c r="C1284">
        <v>2016</v>
      </c>
      <c r="D1284">
        <v>127162008695</v>
      </c>
      <c r="E1284">
        <v>185000000000</v>
      </c>
      <c r="F1284">
        <v>19702267</v>
      </c>
      <c r="G1284">
        <v>2.8599325229999999</v>
      </c>
      <c r="H1284">
        <v>85.892528290000001</v>
      </c>
      <c r="I1284">
        <v>36</v>
      </c>
      <c r="J1284">
        <v>121210095333</v>
      </c>
      <c r="K1284">
        <v>4.91</v>
      </c>
    </row>
    <row r="1285" spans="1:11" x14ac:dyDescent="0.3">
      <c r="A1285" t="s">
        <v>297</v>
      </c>
      <c r="B1285" t="s">
        <v>298</v>
      </c>
      <c r="C1285">
        <v>2017</v>
      </c>
      <c r="D1285">
        <v>141253774999.95999</v>
      </c>
      <c r="E1285">
        <v>210000000000</v>
      </c>
      <c r="F1285">
        <v>19588715</v>
      </c>
      <c r="G1285">
        <v>8.1954782660000003</v>
      </c>
      <c r="H1285">
        <v>87.156064569999998</v>
      </c>
      <c r="I1285">
        <v>36</v>
      </c>
      <c r="J1285">
        <v>127162008695</v>
      </c>
      <c r="K1285">
        <v>11.08</v>
      </c>
    </row>
    <row r="1286" spans="1:11" x14ac:dyDescent="0.3">
      <c r="A1286" t="s">
        <v>297</v>
      </c>
      <c r="B1286" t="s">
        <v>298</v>
      </c>
      <c r="C1286">
        <v>2018</v>
      </c>
      <c r="D1286">
        <v>160155212533.76004</v>
      </c>
      <c r="E1286">
        <v>242000000000</v>
      </c>
      <c r="F1286">
        <v>19473970</v>
      </c>
      <c r="G1286">
        <v>5.3945222819999996</v>
      </c>
      <c r="H1286">
        <v>87.091170109999993</v>
      </c>
      <c r="I1286">
        <v>37</v>
      </c>
      <c r="J1286">
        <v>141253774999.95999</v>
      </c>
      <c r="K1286">
        <v>13.38</v>
      </c>
    </row>
    <row r="1287" spans="1:11" x14ac:dyDescent="0.3">
      <c r="A1287" t="s">
        <v>297</v>
      </c>
      <c r="B1287" t="s">
        <v>298</v>
      </c>
      <c r="C1287">
        <v>2019</v>
      </c>
      <c r="D1287">
        <v>154597496874.88007</v>
      </c>
      <c r="E1287">
        <v>250000000000</v>
      </c>
      <c r="F1287">
        <v>19371648</v>
      </c>
      <c r="G1287">
        <v>3.9602895849999999</v>
      </c>
      <c r="H1287">
        <v>84.906363060000004</v>
      </c>
      <c r="I1287">
        <v>35</v>
      </c>
      <c r="J1287">
        <v>160155212533.76004</v>
      </c>
      <c r="K1287">
        <v>-3.47</v>
      </c>
    </row>
    <row r="1288" spans="1:11" x14ac:dyDescent="0.3">
      <c r="A1288" t="s">
        <v>297</v>
      </c>
      <c r="B1288" t="s">
        <v>298</v>
      </c>
      <c r="C1288">
        <v>2020</v>
      </c>
      <c r="D1288">
        <v>142092797568.20004</v>
      </c>
      <c r="E1288">
        <v>251000000000</v>
      </c>
      <c r="F1288">
        <v>19265250</v>
      </c>
      <c r="G1288">
        <v>-3.5980254600000001</v>
      </c>
      <c r="H1288">
        <v>78.361646359999995</v>
      </c>
      <c r="I1288">
        <v>36</v>
      </c>
      <c r="J1288">
        <v>154597496874.88007</v>
      </c>
      <c r="K1288">
        <v>-8.09</v>
      </c>
    </row>
    <row r="1289" spans="1:11" x14ac:dyDescent="0.3">
      <c r="A1289" t="s">
        <v>297</v>
      </c>
      <c r="B1289" t="s">
        <v>298</v>
      </c>
      <c r="C1289">
        <v>2021</v>
      </c>
      <c r="D1289">
        <v>176779457941.82007</v>
      </c>
      <c r="E1289">
        <v>285000000000</v>
      </c>
      <c r="F1289">
        <v>19122059</v>
      </c>
      <c r="G1289">
        <v>5.5873507250000003</v>
      </c>
      <c r="H1289">
        <v>87.071196549999996</v>
      </c>
      <c r="I1289">
        <v>36</v>
      </c>
      <c r="J1289">
        <v>142092797568.20004</v>
      </c>
      <c r="K1289">
        <v>24.41</v>
      </c>
    </row>
    <row r="1290" spans="1:11" x14ac:dyDescent="0.3">
      <c r="A1290" t="s">
        <v>297</v>
      </c>
      <c r="B1290" t="s">
        <v>298</v>
      </c>
      <c r="C1290">
        <v>2022</v>
      </c>
      <c r="D1290">
        <v>193659203340.59988</v>
      </c>
      <c r="E1290">
        <v>295000000000</v>
      </c>
      <c r="F1290">
        <v>19048502</v>
      </c>
      <c r="G1290">
        <v>4.1877130510000002</v>
      </c>
      <c r="H1290">
        <v>93.949650939999998</v>
      </c>
      <c r="I1290">
        <v>37</v>
      </c>
      <c r="J1290">
        <v>176779457941.82007</v>
      </c>
      <c r="K1290">
        <v>9.5500000000000007</v>
      </c>
    </row>
    <row r="1291" spans="1:11" x14ac:dyDescent="0.3">
      <c r="A1291" t="s">
        <v>297</v>
      </c>
      <c r="B1291" t="s">
        <v>298</v>
      </c>
      <c r="C1291">
        <v>2023</v>
      </c>
      <c r="D1291">
        <v>201284925352.81998</v>
      </c>
      <c r="E1291">
        <v>348000000000</v>
      </c>
      <c r="F1291">
        <v>19061062</v>
      </c>
      <c r="G1291">
        <v>2.2577341660000001</v>
      </c>
      <c r="H1291">
        <v>83.375332409999999</v>
      </c>
      <c r="I1291">
        <v>34</v>
      </c>
      <c r="J1291">
        <v>193659203340.59988</v>
      </c>
      <c r="K1291">
        <v>3.94</v>
      </c>
    </row>
    <row r="1292" spans="1:11" x14ac:dyDescent="0.3">
      <c r="A1292" t="s">
        <v>297</v>
      </c>
      <c r="B1292" t="s">
        <v>298</v>
      </c>
      <c r="C1292">
        <v>2024</v>
      </c>
      <c r="D1292">
        <v>200741763372.20013</v>
      </c>
      <c r="E1292">
        <v>383000000000</v>
      </c>
      <c r="F1292">
        <v>19051804</v>
      </c>
      <c r="G1292">
        <v>0.91600376400000005</v>
      </c>
      <c r="H1292">
        <v>77.214983790000005</v>
      </c>
      <c r="I1292">
        <v>32</v>
      </c>
      <c r="J1292">
        <v>201284925352.81998</v>
      </c>
      <c r="K1292">
        <v>-0.27</v>
      </c>
    </row>
    <row r="1293" spans="1:11" x14ac:dyDescent="0.3">
      <c r="A1293" t="s">
        <v>299</v>
      </c>
      <c r="B1293" t="s">
        <v>300</v>
      </c>
      <c r="C1293">
        <v>2015</v>
      </c>
      <c r="D1293">
        <v>687815303656</v>
      </c>
      <c r="E1293">
        <v>1360000000000</v>
      </c>
      <c r="F1293">
        <v>144640716</v>
      </c>
      <c r="G1293">
        <v>-1.9727192259999999</v>
      </c>
      <c r="H1293">
        <v>49.359349309999999</v>
      </c>
      <c r="I1293">
        <v>13</v>
      </c>
    </row>
    <row r="1294" spans="1:11" x14ac:dyDescent="0.3">
      <c r="A1294" t="s">
        <v>299</v>
      </c>
      <c r="B1294" t="s">
        <v>300</v>
      </c>
      <c r="C1294">
        <v>2016</v>
      </c>
      <c r="D1294">
        <v>603560886772.87952</v>
      </c>
      <c r="E1294">
        <v>1280000000000</v>
      </c>
      <c r="F1294">
        <v>145015460</v>
      </c>
      <c r="G1294">
        <v>0.193671131</v>
      </c>
      <c r="H1294">
        <v>46.518119839999997</v>
      </c>
      <c r="I1294">
        <v>13</v>
      </c>
      <c r="J1294">
        <v>687815303656</v>
      </c>
      <c r="K1294">
        <v>-12.25</v>
      </c>
    </row>
    <row r="1295" spans="1:11" x14ac:dyDescent="0.3">
      <c r="A1295" t="s">
        <v>299</v>
      </c>
      <c r="B1295" t="s">
        <v>300</v>
      </c>
      <c r="C1295">
        <v>2017</v>
      </c>
      <c r="D1295">
        <v>758413212037.22046</v>
      </c>
      <c r="E1295">
        <v>1570000000000</v>
      </c>
      <c r="F1295">
        <v>145293260</v>
      </c>
      <c r="G1295">
        <v>1.8267052749999999</v>
      </c>
      <c r="H1295">
        <v>46.876524340000003</v>
      </c>
      <c r="I1295">
        <v>12</v>
      </c>
      <c r="J1295">
        <v>603560886772.87952</v>
      </c>
      <c r="K1295">
        <v>25.66</v>
      </c>
    </row>
    <row r="1296" spans="1:11" x14ac:dyDescent="0.3">
      <c r="A1296" t="s">
        <v>299</v>
      </c>
      <c r="B1296" t="s">
        <v>300</v>
      </c>
      <c r="C1296">
        <v>2018</v>
      </c>
      <c r="D1296">
        <v>902989656346.33972</v>
      </c>
      <c r="E1296">
        <v>1660000000000</v>
      </c>
      <c r="F1296">
        <v>145398106</v>
      </c>
      <c r="G1296">
        <v>2.80634082</v>
      </c>
      <c r="H1296">
        <v>51.580900370000002</v>
      </c>
      <c r="I1296">
        <v>10</v>
      </c>
      <c r="J1296">
        <v>758413212037.22046</v>
      </c>
      <c r="K1296">
        <v>19.059999999999999</v>
      </c>
    </row>
    <row r="1297" spans="1:11" x14ac:dyDescent="0.3">
      <c r="A1297" t="s">
        <v>299</v>
      </c>
      <c r="B1297" t="s">
        <v>300</v>
      </c>
      <c r="C1297">
        <v>2019</v>
      </c>
      <c r="D1297">
        <v>853440665320.34058</v>
      </c>
      <c r="E1297">
        <v>1690000000000</v>
      </c>
      <c r="F1297">
        <v>145453291</v>
      </c>
      <c r="G1297">
        <v>2.1980757139999998</v>
      </c>
      <c r="H1297">
        <v>49.228753660000002</v>
      </c>
      <c r="I1297">
        <v>12</v>
      </c>
      <c r="J1297">
        <v>902989656346.33972</v>
      </c>
      <c r="K1297">
        <v>-5.49</v>
      </c>
    </row>
    <row r="1298" spans="1:11" x14ac:dyDescent="0.3">
      <c r="A1298" t="s">
        <v>299</v>
      </c>
      <c r="B1298" t="s">
        <v>300</v>
      </c>
      <c r="C1298">
        <v>2020</v>
      </c>
      <c r="D1298">
        <v>674207939286.12195</v>
      </c>
      <c r="E1298">
        <v>1490000000000</v>
      </c>
      <c r="F1298">
        <v>145245148</v>
      </c>
      <c r="G1298">
        <v>-2.6536544969999998</v>
      </c>
      <c r="H1298">
        <v>45.966908199999999</v>
      </c>
      <c r="I1298">
        <v>13</v>
      </c>
      <c r="J1298">
        <v>853440665320.34058</v>
      </c>
      <c r="K1298">
        <v>-21</v>
      </c>
    </row>
    <row r="1299" spans="1:11" x14ac:dyDescent="0.3">
      <c r="A1299" t="s">
        <v>299</v>
      </c>
      <c r="B1299" t="s">
        <v>300</v>
      </c>
      <c r="C1299">
        <v>2021</v>
      </c>
      <c r="D1299">
        <v>984627581393.3064</v>
      </c>
      <c r="E1299">
        <v>1830000000000</v>
      </c>
      <c r="F1299">
        <v>144746762</v>
      </c>
      <c r="G1299">
        <v>5.8664917729999999</v>
      </c>
      <c r="H1299">
        <v>50.586195459999999</v>
      </c>
      <c r="I1299">
        <v>11</v>
      </c>
      <c r="J1299">
        <v>674207939286.12195</v>
      </c>
      <c r="K1299">
        <v>46.04</v>
      </c>
    </row>
    <row r="1300" spans="1:11" x14ac:dyDescent="0.3">
      <c r="A1300" t="s">
        <v>301</v>
      </c>
      <c r="B1300" t="s">
        <v>302</v>
      </c>
      <c r="C1300">
        <v>2015</v>
      </c>
      <c r="D1300">
        <v>1187248300.1629996</v>
      </c>
      <c r="E1300">
        <v>8447064079</v>
      </c>
      <c r="F1300">
        <v>11640022</v>
      </c>
      <c r="G1300">
        <v>8.8703675289999993</v>
      </c>
      <c r="H1300">
        <v>45.73486758</v>
      </c>
      <c r="I1300">
        <v>138</v>
      </c>
    </row>
    <row r="1301" spans="1:11" x14ac:dyDescent="0.3">
      <c r="A1301" t="s">
        <v>301</v>
      </c>
      <c r="B1301" t="s">
        <v>302</v>
      </c>
      <c r="C1301">
        <v>2016</v>
      </c>
      <c r="D1301">
        <v>1226147343.0219996</v>
      </c>
      <c r="E1301">
        <v>8596812241</v>
      </c>
      <c r="F1301">
        <v>11919183</v>
      </c>
      <c r="G1301">
        <v>5.6587458420000001</v>
      </c>
      <c r="H1301">
        <v>50.089736569999999</v>
      </c>
      <c r="I1301">
        <v>139</v>
      </c>
      <c r="J1301">
        <v>1187248300.1629996</v>
      </c>
      <c r="K1301">
        <v>3.28</v>
      </c>
    </row>
    <row r="1302" spans="1:11" x14ac:dyDescent="0.3">
      <c r="A1302" t="s">
        <v>301</v>
      </c>
      <c r="B1302" t="s">
        <v>302</v>
      </c>
      <c r="C1302">
        <v>2017</v>
      </c>
      <c r="D1302">
        <v>1885302503.944001</v>
      </c>
      <c r="E1302">
        <v>9164345443</v>
      </c>
      <c r="F1302">
        <v>12202060</v>
      </c>
      <c r="G1302">
        <v>4.7039343980000003</v>
      </c>
      <c r="H1302">
        <v>54.207965659999999</v>
      </c>
      <c r="I1302">
        <v>134</v>
      </c>
      <c r="J1302">
        <v>1226147343.0219996</v>
      </c>
      <c r="K1302">
        <v>53.76</v>
      </c>
    </row>
    <row r="1303" spans="1:11" x14ac:dyDescent="0.3">
      <c r="A1303" t="s">
        <v>301</v>
      </c>
      <c r="B1303" t="s">
        <v>302</v>
      </c>
      <c r="C1303">
        <v>2018</v>
      </c>
      <c r="D1303">
        <v>2008402338.7010009</v>
      </c>
      <c r="E1303">
        <v>9650161136</v>
      </c>
      <c r="F1303">
        <v>12487996</v>
      </c>
      <c r="G1303">
        <v>8.0708425459999997</v>
      </c>
      <c r="H1303">
        <v>47.983057870000003</v>
      </c>
      <c r="I1303">
        <v>132</v>
      </c>
      <c r="J1303">
        <v>1885302503.944001</v>
      </c>
      <c r="K1303">
        <v>6.53</v>
      </c>
    </row>
    <row r="1304" spans="1:11" x14ac:dyDescent="0.3">
      <c r="A1304" t="s">
        <v>301</v>
      </c>
      <c r="B1304" t="s">
        <v>302</v>
      </c>
      <c r="C1304">
        <v>2019</v>
      </c>
      <c r="D1304">
        <v>2263912134.7600002</v>
      </c>
      <c r="E1304">
        <v>10519272170</v>
      </c>
      <c r="F1304">
        <v>12776103</v>
      </c>
      <c r="G1304">
        <v>9.2861338750000009</v>
      </c>
      <c r="H1304">
        <v>48.892715029999998</v>
      </c>
      <c r="I1304">
        <v>127</v>
      </c>
      <c r="J1304">
        <v>2008402338.7010009</v>
      </c>
      <c r="K1304">
        <v>12.72</v>
      </c>
    </row>
    <row r="1305" spans="1:11" x14ac:dyDescent="0.3">
      <c r="A1305" t="s">
        <v>301</v>
      </c>
      <c r="B1305" t="s">
        <v>302</v>
      </c>
      <c r="C1305">
        <v>2020</v>
      </c>
      <c r="D1305">
        <v>2862352625.1200004</v>
      </c>
      <c r="E1305">
        <v>10487146253</v>
      </c>
      <c r="F1305">
        <v>13065837</v>
      </c>
      <c r="G1305">
        <v>-2.7771048550000001</v>
      </c>
      <c r="H1305">
        <v>44.351184060000001</v>
      </c>
      <c r="I1305">
        <v>124</v>
      </c>
      <c r="J1305">
        <v>2263912134.7600002</v>
      </c>
      <c r="K1305">
        <v>26.43</v>
      </c>
    </row>
    <row r="1306" spans="1:11" x14ac:dyDescent="0.3">
      <c r="A1306" t="s">
        <v>301</v>
      </c>
      <c r="B1306" t="s">
        <v>302</v>
      </c>
      <c r="C1306">
        <v>2021</v>
      </c>
      <c r="D1306">
        <v>3125008965.3999996</v>
      </c>
      <c r="E1306">
        <v>11252894910</v>
      </c>
      <c r="F1306">
        <v>13355260</v>
      </c>
      <c r="G1306">
        <v>8.4114044860000003</v>
      </c>
      <c r="H1306">
        <v>59.800799390000002</v>
      </c>
      <c r="I1306">
        <v>127</v>
      </c>
      <c r="J1306">
        <v>2862352625.1200004</v>
      </c>
      <c r="K1306">
        <v>9.18</v>
      </c>
    </row>
    <row r="1307" spans="1:11" x14ac:dyDescent="0.3">
      <c r="A1307" t="s">
        <v>301</v>
      </c>
      <c r="B1307" t="s">
        <v>302</v>
      </c>
      <c r="C1307">
        <v>2022</v>
      </c>
      <c r="D1307">
        <v>4038539603.8800011</v>
      </c>
      <c r="E1307">
        <v>13747404814</v>
      </c>
      <c r="F1307">
        <v>13651030</v>
      </c>
      <c r="G1307">
        <v>9.8249739470000002</v>
      </c>
      <c r="H1307">
        <v>60.95917094</v>
      </c>
      <c r="I1307">
        <v>121</v>
      </c>
      <c r="J1307">
        <v>3125008965.3999996</v>
      </c>
      <c r="K1307">
        <v>29.23</v>
      </c>
    </row>
    <row r="1308" spans="1:11" x14ac:dyDescent="0.3">
      <c r="A1308" t="s">
        <v>303</v>
      </c>
      <c r="B1308" t="s">
        <v>304</v>
      </c>
      <c r="C1308">
        <v>2015</v>
      </c>
      <c r="D1308">
        <v>407377605122.02594</v>
      </c>
      <c r="E1308">
        <v>693000000000</v>
      </c>
      <c r="F1308">
        <v>29816382</v>
      </c>
      <c r="G1308">
        <v>4.6551231670000002</v>
      </c>
      <c r="H1308">
        <v>67.105269230000005</v>
      </c>
      <c r="I1308">
        <v>19</v>
      </c>
    </row>
    <row r="1309" spans="1:11" x14ac:dyDescent="0.3">
      <c r="A1309" t="s">
        <v>303</v>
      </c>
      <c r="B1309" t="s">
        <v>304</v>
      </c>
      <c r="C1309">
        <v>2016</v>
      </c>
      <c r="D1309">
        <v>367208573066.01123</v>
      </c>
      <c r="E1309">
        <v>689000000000</v>
      </c>
      <c r="F1309">
        <v>30954198</v>
      </c>
      <c r="G1309">
        <v>1.7040473920000001</v>
      </c>
      <c r="H1309">
        <v>57.921663510000002</v>
      </c>
      <c r="I1309">
        <v>22</v>
      </c>
      <c r="J1309">
        <v>407377605122.02594</v>
      </c>
      <c r="K1309">
        <v>-9.86</v>
      </c>
    </row>
    <row r="1310" spans="1:11" x14ac:dyDescent="0.3">
      <c r="A1310" t="s">
        <v>303</v>
      </c>
      <c r="B1310" t="s">
        <v>304</v>
      </c>
      <c r="C1310">
        <v>2017</v>
      </c>
      <c r="D1310">
        <v>443670125547.6311</v>
      </c>
      <c r="E1310">
        <v>741000000000</v>
      </c>
      <c r="F1310">
        <v>30977355</v>
      </c>
      <c r="G1310">
        <v>1.182107059</v>
      </c>
      <c r="H1310">
        <v>59.531979159999999</v>
      </c>
      <c r="I1310">
        <v>20</v>
      </c>
      <c r="J1310">
        <v>367208573066.01123</v>
      </c>
      <c r="K1310">
        <v>20.82</v>
      </c>
    </row>
    <row r="1311" spans="1:11" x14ac:dyDescent="0.3">
      <c r="A1311" t="s">
        <v>303</v>
      </c>
      <c r="B1311" t="s">
        <v>304</v>
      </c>
      <c r="C1311">
        <v>2018</v>
      </c>
      <c r="D1311">
        <v>588743143454.75684</v>
      </c>
      <c r="E1311">
        <v>887000000000</v>
      </c>
      <c r="F1311">
        <v>30196281</v>
      </c>
      <c r="G1311">
        <v>3.2269508899999999</v>
      </c>
      <c r="H1311">
        <v>59.102910469999998</v>
      </c>
      <c r="I1311">
        <v>18</v>
      </c>
      <c r="J1311">
        <v>443670125547.6311</v>
      </c>
      <c r="K1311">
        <v>32.700000000000003</v>
      </c>
    </row>
    <row r="1312" spans="1:11" x14ac:dyDescent="0.3">
      <c r="A1312" t="s">
        <v>303</v>
      </c>
      <c r="B1312" t="s">
        <v>304</v>
      </c>
      <c r="C1312">
        <v>2019</v>
      </c>
      <c r="D1312">
        <v>523206580689.96777</v>
      </c>
      <c r="E1312">
        <v>889000000000</v>
      </c>
      <c r="F1312">
        <v>30063799</v>
      </c>
      <c r="G1312">
        <v>1.6515892560000001</v>
      </c>
      <c r="H1312">
        <v>56.793820490000002</v>
      </c>
      <c r="I1312">
        <v>20</v>
      </c>
      <c r="J1312">
        <v>588743143454.75684</v>
      </c>
      <c r="K1312">
        <v>-11.13</v>
      </c>
    </row>
    <row r="1313" spans="1:11" x14ac:dyDescent="0.3">
      <c r="A1313" t="s">
        <v>303</v>
      </c>
      <c r="B1313" t="s">
        <v>304</v>
      </c>
      <c r="C1313">
        <v>2020</v>
      </c>
      <c r="D1313">
        <v>347707704739.30518</v>
      </c>
      <c r="E1313">
        <v>768000000000</v>
      </c>
      <c r="F1313">
        <v>31552510</v>
      </c>
      <c r="G1313">
        <v>-3.8047890199999999</v>
      </c>
      <c r="H1313">
        <v>47.533159230000003</v>
      </c>
      <c r="I1313">
        <v>26</v>
      </c>
      <c r="J1313">
        <v>523206580689.96777</v>
      </c>
      <c r="K1313">
        <v>-33.54</v>
      </c>
    </row>
    <row r="1314" spans="1:11" x14ac:dyDescent="0.3">
      <c r="A1314" t="s">
        <v>303</v>
      </c>
      <c r="B1314" t="s">
        <v>304</v>
      </c>
      <c r="C1314">
        <v>2021</v>
      </c>
      <c r="D1314">
        <v>552358173243.84375</v>
      </c>
      <c r="E1314">
        <v>983000000000</v>
      </c>
      <c r="F1314">
        <v>30784383</v>
      </c>
      <c r="G1314">
        <v>6.5195969829999996</v>
      </c>
      <c r="H1314">
        <v>50.883926340000002</v>
      </c>
      <c r="I1314">
        <v>23</v>
      </c>
      <c r="J1314">
        <v>347707704739.30518</v>
      </c>
      <c r="K1314">
        <v>58.86</v>
      </c>
    </row>
    <row r="1315" spans="1:11" x14ac:dyDescent="0.3">
      <c r="A1315" t="s">
        <v>303</v>
      </c>
      <c r="B1315" t="s">
        <v>304</v>
      </c>
      <c r="C1315">
        <v>2022</v>
      </c>
      <c r="D1315">
        <v>822368439681.85645</v>
      </c>
      <c r="E1315">
        <v>1240000000000</v>
      </c>
      <c r="F1315">
        <v>32175224</v>
      </c>
      <c r="G1315">
        <v>12.00058748</v>
      </c>
      <c r="H1315">
        <v>56.824164770000003</v>
      </c>
      <c r="I1315">
        <v>17</v>
      </c>
      <c r="J1315">
        <v>552358173243.84375</v>
      </c>
      <c r="K1315">
        <v>48.88</v>
      </c>
    </row>
    <row r="1316" spans="1:11" x14ac:dyDescent="0.3">
      <c r="A1316" t="s">
        <v>303</v>
      </c>
      <c r="B1316" t="s">
        <v>304</v>
      </c>
      <c r="C1316">
        <v>2023</v>
      </c>
      <c r="D1316">
        <v>640036853458.28003</v>
      </c>
      <c r="E1316">
        <v>1220000000000</v>
      </c>
      <c r="F1316">
        <v>33702731</v>
      </c>
      <c r="G1316">
        <v>0.54259243899999998</v>
      </c>
      <c r="H1316">
        <v>55.79746823</v>
      </c>
      <c r="I1316">
        <v>21</v>
      </c>
      <c r="J1316">
        <v>822368439681.85645</v>
      </c>
      <c r="K1316">
        <v>-22.17</v>
      </c>
    </row>
    <row r="1317" spans="1:11" x14ac:dyDescent="0.3">
      <c r="A1317" t="s">
        <v>303</v>
      </c>
      <c r="B1317" t="s">
        <v>304</v>
      </c>
      <c r="C1317">
        <v>2024</v>
      </c>
      <c r="D1317">
        <v>610998774713.83032</v>
      </c>
      <c r="E1317">
        <v>1250000000000</v>
      </c>
      <c r="F1317">
        <v>35300280</v>
      </c>
      <c r="G1317">
        <v>2.6489306830000001</v>
      </c>
      <c r="H1317">
        <v>56.404937410000002</v>
      </c>
      <c r="I1317">
        <v>20</v>
      </c>
      <c r="J1317">
        <v>640036853458.28003</v>
      </c>
      <c r="K1317">
        <v>-4.54</v>
      </c>
    </row>
    <row r="1318" spans="1:11" x14ac:dyDescent="0.3">
      <c r="A1318" t="s">
        <v>305</v>
      </c>
      <c r="B1318" t="s">
        <v>306</v>
      </c>
      <c r="C1318">
        <v>2015</v>
      </c>
      <c r="D1318">
        <v>11175033830</v>
      </c>
      <c r="E1318">
        <v>51726758677</v>
      </c>
      <c r="F1318">
        <v>40024431</v>
      </c>
      <c r="G1318">
        <v>1.9101768910000001</v>
      </c>
      <c r="H1318">
        <v>18.378272849999998</v>
      </c>
      <c r="I1318">
        <v>94</v>
      </c>
    </row>
    <row r="1319" spans="1:11" x14ac:dyDescent="0.3">
      <c r="A1319" t="s">
        <v>305</v>
      </c>
      <c r="B1319" t="s">
        <v>306</v>
      </c>
      <c r="C1319">
        <v>2016</v>
      </c>
      <c r="D1319">
        <v>7986979702</v>
      </c>
      <c r="E1319">
        <v>42630376000</v>
      </c>
      <c r="F1319">
        <v>41259892</v>
      </c>
      <c r="G1319">
        <v>3.4676421839999998</v>
      </c>
      <c r="H1319">
        <v>15.28166989</v>
      </c>
      <c r="I1319">
        <v>104</v>
      </c>
      <c r="J1319">
        <v>11175033830</v>
      </c>
      <c r="K1319">
        <v>-28.53</v>
      </c>
    </row>
    <row r="1320" spans="1:11" x14ac:dyDescent="0.3">
      <c r="A1320" t="s">
        <v>305</v>
      </c>
      <c r="B1320" t="s">
        <v>306</v>
      </c>
      <c r="C1320">
        <v>2017</v>
      </c>
      <c r="D1320">
        <v>8481285333.7600002</v>
      </c>
      <c r="E1320">
        <v>41283617976</v>
      </c>
      <c r="F1320">
        <v>42714306</v>
      </c>
      <c r="G1320">
        <v>0.70925628500000004</v>
      </c>
      <c r="H1320">
        <v>17.831389829999999</v>
      </c>
      <c r="I1320">
        <v>104</v>
      </c>
      <c r="J1320">
        <v>7986979702</v>
      </c>
      <c r="K1320">
        <v>6.19</v>
      </c>
    </row>
    <row r="1321" spans="1:11" x14ac:dyDescent="0.3">
      <c r="A1321" t="s">
        <v>305</v>
      </c>
      <c r="B1321" t="s">
        <v>306</v>
      </c>
      <c r="C1321">
        <v>2018</v>
      </c>
      <c r="D1321">
        <v>7238503008</v>
      </c>
      <c r="E1321">
        <v>32333780383</v>
      </c>
      <c r="F1321">
        <v>44230596</v>
      </c>
      <c r="G1321">
        <v>-2.6809305499999998</v>
      </c>
      <c r="H1321">
        <v>21.86791873</v>
      </c>
      <c r="I1321">
        <v>110</v>
      </c>
      <c r="J1321">
        <v>8481285333.7600002</v>
      </c>
      <c r="K1321">
        <v>-14.65</v>
      </c>
    </row>
    <row r="1322" spans="1:11" x14ac:dyDescent="0.3">
      <c r="A1322" t="s">
        <v>307</v>
      </c>
      <c r="B1322" t="s">
        <v>308</v>
      </c>
      <c r="C1322">
        <v>2015</v>
      </c>
      <c r="D1322">
        <v>5223343934</v>
      </c>
      <c r="E1322">
        <v>17774766696</v>
      </c>
      <c r="F1322">
        <v>14593331</v>
      </c>
      <c r="G1322">
        <v>6.3670436510000004</v>
      </c>
      <c r="H1322">
        <v>58.11033767</v>
      </c>
      <c r="I1322">
        <v>110</v>
      </c>
    </row>
    <row r="1323" spans="1:11" x14ac:dyDescent="0.3">
      <c r="A1323" t="s">
        <v>307</v>
      </c>
      <c r="B1323" t="s">
        <v>308</v>
      </c>
      <c r="C1323">
        <v>2016</v>
      </c>
      <c r="D1323">
        <v>5280553841</v>
      </c>
      <c r="E1323">
        <v>19040312333</v>
      </c>
      <c r="F1323">
        <v>15034521</v>
      </c>
      <c r="G1323">
        <v>6.3560685719999999</v>
      </c>
      <c r="H1323">
        <v>54.10816921</v>
      </c>
      <c r="I1323">
        <v>111</v>
      </c>
      <c r="J1323">
        <v>5223343934</v>
      </c>
      <c r="K1323">
        <v>1.1000000000000001</v>
      </c>
    </row>
    <row r="1324" spans="1:11" x14ac:dyDescent="0.3">
      <c r="A1324" t="s">
        <v>307</v>
      </c>
      <c r="B1324" t="s">
        <v>308</v>
      </c>
      <c r="C1324">
        <v>2017</v>
      </c>
      <c r="D1324">
        <v>5991771617.243001</v>
      </c>
      <c r="E1324">
        <v>20965069573</v>
      </c>
      <c r="F1324">
        <v>15475002</v>
      </c>
      <c r="G1324">
        <v>7.4074861859999999</v>
      </c>
      <c r="H1324">
        <v>57.816567810000002</v>
      </c>
      <c r="I1324">
        <v>112</v>
      </c>
      <c r="J1324">
        <v>5280553841</v>
      </c>
      <c r="K1324">
        <v>13.47</v>
      </c>
    </row>
    <row r="1325" spans="1:11" x14ac:dyDescent="0.3">
      <c r="A1325" t="s">
        <v>307</v>
      </c>
      <c r="B1325" t="s">
        <v>308</v>
      </c>
      <c r="C1325">
        <v>2018</v>
      </c>
      <c r="D1325">
        <v>7246485899.2019968</v>
      </c>
      <c r="E1325">
        <v>23116701556</v>
      </c>
      <c r="F1325">
        <v>15914498</v>
      </c>
      <c r="G1325">
        <v>6.2092410339999997</v>
      </c>
      <c r="H1325">
        <v>61.789839479999998</v>
      </c>
      <c r="I1325">
        <v>109</v>
      </c>
      <c r="J1325">
        <v>5991771617.243001</v>
      </c>
      <c r="K1325">
        <v>20.94</v>
      </c>
    </row>
    <row r="1326" spans="1:11" x14ac:dyDescent="0.3">
      <c r="A1326" t="s">
        <v>307</v>
      </c>
      <c r="B1326" t="s">
        <v>308</v>
      </c>
      <c r="C1326">
        <v>2019</v>
      </c>
      <c r="D1326">
        <v>8357029349.019002</v>
      </c>
      <c r="E1326">
        <v>23403995992</v>
      </c>
      <c r="F1326">
        <v>16352922</v>
      </c>
      <c r="G1326">
        <v>4.6136280980000004</v>
      </c>
      <c r="H1326">
        <v>64.236250609999999</v>
      </c>
      <c r="I1326">
        <v>104</v>
      </c>
      <c r="J1326">
        <v>7246485899.2019968</v>
      </c>
      <c r="K1326">
        <v>15.33</v>
      </c>
    </row>
    <row r="1327" spans="1:11" x14ac:dyDescent="0.3">
      <c r="A1327" t="s">
        <v>307</v>
      </c>
      <c r="B1327" t="s">
        <v>308</v>
      </c>
      <c r="C1327">
        <v>2020</v>
      </c>
      <c r="D1327">
        <v>7858720276.9960003</v>
      </c>
      <c r="E1327">
        <v>24530513038</v>
      </c>
      <c r="F1327">
        <v>16789219</v>
      </c>
      <c r="G1327">
        <v>1.3420737730000001</v>
      </c>
      <c r="H1327">
        <v>60.046871609999997</v>
      </c>
      <c r="I1327">
        <v>105</v>
      </c>
      <c r="J1327">
        <v>8357029349.019002</v>
      </c>
      <c r="K1327">
        <v>-5.96</v>
      </c>
    </row>
    <row r="1328" spans="1:11" x14ac:dyDescent="0.3">
      <c r="A1328" t="s">
        <v>307</v>
      </c>
      <c r="B1328" t="s">
        <v>308</v>
      </c>
      <c r="C1328">
        <v>2021</v>
      </c>
      <c r="D1328">
        <v>10404443179.264</v>
      </c>
      <c r="E1328">
        <v>27520784130</v>
      </c>
      <c r="F1328">
        <v>17220867</v>
      </c>
      <c r="G1328">
        <v>6.5440010989999999</v>
      </c>
      <c r="H1328">
        <v>69.375993989999998</v>
      </c>
      <c r="I1328">
        <v>101</v>
      </c>
      <c r="J1328">
        <v>7858720276.9960003</v>
      </c>
      <c r="K1328">
        <v>32.39</v>
      </c>
    </row>
    <row r="1329" spans="1:11" x14ac:dyDescent="0.3">
      <c r="A1329" t="s">
        <v>307</v>
      </c>
      <c r="B1329" t="s">
        <v>308</v>
      </c>
      <c r="C1329">
        <v>2022</v>
      </c>
      <c r="D1329">
        <v>11420583846.695999</v>
      </c>
      <c r="E1329">
        <v>27783332223</v>
      </c>
      <c r="F1329">
        <v>17651103</v>
      </c>
      <c r="G1329">
        <v>3.8504319379999998</v>
      </c>
      <c r="H1329">
        <v>79.397422019999993</v>
      </c>
      <c r="I1329">
        <v>101</v>
      </c>
      <c r="J1329">
        <v>10404443179.264</v>
      </c>
      <c r="K1329">
        <v>9.77</v>
      </c>
    </row>
    <row r="1330" spans="1:11" x14ac:dyDescent="0.3">
      <c r="A1330" t="s">
        <v>307</v>
      </c>
      <c r="B1330" t="s">
        <v>308</v>
      </c>
      <c r="C1330">
        <v>2023</v>
      </c>
      <c r="D1330">
        <v>10633785667.796999</v>
      </c>
      <c r="E1330">
        <v>30696331296</v>
      </c>
      <c r="F1330">
        <v>18077573</v>
      </c>
      <c r="G1330">
        <v>4.2574308329999999</v>
      </c>
      <c r="H1330">
        <v>71.594281580000001</v>
      </c>
      <c r="I1330">
        <v>104</v>
      </c>
      <c r="J1330">
        <v>11420583846.695999</v>
      </c>
      <c r="K1330">
        <v>-6.89</v>
      </c>
    </row>
    <row r="1331" spans="1:11" x14ac:dyDescent="0.3">
      <c r="A1331" t="s">
        <v>307</v>
      </c>
      <c r="B1331" t="s">
        <v>308</v>
      </c>
      <c r="C1331">
        <v>2024</v>
      </c>
      <c r="D1331">
        <v>12620965360.603001</v>
      </c>
      <c r="E1331">
        <v>32169996052</v>
      </c>
      <c r="F1331">
        <v>18501984</v>
      </c>
      <c r="G1331">
        <v>6.4622057740000001</v>
      </c>
      <c r="H1331">
        <v>68.236351029999994</v>
      </c>
      <c r="I1331">
        <v>95</v>
      </c>
      <c r="J1331">
        <v>10633785667.796999</v>
      </c>
      <c r="K1331">
        <v>18.690000000000001</v>
      </c>
    </row>
    <row r="1332" spans="1:11" x14ac:dyDescent="0.3">
      <c r="A1332" t="s">
        <v>309</v>
      </c>
      <c r="B1332" t="s">
        <v>310</v>
      </c>
      <c r="C1332">
        <v>2015</v>
      </c>
      <c r="D1332">
        <v>715882457738.34558</v>
      </c>
      <c r="E1332">
        <v>308000000000</v>
      </c>
      <c r="F1332">
        <v>5535002</v>
      </c>
      <c r="G1332">
        <v>2.9767993160000001</v>
      </c>
      <c r="H1332">
        <v>329.4713989</v>
      </c>
      <c r="I1332">
        <v>12</v>
      </c>
    </row>
    <row r="1333" spans="1:11" x14ac:dyDescent="0.3">
      <c r="A1333" t="s">
        <v>309</v>
      </c>
      <c r="B1333" t="s">
        <v>310</v>
      </c>
      <c r="C1333">
        <v>2016</v>
      </c>
      <c r="D1333">
        <v>676163940907.5061</v>
      </c>
      <c r="E1333">
        <v>321000000000</v>
      </c>
      <c r="F1333">
        <v>5607283</v>
      </c>
      <c r="G1333">
        <v>3.910953063</v>
      </c>
      <c r="H1333">
        <v>301.33886619999998</v>
      </c>
      <c r="I1333">
        <v>12</v>
      </c>
      <c r="J1333">
        <v>715882457738.34558</v>
      </c>
      <c r="K1333">
        <v>-5.55</v>
      </c>
    </row>
    <row r="1334" spans="1:11" x14ac:dyDescent="0.3">
      <c r="A1334" t="s">
        <v>309</v>
      </c>
      <c r="B1334" t="s">
        <v>310</v>
      </c>
      <c r="C1334">
        <v>2017</v>
      </c>
      <c r="D1334">
        <v>746144972340.32239</v>
      </c>
      <c r="E1334">
        <v>345000000000</v>
      </c>
      <c r="F1334">
        <v>5612253</v>
      </c>
      <c r="G1334">
        <v>4.3267937080000003</v>
      </c>
      <c r="H1334">
        <v>315.4014335</v>
      </c>
      <c r="I1334">
        <v>13</v>
      </c>
      <c r="J1334">
        <v>676163940907.5061</v>
      </c>
      <c r="K1334">
        <v>10.35</v>
      </c>
    </row>
    <row r="1335" spans="1:11" x14ac:dyDescent="0.3">
      <c r="A1335" t="s">
        <v>309</v>
      </c>
      <c r="B1335" t="s">
        <v>310</v>
      </c>
      <c r="C1335">
        <v>2018</v>
      </c>
      <c r="D1335">
        <v>823486587494.97034</v>
      </c>
      <c r="E1335">
        <v>378000000000</v>
      </c>
      <c r="F1335">
        <v>5638676</v>
      </c>
      <c r="G1335">
        <v>3.1866084849999998</v>
      </c>
      <c r="H1335">
        <v>325.72581000000002</v>
      </c>
      <c r="I1335">
        <v>13</v>
      </c>
      <c r="J1335">
        <v>746144972340.32239</v>
      </c>
      <c r="K1335">
        <v>10.37</v>
      </c>
    </row>
    <row r="1336" spans="1:11" x14ac:dyDescent="0.3">
      <c r="A1336" t="s">
        <v>309</v>
      </c>
      <c r="B1336" t="s">
        <v>310</v>
      </c>
      <c r="C1336">
        <v>2019</v>
      </c>
      <c r="D1336">
        <v>780663514748.82483</v>
      </c>
      <c r="E1336">
        <v>377000000000</v>
      </c>
      <c r="F1336">
        <v>5703569</v>
      </c>
      <c r="G1336">
        <v>1.1587794730000001</v>
      </c>
      <c r="H1336">
        <v>324.27008860000001</v>
      </c>
      <c r="I1336">
        <v>13</v>
      </c>
      <c r="J1336">
        <v>823486587494.97034</v>
      </c>
      <c r="K1336">
        <v>-5.2</v>
      </c>
    </row>
    <row r="1337" spans="1:11" x14ac:dyDescent="0.3">
      <c r="A1337" t="s">
        <v>309</v>
      </c>
      <c r="B1337" t="s">
        <v>310</v>
      </c>
      <c r="C1337">
        <v>2020</v>
      </c>
      <c r="D1337">
        <v>747367460112.14197</v>
      </c>
      <c r="E1337">
        <v>351000000000</v>
      </c>
      <c r="F1337">
        <v>5685807</v>
      </c>
      <c r="G1337">
        <v>-3.610842817</v>
      </c>
      <c r="H1337">
        <v>331.08055680000001</v>
      </c>
      <c r="I1337">
        <v>12</v>
      </c>
      <c r="J1337">
        <v>780663514748.82483</v>
      </c>
      <c r="K1337">
        <v>-4.2699999999999996</v>
      </c>
    </row>
    <row r="1338" spans="1:11" x14ac:dyDescent="0.3">
      <c r="A1338" t="s">
        <v>309</v>
      </c>
      <c r="B1338" t="s">
        <v>310</v>
      </c>
      <c r="C1338">
        <v>2021</v>
      </c>
      <c r="D1338">
        <v>914162566563.08838</v>
      </c>
      <c r="E1338">
        <v>441000000000</v>
      </c>
      <c r="F1338">
        <v>5453566</v>
      </c>
      <c r="G1338">
        <v>10.14108452</v>
      </c>
      <c r="H1338">
        <v>326.53325460000002</v>
      </c>
      <c r="I1338">
        <v>13</v>
      </c>
      <c r="J1338">
        <v>747367460112.14197</v>
      </c>
      <c r="K1338">
        <v>22.32</v>
      </c>
    </row>
    <row r="1339" spans="1:11" x14ac:dyDescent="0.3">
      <c r="A1339" t="s">
        <v>309</v>
      </c>
      <c r="B1339" t="s">
        <v>310</v>
      </c>
      <c r="C1339">
        <v>2022</v>
      </c>
      <c r="D1339">
        <v>1029932254010.4399</v>
      </c>
      <c r="E1339">
        <v>514000000000</v>
      </c>
      <c r="F1339">
        <v>5637022</v>
      </c>
      <c r="G1339">
        <v>4.0102788450000002</v>
      </c>
      <c r="H1339">
        <v>330.24691710000002</v>
      </c>
      <c r="I1339">
        <v>13</v>
      </c>
      <c r="J1339">
        <v>914162566563.08838</v>
      </c>
      <c r="K1339">
        <v>12.66</v>
      </c>
    </row>
    <row r="1340" spans="1:11" x14ac:dyDescent="0.3">
      <c r="A1340" t="s">
        <v>309</v>
      </c>
      <c r="B1340" t="s">
        <v>310</v>
      </c>
      <c r="C1340">
        <v>2023</v>
      </c>
      <c r="D1340">
        <v>950697082253.58093</v>
      </c>
      <c r="E1340">
        <v>511000000000</v>
      </c>
      <c r="F1340">
        <v>5917648</v>
      </c>
      <c r="G1340">
        <v>1.4502677589999999</v>
      </c>
      <c r="H1340">
        <v>323.70121999999998</v>
      </c>
      <c r="I1340">
        <v>13</v>
      </c>
      <c r="J1340">
        <v>1029932254010.4399</v>
      </c>
      <c r="K1340">
        <v>-7.69</v>
      </c>
    </row>
    <row r="1341" spans="1:11" x14ac:dyDescent="0.3">
      <c r="A1341" t="s">
        <v>309</v>
      </c>
      <c r="B1341" t="s">
        <v>310</v>
      </c>
      <c r="C1341">
        <v>2024</v>
      </c>
      <c r="D1341">
        <v>1009561742960.3375</v>
      </c>
      <c r="E1341">
        <v>573000000000</v>
      </c>
      <c r="F1341">
        <v>6036860</v>
      </c>
      <c r="G1341">
        <v>5.3435120190000003</v>
      </c>
      <c r="H1341">
        <v>313.29937719999998</v>
      </c>
      <c r="I1341">
        <v>12</v>
      </c>
      <c r="J1341">
        <v>950697082253.58093</v>
      </c>
      <c r="K1341">
        <v>6.19</v>
      </c>
    </row>
    <row r="1342" spans="1:11" x14ac:dyDescent="0.3">
      <c r="A1342" t="s">
        <v>311</v>
      </c>
      <c r="B1342" t="s">
        <v>312</v>
      </c>
      <c r="C1342">
        <v>2015</v>
      </c>
      <c r="D1342">
        <v>800801181</v>
      </c>
      <c r="E1342">
        <v>1307908814</v>
      </c>
      <c r="F1342">
        <v>639415</v>
      </c>
      <c r="G1342">
        <v>1.6757861199999999</v>
      </c>
      <c r="H1342">
        <v>88.188485909999997</v>
      </c>
      <c r="I1342">
        <v>145</v>
      </c>
    </row>
    <row r="1343" spans="1:11" x14ac:dyDescent="0.3">
      <c r="A1343" t="s">
        <v>311</v>
      </c>
      <c r="B1343" t="s">
        <v>312</v>
      </c>
      <c r="C1343">
        <v>2016</v>
      </c>
      <c r="D1343">
        <v>874606149</v>
      </c>
      <c r="E1343">
        <v>1379486291</v>
      </c>
      <c r="F1343">
        <v>662379</v>
      </c>
      <c r="G1343">
        <v>5.5549434829999997</v>
      </c>
      <c r="H1343">
        <v>85.549845779999998</v>
      </c>
      <c r="I1343">
        <v>145</v>
      </c>
      <c r="J1343">
        <v>800801181</v>
      </c>
      <c r="K1343">
        <v>9.2200000000000006</v>
      </c>
    </row>
    <row r="1344" spans="1:11" x14ac:dyDescent="0.3">
      <c r="A1344" t="s">
        <v>311</v>
      </c>
      <c r="B1344" t="s">
        <v>312</v>
      </c>
      <c r="C1344">
        <v>2017</v>
      </c>
      <c r="D1344">
        <v>999429366.94100058</v>
      </c>
      <c r="E1344">
        <v>1469790526</v>
      </c>
      <c r="F1344">
        <v>685672</v>
      </c>
      <c r="G1344">
        <v>3.0754617610000001</v>
      </c>
      <c r="H1344">
        <v>82.197492199999999</v>
      </c>
      <c r="I1344">
        <v>143</v>
      </c>
      <c r="J1344">
        <v>874606149</v>
      </c>
      <c r="K1344">
        <v>14.27</v>
      </c>
    </row>
    <row r="1345" spans="1:11" x14ac:dyDescent="0.3">
      <c r="A1345" t="s">
        <v>311</v>
      </c>
      <c r="B1345" t="s">
        <v>312</v>
      </c>
      <c r="C1345">
        <v>2018</v>
      </c>
      <c r="D1345">
        <v>1138224016.9479995</v>
      </c>
      <c r="E1345">
        <v>1615473250</v>
      </c>
      <c r="F1345">
        <v>709101</v>
      </c>
      <c r="G1345">
        <v>2.7458524479999999</v>
      </c>
      <c r="H1345">
        <v>88.494961470000007</v>
      </c>
      <c r="I1345">
        <v>141</v>
      </c>
      <c r="J1345">
        <v>999429366.94100058</v>
      </c>
      <c r="K1345">
        <v>13.89</v>
      </c>
    </row>
    <row r="1346" spans="1:11" x14ac:dyDescent="0.3">
      <c r="A1346" t="s">
        <v>313</v>
      </c>
      <c r="B1346" t="s">
        <v>314</v>
      </c>
      <c r="C1346">
        <v>2015</v>
      </c>
      <c r="D1346">
        <v>186515098</v>
      </c>
      <c r="E1346">
        <v>6788352975</v>
      </c>
      <c r="F1346">
        <v>7037655</v>
      </c>
      <c r="G1346">
        <v>-4.3633326209999996</v>
      </c>
      <c r="H1346">
        <v>36.482395820000001</v>
      </c>
      <c r="I1346">
        <v>154</v>
      </c>
    </row>
    <row r="1347" spans="1:11" x14ac:dyDescent="0.3">
      <c r="A1347" t="s">
        <v>313</v>
      </c>
      <c r="B1347" t="s">
        <v>314</v>
      </c>
      <c r="C1347">
        <v>2016</v>
      </c>
      <c r="D1347">
        <v>931190465</v>
      </c>
      <c r="E1347">
        <v>6084297211</v>
      </c>
      <c r="F1347">
        <v>7205328</v>
      </c>
      <c r="G1347">
        <v>6.4374365280000001</v>
      </c>
      <c r="H1347">
        <v>43.067212699999999</v>
      </c>
      <c r="I1347">
        <v>144</v>
      </c>
      <c r="J1347">
        <v>186515098</v>
      </c>
      <c r="K1347">
        <v>399.26</v>
      </c>
    </row>
    <row r="1348" spans="1:11" x14ac:dyDescent="0.3">
      <c r="A1348" t="s">
        <v>313</v>
      </c>
      <c r="B1348" t="s">
        <v>314</v>
      </c>
      <c r="C1348">
        <v>2017</v>
      </c>
      <c r="D1348">
        <v>205303177.64199996</v>
      </c>
      <c r="E1348">
        <v>5749846528</v>
      </c>
      <c r="F1348">
        <v>7379299</v>
      </c>
      <c r="G1348">
        <v>3.2078608769999999</v>
      </c>
      <c r="H1348">
        <v>41.521378230000003</v>
      </c>
      <c r="I1348">
        <v>158</v>
      </c>
      <c r="J1348">
        <v>931190465</v>
      </c>
      <c r="K1348">
        <v>-77.95</v>
      </c>
    </row>
    <row r="1349" spans="1:11" x14ac:dyDescent="0.3">
      <c r="A1349" t="s">
        <v>313</v>
      </c>
      <c r="B1349" t="s">
        <v>314</v>
      </c>
      <c r="C1349">
        <v>2018</v>
      </c>
      <c r="D1349">
        <v>410736568.55199999</v>
      </c>
      <c r="E1349">
        <v>6390514689</v>
      </c>
      <c r="F1349">
        <v>7554563</v>
      </c>
      <c r="G1349">
        <v>2.8938564119999999</v>
      </c>
      <c r="H1349">
        <v>37.377460309999996</v>
      </c>
      <c r="I1349">
        <v>148</v>
      </c>
      <c r="J1349">
        <v>205303177.64199996</v>
      </c>
      <c r="K1349">
        <v>100.06</v>
      </c>
    </row>
    <row r="1350" spans="1:11" x14ac:dyDescent="0.3">
      <c r="A1350" t="s">
        <v>315</v>
      </c>
      <c r="B1350" t="s">
        <v>316</v>
      </c>
      <c r="C1350">
        <v>2015</v>
      </c>
      <c r="D1350">
        <v>11018095380.139999</v>
      </c>
      <c r="E1350">
        <v>23438240000</v>
      </c>
      <c r="F1350">
        <v>6183676</v>
      </c>
      <c r="G1350">
        <v>2.4000000890000002</v>
      </c>
      <c r="H1350">
        <v>76.560270740000007</v>
      </c>
      <c r="I1350">
        <v>95</v>
      </c>
    </row>
    <row r="1351" spans="1:11" x14ac:dyDescent="0.3">
      <c r="A1351" t="s">
        <v>315</v>
      </c>
      <c r="B1351" t="s">
        <v>316</v>
      </c>
      <c r="C1351">
        <v>2016</v>
      </c>
      <c r="D1351">
        <v>10840265794.560003</v>
      </c>
      <c r="E1351">
        <v>24191430000</v>
      </c>
      <c r="F1351">
        <v>6200800</v>
      </c>
      <c r="G1351">
        <v>2.5390624110000002</v>
      </c>
      <c r="H1351">
        <v>72.819093370000004</v>
      </c>
      <c r="I1351">
        <v>93</v>
      </c>
      <c r="J1351">
        <v>11018095380.139999</v>
      </c>
      <c r="K1351">
        <v>-1.61</v>
      </c>
    </row>
    <row r="1352" spans="1:11" x14ac:dyDescent="0.3">
      <c r="A1352" t="s">
        <v>315</v>
      </c>
      <c r="B1352" t="s">
        <v>316</v>
      </c>
      <c r="C1352">
        <v>2017</v>
      </c>
      <c r="D1352">
        <v>11520030414.58</v>
      </c>
      <c r="E1352">
        <v>24979190000</v>
      </c>
      <c r="F1352">
        <v>6213533</v>
      </c>
      <c r="G1352">
        <v>2.2476190809999999</v>
      </c>
      <c r="H1352">
        <v>74.304651190000001</v>
      </c>
      <c r="I1352">
        <v>94</v>
      </c>
      <c r="J1352">
        <v>10840265794.560003</v>
      </c>
      <c r="K1352">
        <v>6.27</v>
      </c>
    </row>
    <row r="1353" spans="1:11" x14ac:dyDescent="0.3">
      <c r="A1353" t="s">
        <v>315</v>
      </c>
      <c r="B1353" t="s">
        <v>316</v>
      </c>
      <c r="C1353">
        <v>2018</v>
      </c>
      <c r="D1353">
        <v>11810822421.859999</v>
      </c>
      <c r="E1353">
        <v>26020850000</v>
      </c>
      <c r="F1353">
        <v>6219807</v>
      </c>
      <c r="G1353">
        <v>2.4124442240000001</v>
      </c>
      <c r="H1353">
        <v>75.633616889999999</v>
      </c>
      <c r="I1353">
        <v>97</v>
      </c>
      <c r="J1353">
        <v>11520030414.58</v>
      </c>
      <c r="K1353">
        <v>2.52</v>
      </c>
    </row>
    <row r="1354" spans="1:11" x14ac:dyDescent="0.3">
      <c r="A1354" t="s">
        <v>315</v>
      </c>
      <c r="B1354" t="s">
        <v>316</v>
      </c>
      <c r="C1354">
        <v>2019</v>
      </c>
      <c r="D1354">
        <v>11809912847.020002</v>
      </c>
      <c r="E1354">
        <v>26881140000</v>
      </c>
      <c r="F1354">
        <v>6222318</v>
      </c>
      <c r="G1354">
        <v>2.437471591</v>
      </c>
      <c r="H1354">
        <v>76.042013100000005</v>
      </c>
      <c r="I1354">
        <v>93</v>
      </c>
      <c r="J1354">
        <v>11810822421.859999</v>
      </c>
      <c r="K1354">
        <v>-0.01</v>
      </c>
    </row>
    <row r="1355" spans="1:11" x14ac:dyDescent="0.3">
      <c r="A1355" t="s">
        <v>315</v>
      </c>
      <c r="B1355" t="s">
        <v>316</v>
      </c>
      <c r="C1355">
        <v>2020</v>
      </c>
      <c r="D1355">
        <v>9610899009.3600006</v>
      </c>
      <c r="E1355">
        <v>24921190000</v>
      </c>
      <c r="F1355">
        <v>6234673</v>
      </c>
      <c r="G1355">
        <v>-7.8931013600000002</v>
      </c>
      <c r="H1355">
        <v>66.459506950000005</v>
      </c>
      <c r="I1355">
        <v>97</v>
      </c>
      <c r="J1355">
        <v>11809912847.020002</v>
      </c>
      <c r="K1355">
        <v>-18.62</v>
      </c>
    </row>
    <row r="1356" spans="1:11" x14ac:dyDescent="0.3">
      <c r="A1356" t="s">
        <v>315</v>
      </c>
      <c r="B1356" t="s">
        <v>316</v>
      </c>
      <c r="C1356">
        <v>2021</v>
      </c>
      <c r="D1356">
        <v>12789777831.819998</v>
      </c>
      <c r="E1356">
        <v>29043140000</v>
      </c>
      <c r="F1356">
        <v>6255782</v>
      </c>
      <c r="G1356">
        <v>11.9047617</v>
      </c>
      <c r="H1356">
        <v>81.845075980000004</v>
      </c>
      <c r="I1356">
        <v>96</v>
      </c>
      <c r="J1356">
        <v>9610899009.3600006</v>
      </c>
      <c r="K1356">
        <v>33.08</v>
      </c>
    </row>
    <row r="1357" spans="1:11" x14ac:dyDescent="0.3">
      <c r="A1357" t="s">
        <v>315</v>
      </c>
      <c r="B1357" t="s">
        <v>316</v>
      </c>
      <c r="C1357">
        <v>2022</v>
      </c>
      <c r="D1357">
        <v>14230210487.360001</v>
      </c>
      <c r="E1357">
        <v>31870110000</v>
      </c>
      <c r="F1357">
        <v>6280319</v>
      </c>
      <c r="G1357">
        <v>2.9546041089999999</v>
      </c>
      <c r="H1357">
        <v>88.701137209999999</v>
      </c>
      <c r="I1357">
        <v>97</v>
      </c>
      <c r="J1357">
        <v>12789777831.819998</v>
      </c>
      <c r="K1357">
        <v>11.26</v>
      </c>
    </row>
    <row r="1358" spans="1:11" x14ac:dyDescent="0.3">
      <c r="A1358" t="s">
        <v>315</v>
      </c>
      <c r="B1358" t="s">
        <v>316</v>
      </c>
      <c r="C1358">
        <v>2023</v>
      </c>
      <c r="D1358">
        <v>12996184484</v>
      </c>
      <c r="E1358">
        <v>33565430000</v>
      </c>
      <c r="F1358">
        <v>6309624</v>
      </c>
      <c r="G1358">
        <v>3.3550872159999998</v>
      </c>
      <c r="H1358">
        <v>79.812265179999997</v>
      </c>
      <c r="I1358">
        <v>98</v>
      </c>
      <c r="J1358">
        <v>14230210487.360001</v>
      </c>
      <c r="K1358">
        <v>-8.67</v>
      </c>
    </row>
    <row r="1359" spans="1:11" x14ac:dyDescent="0.3">
      <c r="A1359" t="s">
        <v>315</v>
      </c>
      <c r="B1359" t="s">
        <v>316</v>
      </c>
      <c r="C1359">
        <v>2024</v>
      </c>
      <c r="D1359">
        <v>12622927603.640011</v>
      </c>
      <c r="E1359">
        <v>34879730000</v>
      </c>
      <c r="F1359">
        <v>6338193</v>
      </c>
      <c r="G1359">
        <v>2.5904637109999999</v>
      </c>
      <c r="H1359">
        <v>85.682572660000005</v>
      </c>
      <c r="I1359">
        <v>94</v>
      </c>
      <c r="J1359">
        <v>12996184484</v>
      </c>
      <c r="K1359">
        <v>-2.87</v>
      </c>
    </row>
    <row r="1360" spans="1:11" x14ac:dyDescent="0.3">
      <c r="A1360" t="s">
        <v>317</v>
      </c>
      <c r="B1360" t="s">
        <v>318</v>
      </c>
      <c r="C1360">
        <v>2015</v>
      </c>
      <c r="D1360">
        <v>26757867596</v>
      </c>
      <c r="E1360">
        <v>41297410635</v>
      </c>
      <c r="F1360">
        <v>7095383</v>
      </c>
      <c r="G1360">
        <v>1.295738635</v>
      </c>
      <c r="H1360">
        <v>93.528147770000004</v>
      </c>
      <c r="I1360">
        <v>69</v>
      </c>
    </row>
    <row r="1361" spans="1:11" x14ac:dyDescent="0.3">
      <c r="A1361" t="s">
        <v>317</v>
      </c>
      <c r="B1361" t="s">
        <v>318</v>
      </c>
      <c r="C1361">
        <v>2016</v>
      </c>
      <c r="D1361">
        <v>29703554258</v>
      </c>
      <c r="E1361">
        <v>42225495910</v>
      </c>
      <c r="F1361">
        <v>7058322</v>
      </c>
      <c r="G1361">
        <v>2.975198072</v>
      </c>
      <c r="H1361">
        <v>97.690694039999997</v>
      </c>
      <c r="I1361">
        <v>66</v>
      </c>
      <c r="J1361">
        <v>26757867596</v>
      </c>
      <c r="K1361">
        <v>11.01</v>
      </c>
    </row>
    <row r="1362" spans="1:11" x14ac:dyDescent="0.3">
      <c r="A1362" t="s">
        <v>317</v>
      </c>
      <c r="B1362" t="s">
        <v>318</v>
      </c>
      <c r="C1362">
        <v>2017</v>
      </c>
      <c r="D1362">
        <v>33918080238</v>
      </c>
      <c r="E1362">
        <v>45972834714</v>
      </c>
      <c r="F1362">
        <v>7020858</v>
      </c>
      <c r="G1362">
        <v>2.363403125</v>
      </c>
      <c r="H1362">
        <v>102.7404452</v>
      </c>
      <c r="I1362">
        <v>65</v>
      </c>
      <c r="J1362">
        <v>29703554258</v>
      </c>
      <c r="K1362">
        <v>14.19</v>
      </c>
    </row>
    <row r="1363" spans="1:11" x14ac:dyDescent="0.3">
      <c r="A1363" t="s">
        <v>317</v>
      </c>
      <c r="B1363" t="s">
        <v>318</v>
      </c>
      <c r="C1363">
        <v>2018</v>
      </c>
      <c r="D1363">
        <v>38478253946</v>
      </c>
      <c r="E1363">
        <v>52787520249</v>
      </c>
      <c r="F1363">
        <v>6982604</v>
      </c>
      <c r="G1363">
        <v>4.6493503550000002</v>
      </c>
      <c r="H1363">
        <v>105.56371300000001</v>
      </c>
      <c r="I1363">
        <v>66</v>
      </c>
      <c r="J1363">
        <v>33918080238</v>
      </c>
      <c r="K1363">
        <v>13.44</v>
      </c>
    </row>
    <row r="1364" spans="1:11" x14ac:dyDescent="0.3">
      <c r="A1364" t="s">
        <v>317</v>
      </c>
      <c r="B1364" t="s">
        <v>318</v>
      </c>
      <c r="C1364">
        <v>2019</v>
      </c>
      <c r="D1364">
        <v>39266097036</v>
      </c>
      <c r="E1364">
        <v>53864693665</v>
      </c>
      <c r="F1364">
        <v>6945235</v>
      </c>
      <c r="G1364">
        <v>4.750207939</v>
      </c>
      <c r="H1364">
        <v>107.5773095</v>
      </c>
      <c r="I1364">
        <v>64</v>
      </c>
      <c r="J1364">
        <v>38478253946</v>
      </c>
      <c r="K1364">
        <v>2.0499999999999998</v>
      </c>
    </row>
    <row r="1365" spans="1:11" x14ac:dyDescent="0.3">
      <c r="A1365" t="s">
        <v>317</v>
      </c>
      <c r="B1365" t="s">
        <v>318</v>
      </c>
      <c r="C1365">
        <v>2020</v>
      </c>
      <c r="D1365">
        <v>39001659080</v>
      </c>
      <c r="E1365">
        <v>55874017669</v>
      </c>
      <c r="F1365">
        <v>6899126</v>
      </c>
      <c r="G1365">
        <v>-0.95002399199999998</v>
      </c>
      <c r="H1365">
        <v>100.3244608</v>
      </c>
      <c r="I1365">
        <v>62</v>
      </c>
      <c r="J1365">
        <v>39266097036</v>
      </c>
      <c r="K1365">
        <v>-0.67</v>
      </c>
    </row>
    <row r="1366" spans="1:11" x14ac:dyDescent="0.3">
      <c r="A1366" t="s">
        <v>317</v>
      </c>
      <c r="B1366" t="s">
        <v>318</v>
      </c>
      <c r="C1366">
        <v>2021</v>
      </c>
      <c r="D1366">
        <v>51132321830</v>
      </c>
      <c r="E1366">
        <v>66159884073</v>
      </c>
      <c r="F1366">
        <v>6834326</v>
      </c>
      <c r="G1366">
        <v>7.9490565049999997</v>
      </c>
      <c r="H1366">
        <v>112.3422983</v>
      </c>
      <c r="I1366">
        <v>62</v>
      </c>
      <c r="J1366">
        <v>39001659080</v>
      </c>
      <c r="K1366">
        <v>31.1</v>
      </c>
    </row>
    <row r="1367" spans="1:11" x14ac:dyDescent="0.3">
      <c r="A1367" t="s">
        <v>317</v>
      </c>
      <c r="B1367" t="s">
        <v>318</v>
      </c>
      <c r="C1367">
        <v>2022</v>
      </c>
      <c r="D1367">
        <v>58119023430</v>
      </c>
      <c r="E1367">
        <v>66809895701</v>
      </c>
      <c r="F1367">
        <v>6664449</v>
      </c>
      <c r="G1367">
        <v>2.703477055</v>
      </c>
      <c r="H1367">
        <v>131.91329229999999</v>
      </c>
      <c r="I1367">
        <v>61</v>
      </c>
      <c r="J1367">
        <v>51132321830</v>
      </c>
      <c r="K1367">
        <v>13.66</v>
      </c>
    </row>
    <row r="1368" spans="1:11" x14ac:dyDescent="0.3">
      <c r="A1368" t="s">
        <v>317</v>
      </c>
      <c r="B1368" t="s">
        <v>318</v>
      </c>
      <c r="C1368">
        <v>2023</v>
      </c>
      <c r="D1368">
        <v>61869192308</v>
      </c>
      <c r="E1368">
        <v>81343999280</v>
      </c>
      <c r="F1368">
        <v>6623183</v>
      </c>
      <c r="G1368">
        <v>3.7479330360000001</v>
      </c>
      <c r="H1368">
        <v>114.49206460000001</v>
      </c>
      <c r="I1368">
        <v>59</v>
      </c>
      <c r="J1368">
        <v>58119023430</v>
      </c>
      <c r="K1368">
        <v>6.45</v>
      </c>
    </row>
    <row r="1369" spans="1:11" x14ac:dyDescent="0.3">
      <c r="A1369" t="s">
        <v>317</v>
      </c>
      <c r="B1369" t="s">
        <v>318</v>
      </c>
      <c r="C1369">
        <v>2024</v>
      </c>
      <c r="D1369">
        <v>66076295424</v>
      </c>
      <c r="E1369">
        <v>90088366320</v>
      </c>
      <c r="F1369">
        <v>6586476</v>
      </c>
      <c r="G1369">
        <v>3.9499262260000001</v>
      </c>
      <c r="H1369">
        <v>111.7250284</v>
      </c>
      <c r="I1369">
        <v>56</v>
      </c>
      <c r="J1369">
        <v>61869192308</v>
      </c>
      <c r="K1369">
        <v>6.8</v>
      </c>
    </row>
    <row r="1370" spans="1:11" x14ac:dyDescent="0.3">
      <c r="A1370" t="s">
        <v>319</v>
      </c>
      <c r="B1370" t="s">
        <v>320</v>
      </c>
      <c r="C1370">
        <v>2015</v>
      </c>
      <c r="D1370">
        <v>18446364</v>
      </c>
      <c r="E1370">
        <v>259999643</v>
      </c>
      <c r="F1370">
        <v>200291</v>
      </c>
      <c r="G1370">
        <v>1.5397042830000001</v>
      </c>
      <c r="H1370">
        <v>112.6595793</v>
      </c>
      <c r="I1370">
        <v>166</v>
      </c>
    </row>
    <row r="1371" spans="1:11" x14ac:dyDescent="0.3">
      <c r="A1371" t="s">
        <v>319</v>
      </c>
      <c r="B1371" t="s">
        <v>320</v>
      </c>
      <c r="C1371">
        <v>2016</v>
      </c>
      <c r="D1371">
        <v>20947870</v>
      </c>
      <c r="E1371">
        <v>292267272.19999999</v>
      </c>
      <c r="F1371">
        <v>203689</v>
      </c>
      <c r="G1371">
        <v>5.1768246869999999</v>
      </c>
      <c r="H1371">
        <v>100.3954706</v>
      </c>
      <c r="I1371">
        <v>169</v>
      </c>
      <c r="J1371">
        <v>18446364</v>
      </c>
      <c r="K1371">
        <v>13.56</v>
      </c>
    </row>
    <row r="1372" spans="1:11" x14ac:dyDescent="0.3">
      <c r="A1372" t="s">
        <v>319</v>
      </c>
      <c r="B1372" t="s">
        <v>320</v>
      </c>
      <c r="C1372">
        <v>2017</v>
      </c>
      <c r="D1372">
        <v>21125181.846000005</v>
      </c>
      <c r="E1372">
        <v>322002845.19999999</v>
      </c>
      <c r="F1372">
        <v>206970</v>
      </c>
      <c r="G1372">
        <v>4.112979663</v>
      </c>
      <c r="H1372">
        <v>92.897361759999995</v>
      </c>
      <c r="I1372">
        <v>173</v>
      </c>
      <c r="J1372">
        <v>20947870</v>
      </c>
      <c r="K1372">
        <v>0.85</v>
      </c>
    </row>
    <row r="1373" spans="1:11" x14ac:dyDescent="0.3">
      <c r="A1373" t="s">
        <v>319</v>
      </c>
      <c r="B1373" t="s">
        <v>320</v>
      </c>
      <c r="C1373">
        <v>2018</v>
      </c>
      <c r="D1373">
        <v>24174604.910999995</v>
      </c>
      <c r="E1373">
        <v>383717327.80000001</v>
      </c>
      <c r="F1373">
        <v>210187</v>
      </c>
      <c r="G1373">
        <v>4.378128083</v>
      </c>
      <c r="H1373">
        <v>79.200290140000007</v>
      </c>
      <c r="I1373">
        <v>167</v>
      </c>
      <c r="J1373">
        <v>21125181.846000005</v>
      </c>
      <c r="K1373">
        <v>14.44</v>
      </c>
    </row>
    <row r="1374" spans="1:11" x14ac:dyDescent="0.3">
      <c r="A1374" t="s">
        <v>319</v>
      </c>
      <c r="B1374" t="s">
        <v>320</v>
      </c>
      <c r="C1374">
        <v>2019</v>
      </c>
      <c r="D1374">
        <v>19717777.900999997</v>
      </c>
      <c r="E1374">
        <v>412976082.60000002</v>
      </c>
      <c r="F1374">
        <v>213392</v>
      </c>
      <c r="G1374">
        <v>2.0143167210000001</v>
      </c>
      <c r="H1374">
        <v>67.574798999999999</v>
      </c>
      <c r="I1374">
        <v>165</v>
      </c>
      <c r="J1374">
        <v>24174604.910999995</v>
      </c>
      <c r="K1374">
        <v>-18.440000000000001</v>
      </c>
    </row>
    <row r="1375" spans="1:11" x14ac:dyDescent="0.3">
      <c r="A1375" t="s">
        <v>319</v>
      </c>
      <c r="B1375" t="s">
        <v>320</v>
      </c>
      <c r="C1375">
        <v>2020</v>
      </c>
      <c r="D1375">
        <v>24879114.221999999</v>
      </c>
      <c r="E1375">
        <v>471229484.60000002</v>
      </c>
      <c r="F1375">
        <v>217435</v>
      </c>
      <c r="G1375">
        <v>2.6248594949999999</v>
      </c>
      <c r="H1375">
        <v>48.66400797</v>
      </c>
      <c r="I1375">
        <v>161</v>
      </c>
      <c r="J1375">
        <v>19717777.900999997</v>
      </c>
      <c r="K1375">
        <v>26.18</v>
      </c>
    </row>
    <row r="1376" spans="1:11" x14ac:dyDescent="0.3">
      <c r="A1376" t="s">
        <v>319</v>
      </c>
      <c r="B1376" t="s">
        <v>320</v>
      </c>
      <c r="C1376">
        <v>2021</v>
      </c>
      <c r="D1376">
        <v>38349691.408</v>
      </c>
      <c r="E1376">
        <v>524402455.5</v>
      </c>
      <c r="F1376">
        <v>221961</v>
      </c>
      <c r="G1376">
        <v>1.899298913</v>
      </c>
      <c r="H1376">
        <v>57.940347320000001</v>
      </c>
      <c r="I1376">
        <v>157</v>
      </c>
      <c r="J1376">
        <v>24879114.221999999</v>
      </c>
      <c r="K1376">
        <v>54.14</v>
      </c>
    </row>
    <row r="1377" spans="1:11" x14ac:dyDescent="0.3">
      <c r="A1377" t="s">
        <v>319</v>
      </c>
      <c r="B1377" t="s">
        <v>320</v>
      </c>
      <c r="C1377">
        <v>2022</v>
      </c>
      <c r="D1377">
        <v>45177922.011</v>
      </c>
      <c r="E1377">
        <v>540809499.20000005</v>
      </c>
      <c r="F1377">
        <v>226305</v>
      </c>
      <c r="G1377">
        <v>0.16869849200000001</v>
      </c>
      <c r="H1377">
        <v>64.992037909999993</v>
      </c>
      <c r="I1377">
        <v>157</v>
      </c>
      <c r="J1377">
        <v>38349691.408</v>
      </c>
      <c r="K1377">
        <v>17.809999999999999</v>
      </c>
    </row>
    <row r="1378" spans="1:11" x14ac:dyDescent="0.3">
      <c r="A1378" t="s">
        <v>319</v>
      </c>
      <c r="B1378" t="s">
        <v>320</v>
      </c>
      <c r="C1378">
        <v>2023</v>
      </c>
      <c r="D1378">
        <v>33109137.740000006</v>
      </c>
      <c r="E1378">
        <v>690456806.70000005</v>
      </c>
      <c r="F1378">
        <v>230871</v>
      </c>
      <c r="G1378">
        <v>0.37225277499999998</v>
      </c>
      <c r="H1378">
        <v>46.974578729999998</v>
      </c>
      <c r="I1378">
        <v>156</v>
      </c>
      <c r="J1378">
        <v>45177922.011</v>
      </c>
      <c r="K1378">
        <v>-26.71</v>
      </c>
    </row>
    <row r="1379" spans="1:11" x14ac:dyDescent="0.3">
      <c r="A1379" t="s">
        <v>321</v>
      </c>
      <c r="B1379" t="s">
        <v>322</v>
      </c>
      <c r="C1379">
        <v>2015</v>
      </c>
      <c r="D1379">
        <v>3628633343.4809995</v>
      </c>
      <c r="E1379">
        <v>5126237646</v>
      </c>
      <c r="F1379">
        <v>581627</v>
      </c>
      <c r="G1379">
        <v>-3.4130426809999999</v>
      </c>
      <c r="I1379">
        <v>121</v>
      </c>
    </row>
    <row r="1380" spans="1:11" x14ac:dyDescent="0.3">
      <c r="A1380" t="s">
        <v>321</v>
      </c>
      <c r="B1380" t="s">
        <v>322</v>
      </c>
      <c r="C1380">
        <v>2016</v>
      </c>
      <c r="D1380">
        <v>2470566352.9679999</v>
      </c>
      <c r="E1380">
        <v>3317421648</v>
      </c>
      <c r="F1380">
        <v>587757</v>
      </c>
      <c r="G1380">
        <v>-4.9116605089999998</v>
      </c>
      <c r="I1380">
        <v>129</v>
      </c>
      <c r="J1380">
        <v>3628633343.4809995</v>
      </c>
      <c r="K1380">
        <v>-31.91</v>
      </c>
    </row>
    <row r="1381" spans="1:11" x14ac:dyDescent="0.3">
      <c r="A1381" t="s">
        <v>321</v>
      </c>
      <c r="B1381" t="s">
        <v>322</v>
      </c>
      <c r="C1381">
        <v>2017</v>
      </c>
      <c r="D1381">
        <v>4134787453.421999</v>
      </c>
      <c r="E1381">
        <v>3591679431</v>
      </c>
      <c r="F1381">
        <v>593713</v>
      </c>
      <c r="G1381">
        <v>1.566037825</v>
      </c>
      <c r="I1381">
        <v>123</v>
      </c>
      <c r="J1381">
        <v>2470566352.9679999</v>
      </c>
      <c r="K1381">
        <v>67.36</v>
      </c>
    </row>
    <row r="1382" spans="1:11" x14ac:dyDescent="0.3">
      <c r="A1382" t="s">
        <v>321</v>
      </c>
      <c r="B1382" t="s">
        <v>322</v>
      </c>
      <c r="C1382">
        <v>2018</v>
      </c>
      <c r="D1382">
        <v>4359901169.7790012</v>
      </c>
      <c r="E1382">
        <v>3996198867</v>
      </c>
      <c r="F1382">
        <v>599513</v>
      </c>
      <c r="G1382">
        <v>4.948271085</v>
      </c>
      <c r="I1382">
        <v>119</v>
      </c>
      <c r="J1382">
        <v>4134787453.421999</v>
      </c>
      <c r="K1382">
        <v>5.44</v>
      </c>
    </row>
    <row r="1383" spans="1:11" x14ac:dyDescent="0.3">
      <c r="A1383" t="s">
        <v>321</v>
      </c>
      <c r="B1383" t="s">
        <v>322</v>
      </c>
      <c r="C1383">
        <v>2019</v>
      </c>
      <c r="D1383">
        <v>4310265113.1350002</v>
      </c>
      <c r="E1383">
        <v>4016040575</v>
      </c>
      <c r="F1383">
        <v>605768</v>
      </c>
      <c r="G1383">
        <v>1.1675897719999999</v>
      </c>
      <c r="I1383">
        <v>120</v>
      </c>
      <c r="J1383">
        <v>4359901169.7790012</v>
      </c>
      <c r="K1383">
        <v>-1.1399999999999999</v>
      </c>
    </row>
    <row r="1384" spans="1:11" x14ac:dyDescent="0.3">
      <c r="A1384" t="s">
        <v>321</v>
      </c>
      <c r="B1384" t="s">
        <v>322</v>
      </c>
      <c r="C1384">
        <v>2020</v>
      </c>
      <c r="D1384">
        <v>4386697872.6589994</v>
      </c>
      <c r="E1384">
        <v>2911807496</v>
      </c>
      <c r="F1384">
        <v>612317</v>
      </c>
      <c r="G1384">
        <v>-15.975191710000001</v>
      </c>
      <c r="I1384">
        <v>118</v>
      </c>
      <c r="J1384">
        <v>4310265113.1350002</v>
      </c>
      <c r="K1384">
        <v>1.77</v>
      </c>
    </row>
    <row r="1385" spans="1:11" x14ac:dyDescent="0.3">
      <c r="A1385" t="s">
        <v>321</v>
      </c>
      <c r="B1385" t="s">
        <v>322</v>
      </c>
      <c r="C1385">
        <v>2021</v>
      </c>
      <c r="D1385">
        <v>4582651654.0799999</v>
      </c>
      <c r="E1385">
        <v>3107923198</v>
      </c>
      <c r="F1385">
        <v>617896</v>
      </c>
      <c r="G1385">
        <v>-2.435385836</v>
      </c>
      <c r="I1385">
        <v>122</v>
      </c>
      <c r="J1385">
        <v>4386697872.6589994</v>
      </c>
      <c r="K1385">
        <v>4.47</v>
      </c>
    </row>
    <row r="1386" spans="1:11" x14ac:dyDescent="0.3">
      <c r="A1386" t="s">
        <v>321</v>
      </c>
      <c r="B1386" t="s">
        <v>322</v>
      </c>
      <c r="C1386">
        <v>2022</v>
      </c>
      <c r="D1386">
        <v>5672564753.1999989</v>
      </c>
      <c r="E1386">
        <v>3791603200</v>
      </c>
      <c r="F1386">
        <v>623164</v>
      </c>
      <c r="G1386">
        <v>2.4062223559999998</v>
      </c>
      <c r="I1386">
        <v>118</v>
      </c>
      <c r="J1386">
        <v>4582651654.0799999</v>
      </c>
      <c r="K1386">
        <v>23.78</v>
      </c>
    </row>
    <row r="1387" spans="1:11" x14ac:dyDescent="0.3">
      <c r="A1387" t="s">
        <v>321</v>
      </c>
      <c r="B1387" t="s">
        <v>322</v>
      </c>
      <c r="C1387">
        <v>2023</v>
      </c>
      <c r="D1387">
        <v>4621799595.9909992</v>
      </c>
      <c r="E1387">
        <v>3472693412</v>
      </c>
      <c r="F1387">
        <v>628886</v>
      </c>
      <c r="G1387">
        <v>2.41659215</v>
      </c>
      <c r="I1387">
        <v>119</v>
      </c>
      <c r="J1387">
        <v>5672564753.1999989</v>
      </c>
      <c r="K1387">
        <v>-18.52</v>
      </c>
    </row>
    <row r="1388" spans="1:11" x14ac:dyDescent="0.3">
      <c r="A1388" t="s">
        <v>321</v>
      </c>
      <c r="B1388" t="s">
        <v>322</v>
      </c>
      <c r="C1388">
        <v>2024</v>
      </c>
      <c r="D1388">
        <v>2968316375.9310007</v>
      </c>
      <c r="E1388">
        <v>4416775113</v>
      </c>
      <c r="F1388">
        <v>634431</v>
      </c>
      <c r="G1388">
        <v>1.7209574910000001</v>
      </c>
      <c r="I1388">
        <v>107</v>
      </c>
      <c r="J1388">
        <v>4621799595.9909992</v>
      </c>
      <c r="K1388">
        <v>-35.78</v>
      </c>
    </row>
    <row r="1389" spans="1:11" x14ac:dyDescent="0.3">
      <c r="A1389" t="s">
        <v>323</v>
      </c>
      <c r="B1389" t="s">
        <v>324</v>
      </c>
      <c r="C1389">
        <v>2015</v>
      </c>
      <c r="D1389">
        <v>150020117705.59503</v>
      </c>
      <c r="E1389">
        <v>89178548717</v>
      </c>
      <c r="F1389">
        <v>5423801</v>
      </c>
      <c r="G1389">
        <v>5.1768790969999996</v>
      </c>
      <c r="H1389">
        <v>179.42602289999999</v>
      </c>
      <c r="I1389">
        <v>35</v>
      </c>
    </row>
    <row r="1390" spans="1:11" x14ac:dyDescent="0.3">
      <c r="A1390" t="s">
        <v>323</v>
      </c>
      <c r="B1390" t="s">
        <v>324</v>
      </c>
      <c r="C1390">
        <v>2016</v>
      </c>
      <c r="D1390">
        <v>153980002072.11798</v>
      </c>
      <c r="E1390">
        <v>90347173229</v>
      </c>
      <c r="F1390">
        <v>5430798</v>
      </c>
      <c r="G1390">
        <v>1.947818415</v>
      </c>
      <c r="H1390">
        <v>182.75737960000001</v>
      </c>
      <c r="I1390">
        <v>34</v>
      </c>
      <c r="J1390">
        <v>150020117705.59503</v>
      </c>
      <c r="K1390">
        <v>2.64</v>
      </c>
    </row>
    <row r="1391" spans="1:11" x14ac:dyDescent="0.3">
      <c r="A1391" t="s">
        <v>323</v>
      </c>
      <c r="B1391" t="s">
        <v>324</v>
      </c>
      <c r="C1391">
        <v>2017</v>
      </c>
      <c r="D1391">
        <v>166856761471.96707</v>
      </c>
      <c r="E1391">
        <v>95978130735</v>
      </c>
      <c r="F1391">
        <v>5439232</v>
      </c>
      <c r="G1391">
        <v>2.8747332750000001</v>
      </c>
      <c r="H1391">
        <v>186.64468740000001</v>
      </c>
      <c r="I1391">
        <v>35</v>
      </c>
      <c r="J1391">
        <v>153980002072.11798</v>
      </c>
      <c r="K1391">
        <v>8.36</v>
      </c>
    </row>
    <row r="1392" spans="1:11" x14ac:dyDescent="0.3">
      <c r="A1392" t="s">
        <v>323</v>
      </c>
      <c r="B1392" t="s">
        <v>324</v>
      </c>
      <c r="C1392">
        <v>2018</v>
      </c>
      <c r="D1392">
        <v>186865341279.01291</v>
      </c>
      <c r="E1392">
        <v>107000000000</v>
      </c>
      <c r="F1392">
        <v>5446771</v>
      </c>
      <c r="G1392">
        <v>4.0621198190000003</v>
      </c>
      <c r="H1392">
        <v>188.7329647</v>
      </c>
      <c r="I1392">
        <v>35</v>
      </c>
      <c r="J1392">
        <v>166856761471.96707</v>
      </c>
      <c r="K1392">
        <v>11.99</v>
      </c>
    </row>
    <row r="1393" spans="1:11" x14ac:dyDescent="0.3">
      <c r="A1393" t="s">
        <v>323</v>
      </c>
      <c r="B1393" t="s">
        <v>324</v>
      </c>
      <c r="C1393">
        <v>2019</v>
      </c>
      <c r="D1393">
        <v>179840746610.42599</v>
      </c>
      <c r="E1393">
        <v>106000000000</v>
      </c>
      <c r="F1393">
        <v>5454147</v>
      </c>
      <c r="G1393">
        <v>2.2758991000000002</v>
      </c>
      <c r="H1393">
        <v>183.7226086</v>
      </c>
      <c r="I1393">
        <v>33</v>
      </c>
      <c r="J1393">
        <v>186865341279.01291</v>
      </c>
      <c r="K1393">
        <v>-3.76</v>
      </c>
    </row>
    <row r="1394" spans="1:11" x14ac:dyDescent="0.3">
      <c r="A1394" t="s">
        <v>323</v>
      </c>
      <c r="B1394" t="s">
        <v>324</v>
      </c>
      <c r="C1394">
        <v>2020</v>
      </c>
      <c r="D1394">
        <v>174034357480.73071</v>
      </c>
      <c r="E1394">
        <v>108000000000</v>
      </c>
      <c r="F1394">
        <v>5458827</v>
      </c>
      <c r="G1394">
        <v>-2.5855124169999999</v>
      </c>
      <c r="H1394">
        <v>167.53417329999999</v>
      </c>
      <c r="I1394">
        <v>33</v>
      </c>
      <c r="J1394">
        <v>179840746610.42599</v>
      </c>
      <c r="K1394">
        <v>-3.23</v>
      </c>
    </row>
    <row r="1395" spans="1:11" x14ac:dyDescent="0.3">
      <c r="A1395" t="s">
        <v>323</v>
      </c>
      <c r="B1395" t="s">
        <v>324</v>
      </c>
      <c r="C1395">
        <v>2021</v>
      </c>
      <c r="D1395">
        <v>209466641763.84601</v>
      </c>
      <c r="E1395">
        <v>121000000000</v>
      </c>
      <c r="F1395">
        <v>5447247</v>
      </c>
      <c r="G1395">
        <v>5.6558588070000004</v>
      </c>
      <c r="H1395">
        <v>181.97948450000001</v>
      </c>
      <c r="I1395">
        <v>34</v>
      </c>
      <c r="J1395">
        <v>174034357480.73071</v>
      </c>
      <c r="K1395">
        <v>20.36</v>
      </c>
    </row>
    <row r="1396" spans="1:11" x14ac:dyDescent="0.3">
      <c r="A1396" t="s">
        <v>323</v>
      </c>
      <c r="B1396" t="s">
        <v>324</v>
      </c>
      <c r="C1396">
        <v>2022</v>
      </c>
      <c r="D1396">
        <v>216476781027.26804</v>
      </c>
      <c r="E1396">
        <v>116000000000</v>
      </c>
      <c r="F1396">
        <v>5431752</v>
      </c>
      <c r="G1396">
        <v>0.54459163200000005</v>
      </c>
      <c r="H1396">
        <v>204.0563185</v>
      </c>
      <c r="I1396">
        <v>34</v>
      </c>
      <c r="J1396">
        <v>209466641763.84601</v>
      </c>
      <c r="K1396">
        <v>3.35</v>
      </c>
    </row>
    <row r="1397" spans="1:11" x14ac:dyDescent="0.3">
      <c r="A1397" t="s">
        <v>323</v>
      </c>
      <c r="B1397" t="s">
        <v>324</v>
      </c>
      <c r="C1397">
        <v>2023</v>
      </c>
      <c r="D1397">
        <v>234500353401.98984</v>
      </c>
      <c r="E1397">
        <v>134000000000</v>
      </c>
      <c r="F1397">
        <v>5426740</v>
      </c>
      <c r="G1397">
        <v>2.1126363320000001</v>
      </c>
      <c r="H1397">
        <v>181.39087240000001</v>
      </c>
      <c r="I1397">
        <v>32</v>
      </c>
      <c r="J1397">
        <v>216476781027.26804</v>
      </c>
      <c r="K1397">
        <v>8.33</v>
      </c>
    </row>
    <row r="1398" spans="1:11" x14ac:dyDescent="0.3">
      <c r="A1398" t="s">
        <v>323</v>
      </c>
      <c r="B1398" t="s">
        <v>324</v>
      </c>
      <c r="C1398">
        <v>2024</v>
      </c>
      <c r="D1398">
        <v>231150910191.60394</v>
      </c>
      <c r="E1398">
        <v>141000000000</v>
      </c>
      <c r="F1398">
        <v>5422069</v>
      </c>
      <c r="G1398">
        <v>1.9386744549999999</v>
      </c>
      <c r="H1398">
        <v>171.2128002</v>
      </c>
      <c r="I1398">
        <v>30</v>
      </c>
      <c r="J1398">
        <v>234500353401.98984</v>
      </c>
      <c r="K1398">
        <v>-1.43</v>
      </c>
    </row>
    <row r="1399" spans="1:11" x14ac:dyDescent="0.3">
      <c r="A1399" t="s">
        <v>325</v>
      </c>
      <c r="B1399" t="s">
        <v>326</v>
      </c>
      <c r="C1399">
        <v>2015</v>
      </c>
      <c r="D1399">
        <v>53173958536</v>
      </c>
      <c r="E1399">
        <v>42709468275</v>
      </c>
      <c r="F1399">
        <v>2063531</v>
      </c>
      <c r="G1399">
        <v>2.3933062129999998</v>
      </c>
      <c r="H1399">
        <v>147.21836769999999</v>
      </c>
      <c r="I1399">
        <v>58</v>
      </c>
    </row>
    <row r="1400" spans="1:11" x14ac:dyDescent="0.3">
      <c r="A1400" t="s">
        <v>325</v>
      </c>
      <c r="B1400" t="s">
        <v>326</v>
      </c>
      <c r="C1400">
        <v>2016</v>
      </c>
      <c r="D1400">
        <v>55315455379.540001</v>
      </c>
      <c r="E1400">
        <v>44290685824</v>
      </c>
      <c r="F1400">
        <v>2065042</v>
      </c>
      <c r="G1400">
        <v>3.0344148670000002</v>
      </c>
      <c r="H1400">
        <v>148.2384481</v>
      </c>
      <c r="I1400">
        <v>57</v>
      </c>
      <c r="J1400">
        <v>53173958536</v>
      </c>
      <c r="K1400">
        <v>4.03</v>
      </c>
    </row>
    <row r="1401" spans="1:11" x14ac:dyDescent="0.3">
      <c r="A1401" t="s">
        <v>325</v>
      </c>
      <c r="B1401" t="s">
        <v>326</v>
      </c>
      <c r="C1401">
        <v>2017</v>
      </c>
      <c r="D1401">
        <v>63787579128.919998</v>
      </c>
      <c r="E1401">
        <v>48153200135</v>
      </c>
      <c r="F1401">
        <v>2066388</v>
      </c>
      <c r="G1401">
        <v>5.1744021560000002</v>
      </c>
      <c r="H1401">
        <v>158.70213580000001</v>
      </c>
      <c r="I1401">
        <v>56</v>
      </c>
      <c r="J1401">
        <v>55315455379.540001</v>
      </c>
      <c r="K1401">
        <v>15.32</v>
      </c>
    </row>
    <row r="1402" spans="1:11" x14ac:dyDescent="0.3">
      <c r="A1402" t="s">
        <v>325</v>
      </c>
      <c r="B1402" t="s">
        <v>326</v>
      </c>
      <c r="C1402">
        <v>2018</v>
      </c>
      <c r="D1402">
        <v>72942557878.840042</v>
      </c>
      <c r="E1402">
        <v>53689067640</v>
      </c>
      <c r="F1402">
        <v>2073894</v>
      </c>
      <c r="G1402">
        <v>4.3790834729999997</v>
      </c>
      <c r="H1402">
        <v>162.613494</v>
      </c>
      <c r="I1402">
        <v>55</v>
      </c>
      <c r="J1402">
        <v>63787579128.919998</v>
      </c>
      <c r="K1402">
        <v>14.35</v>
      </c>
    </row>
    <row r="1403" spans="1:11" x14ac:dyDescent="0.3">
      <c r="A1403" t="s">
        <v>325</v>
      </c>
      <c r="B1403" t="s">
        <v>326</v>
      </c>
      <c r="C1403">
        <v>2019</v>
      </c>
      <c r="D1403">
        <v>75149188759.019958</v>
      </c>
      <c r="E1403">
        <v>53909922736</v>
      </c>
      <c r="F1403">
        <v>2088385</v>
      </c>
      <c r="G1403">
        <v>3.5052533239999999</v>
      </c>
      <c r="H1403">
        <v>160.04427569999999</v>
      </c>
      <c r="I1403">
        <v>53</v>
      </c>
      <c r="J1403">
        <v>72942557878.840042</v>
      </c>
      <c r="K1403">
        <v>3.03</v>
      </c>
    </row>
    <row r="1404" spans="1:11" x14ac:dyDescent="0.3">
      <c r="A1404" t="s">
        <v>325</v>
      </c>
      <c r="B1404" t="s">
        <v>326</v>
      </c>
      <c r="C1404">
        <v>2020</v>
      </c>
      <c r="D1404">
        <v>74942188346.485001</v>
      </c>
      <c r="E1404">
        <v>53384760135</v>
      </c>
      <c r="F1404">
        <v>2102419</v>
      </c>
      <c r="G1404">
        <v>-4.0850009490000003</v>
      </c>
      <c r="H1404">
        <v>147.54900860000001</v>
      </c>
      <c r="I1404">
        <v>48</v>
      </c>
      <c r="J1404">
        <v>75149188759.019958</v>
      </c>
      <c r="K1404">
        <v>-0.28000000000000003</v>
      </c>
    </row>
    <row r="1405" spans="1:11" x14ac:dyDescent="0.3">
      <c r="A1405" t="s">
        <v>325</v>
      </c>
      <c r="B1405" t="s">
        <v>326</v>
      </c>
      <c r="C1405">
        <v>2021</v>
      </c>
      <c r="D1405">
        <v>93384256138.221039</v>
      </c>
      <c r="E1405">
        <v>61540813362</v>
      </c>
      <c r="F1405">
        <v>2108079</v>
      </c>
      <c r="G1405">
        <v>8.4168645770000001</v>
      </c>
      <c r="H1405">
        <v>161.78872749999999</v>
      </c>
      <c r="I1405">
        <v>50</v>
      </c>
      <c r="J1405">
        <v>74942188346.485001</v>
      </c>
      <c r="K1405">
        <v>24.61</v>
      </c>
    </row>
    <row r="1406" spans="1:11" x14ac:dyDescent="0.3">
      <c r="A1406" t="s">
        <v>325</v>
      </c>
      <c r="B1406" t="s">
        <v>326</v>
      </c>
      <c r="C1406">
        <v>2022</v>
      </c>
      <c r="D1406">
        <v>110612036944.60597</v>
      </c>
      <c r="E1406">
        <v>59899117741</v>
      </c>
      <c r="F1406">
        <v>2112076</v>
      </c>
      <c r="G1406">
        <v>2.6685055549999999</v>
      </c>
      <c r="H1406">
        <v>186.64707630000001</v>
      </c>
      <c r="I1406">
        <v>50</v>
      </c>
      <c r="J1406">
        <v>93384256138.221039</v>
      </c>
      <c r="K1406">
        <v>18.45</v>
      </c>
    </row>
    <row r="1407" spans="1:11" x14ac:dyDescent="0.3">
      <c r="A1407" t="s">
        <v>325</v>
      </c>
      <c r="B1407" t="s">
        <v>326</v>
      </c>
      <c r="C1407">
        <v>2023</v>
      </c>
      <c r="D1407">
        <v>119013909955.369</v>
      </c>
      <c r="E1407">
        <v>69255264238</v>
      </c>
      <c r="F1407">
        <v>2120461</v>
      </c>
      <c r="G1407">
        <v>2.3758326649999999</v>
      </c>
      <c r="H1407">
        <v>160.15966929999999</v>
      </c>
      <c r="I1407">
        <v>45</v>
      </c>
      <c r="J1407">
        <v>110612036944.60597</v>
      </c>
      <c r="K1407">
        <v>7.6</v>
      </c>
    </row>
    <row r="1408" spans="1:11" x14ac:dyDescent="0.3">
      <c r="A1408" t="s">
        <v>325</v>
      </c>
      <c r="B1408" t="s">
        <v>326</v>
      </c>
      <c r="C1408">
        <v>2024</v>
      </c>
      <c r="D1408">
        <v>133271371107.0051</v>
      </c>
      <c r="E1408">
        <v>72972015197</v>
      </c>
      <c r="F1408">
        <v>2127400</v>
      </c>
      <c r="G1408">
        <v>1.731397225</v>
      </c>
      <c r="H1408">
        <v>155.65792870000001</v>
      </c>
      <c r="I1408">
        <v>43</v>
      </c>
      <c r="J1408">
        <v>119013909955.369</v>
      </c>
      <c r="K1408">
        <v>11.98</v>
      </c>
    </row>
    <row r="1409" spans="1:11" x14ac:dyDescent="0.3">
      <c r="A1409" t="s">
        <v>327</v>
      </c>
      <c r="B1409" t="s">
        <v>328</v>
      </c>
      <c r="C1409">
        <v>2015</v>
      </c>
      <c r="D1409">
        <v>280012941535.38098</v>
      </c>
      <c r="E1409">
        <v>502000000000</v>
      </c>
      <c r="F1409">
        <v>9799186</v>
      </c>
      <c r="G1409">
        <v>4.3882467360000001</v>
      </c>
      <c r="H1409">
        <v>84.173076600000002</v>
      </c>
      <c r="I1409">
        <v>29</v>
      </c>
    </row>
    <row r="1410" spans="1:11" x14ac:dyDescent="0.3">
      <c r="A1410" t="s">
        <v>327</v>
      </c>
      <c r="B1410" t="s">
        <v>328</v>
      </c>
      <c r="C1410">
        <v>2016</v>
      </c>
      <c r="D1410">
        <v>278781548298.45599</v>
      </c>
      <c r="E1410">
        <v>513000000000</v>
      </c>
      <c r="F1410">
        <v>9923085</v>
      </c>
      <c r="G1410">
        <v>2.1311791470000001</v>
      </c>
      <c r="H1410">
        <v>83.451947860000004</v>
      </c>
      <c r="I1410">
        <v>29</v>
      </c>
      <c r="J1410">
        <v>280012941535.38098</v>
      </c>
      <c r="K1410">
        <v>-0.44</v>
      </c>
    </row>
    <row r="1411" spans="1:11" x14ac:dyDescent="0.3">
      <c r="A1411" t="s">
        <v>327</v>
      </c>
      <c r="B1411" t="s">
        <v>328</v>
      </c>
      <c r="C1411">
        <v>2017</v>
      </c>
      <c r="D1411">
        <v>306317129929.2998</v>
      </c>
      <c r="E1411">
        <v>535000000000</v>
      </c>
      <c r="F1411">
        <v>10057698</v>
      </c>
      <c r="G1411">
        <v>1.88282185</v>
      </c>
      <c r="H1411">
        <v>86.06930887</v>
      </c>
      <c r="I1411">
        <v>29</v>
      </c>
      <c r="J1411">
        <v>278781548298.45599</v>
      </c>
      <c r="K1411">
        <v>9.8800000000000008</v>
      </c>
    </row>
    <row r="1412" spans="1:11" x14ac:dyDescent="0.3">
      <c r="A1412" t="s">
        <v>327</v>
      </c>
      <c r="B1412" t="s">
        <v>328</v>
      </c>
      <c r="C1412">
        <v>2018</v>
      </c>
      <c r="D1412">
        <v>331933267035.87402</v>
      </c>
      <c r="E1412">
        <v>550000000000</v>
      </c>
      <c r="F1412">
        <v>10175214</v>
      </c>
      <c r="G1412">
        <v>1.770255355</v>
      </c>
      <c r="H1412">
        <v>90.408714239999995</v>
      </c>
      <c r="I1412">
        <v>30</v>
      </c>
      <c r="J1412">
        <v>306317129929.2998</v>
      </c>
      <c r="K1412">
        <v>8.36</v>
      </c>
    </row>
    <row r="1413" spans="1:11" x14ac:dyDescent="0.3">
      <c r="A1413" t="s">
        <v>327</v>
      </c>
      <c r="B1413" t="s">
        <v>328</v>
      </c>
      <c r="C1413">
        <v>2019</v>
      </c>
      <c r="D1413">
        <v>321062484441.47113</v>
      </c>
      <c r="E1413">
        <v>531000000000</v>
      </c>
      <c r="F1413">
        <v>10278887</v>
      </c>
      <c r="G1413">
        <v>2.6082301289999998</v>
      </c>
      <c r="H1413">
        <v>92.751139030000004</v>
      </c>
      <c r="I1413">
        <v>30</v>
      </c>
      <c r="J1413">
        <v>331933267035.87402</v>
      </c>
      <c r="K1413">
        <v>-3.27</v>
      </c>
    </row>
    <row r="1414" spans="1:11" x14ac:dyDescent="0.3">
      <c r="A1414" t="s">
        <v>327</v>
      </c>
      <c r="B1414" t="s">
        <v>328</v>
      </c>
      <c r="C1414">
        <v>2020</v>
      </c>
      <c r="D1414">
        <v>309871174251.74005</v>
      </c>
      <c r="E1414">
        <v>544000000000</v>
      </c>
      <c r="F1414">
        <v>10353442</v>
      </c>
      <c r="G1414">
        <v>-1.93379704</v>
      </c>
      <c r="H1414">
        <v>84.474595809999997</v>
      </c>
      <c r="I1414">
        <v>30</v>
      </c>
      <c r="J1414">
        <v>321062484441.47113</v>
      </c>
      <c r="K1414">
        <v>-3.49</v>
      </c>
    </row>
    <row r="1415" spans="1:11" x14ac:dyDescent="0.3">
      <c r="A1415" t="s">
        <v>327</v>
      </c>
      <c r="B1415" t="s">
        <v>328</v>
      </c>
      <c r="C1415">
        <v>2021</v>
      </c>
      <c r="D1415">
        <v>379270126399.75623</v>
      </c>
      <c r="E1415">
        <v>632000000000</v>
      </c>
      <c r="F1415">
        <v>10415811</v>
      </c>
      <c r="G1415">
        <v>5.2258643029999998</v>
      </c>
      <c r="H1415">
        <v>91.110237440000006</v>
      </c>
      <c r="I1415">
        <v>30</v>
      </c>
      <c r="J1415">
        <v>309871174251.74005</v>
      </c>
      <c r="K1415">
        <v>22.4</v>
      </c>
    </row>
    <row r="1416" spans="1:11" x14ac:dyDescent="0.3">
      <c r="A1416" t="s">
        <v>327</v>
      </c>
      <c r="B1416" t="s">
        <v>328</v>
      </c>
      <c r="C1416">
        <v>2022</v>
      </c>
      <c r="D1416">
        <v>395055622602.80182</v>
      </c>
      <c r="E1416">
        <v>575000000000</v>
      </c>
      <c r="F1416">
        <v>10486941</v>
      </c>
      <c r="G1416">
        <v>1.255436204</v>
      </c>
      <c r="H1416">
        <v>107.11175179999999</v>
      </c>
      <c r="I1416">
        <v>29</v>
      </c>
      <c r="J1416">
        <v>379270126399.75623</v>
      </c>
      <c r="K1416">
        <v>4.16</v>
      </c>
    </row>
    <row r="1417" spans="1:11" x14ac:dyDescent="0.3">
      <c r="A1417" t="s">
        <v>327</v>
      </c>
      <c r="B1417" t="s">
        <v>328</v>
      </c>
      <c r="C1417">
        <v>2023</v>
      </c>
      <c r="D1417">
        <v>395067768310.45978</v>
      </c>
      <c r="E1417">
        <v>579000000000</v>
      </c>
      <c r="F1417">
        <v>10536632</v>
      </c>
      <c r="G1417">
        <v>-0.204061305</v>
      </c>
      <c r="H1417">
        <v>107.6197094</v>
      </c>
      <c r="I1417">
        <v>29</v>
      </c>
      <c r="J1417">
        <v>395055622602.80182</v>
      </c>
      <c r="K1417">
        <v>0</v>
      </c>
    </row>
    <row r="1418" spans="1:11" x14ac:dyDescent="0.3">
      <c r="A1418" t="s">
        <v>327</v>
      </c>
      <c r="B1418" t="s">
        <v>328</v>
      </c>
      <c r="C1418">
        <v>2024</v>
      </c>
      <c r="D1418">
        <v>391520509394.23828</v>
      </c>
      <c r="E1418">
        <v>605000000000</v>
      </c>
      <c r="F1418">
        <v>10569709</v>
      </c>
      <c r="G1418">
        <v>1.0177963329999999</v>
      </c>
      <c r="H1418">
        <v>105.9674923</v>
      </c>
      <c r="I1418">
        <v>27</v>
      </c>
      <c r="J1418">
        <v>395067768310.45978</v>
      </c>
      <c r="K1418">
        <v>-0.9</v>
      </c>
    </row>
    <row r="1419" spans="1:11" x14ac:dyDescent="0.3">
      <c r="A1419" t="s">
        <v>329</v>
      </c>
      <c r="B1419" t="s">
        <v>330</v>
      </c>
      <c r="C1419">
        <v>2015</v>
      </c>
      <c r="D1419">
        <v>3640996767.0180011</v>
      </c>
      <c r="E1419">
        <v>3908217914</v>
      </c>
      <c r="F1419">
        <v>1142813</v>
      </c>
      <c r="G1419">
        <v>1.7042580599999999</v>
      </c>
      <c r="H1419">
        <v>88.262094399999995</v>
      </c>
      <c r="I1419">
        <v>120</v>
      </c>
    </row>
    <row r="1420" spans="1:11" x14ac:dyDescent="0.3">
      <c r="A1420" t="s">
        <v>329</v>
      </c>
      <c r="B1420" t="s">
        <v>330</v>
      </c>
      <c r="C1420">
        <v>2016</v>
      </c>
      <c r="D1420">
        <v>3432712800.6179996</v>
      </c>
      <c r="E1420">
        <v>3722306117</v>
      </c>
      <c r="F1420">
        <v>1149507</v>
      </c>
      <c r="G1420">
        <v>2.9491682109999999</v>
      </c>
      <c r="H1420">
        <v>89.358487440000005</v>
      </c>
      <c r="I1420">
        <v>124</v>
      </c>
      <c r="J1420">
        <v>3640996767.0180011</v>
      </c>
      <c r="K1420">
        <v>-5.72</v>
      </c>
    </row>
    <row r="1421" spans="1:11" x14ac:dyDescent="0.3">
      <c r="A1421" t="s">
        <v>329</v>
      </c>
      <c r="B1421" t="s">
        <v>330</v>
      </c>
      <c r="C1421">
        <v>2017</v>
      </c>
      <c r="D1421">
        <v>3602001314.8820009</v>
      </c>
      <c r="E1421">
        <v>4462640651</v>
      </c>
      <c r="F1421">
        <v>1158195</v>
      </c>
      <c r="G1421">
        <v>3.5209534599999999</v>
      </c>
      <c r="H1421">
        <v>86.880142030000002</v>
      </c>
      <c r="I1421">
        <v>126</v>
      </c>
      <c r="J1421">
        <v>3432712800.6179996</v>
      </c>
      <c r="K1421">
        <v>4.93</v>
      </c>
    </row>
    <row r="1422" spans="1:11" x14ac:dyDescent="0.3">
      <c r="A1422" t="s">
        <v>329</v>
      </c>
      <c r="B1422" t="s">
        <v>330</v>
      </c>
      <c r="C1422">
        <v>2018</v>
      </c>
      <c r="D1422">
        <v>3684876002.5959997</v>
      </c>
      <c r="E1422">
        <v>4643751059</v>
      </c>
      <c r="F1422">
        <v>1168929</v>
      </c>
      <c r="G1422">
        <v>6.5395655999999996E-2</v>
      </c>
      <c r="H1422">
        <v>85.492776820000003</v>
      </c>
      <c r="I1422">
        <v>123</v>
      </c>
      <c r="J1422">
        <v>3602001314.8820009</v>
      </c>
      <c r="K1422">
        <v>2.2999999999999998</v>
      </c>
    </row>
    <row r="1423" spans="1:11" x14ac:dyDescent="0.3">
      <c r="A1423" t="s">
        <v>329</v>
      </c>
      <c r="B1423" t="s">
        <v>330</v>
      </c>
      <c r="C1423">
        <v>2019</v>
      </c>
      <c r="D1423">
        <v>4003273202.5799994</v>
      </c>
      <c r="E1423">
        <v>4617018959</v>
      </c>
      <c r="F1423">
        <v>1179874</v>
      </c>
      <c r="G1423">
        <v>6.4318688870000003</v>
      </c>
      <c r="H1423">
        <v>86.640794850000006</v>
      </c>
      <c r="I1423">
        <v>122</v>
      </c>
      <c r="J1423">
        <v>3684876002.5959997</v>
      </c>
      <c r="K1423">
        <v>8.64</v>
      </c>
    </row>
    <row r="1424" spans="1:11" x14ac:dyDescent="0.3">
      <c r="A1424" t="s">
        <v>329</v>
      </c>
      <c r="B1424" t="s">
        <v>330</v>
      </c>
      <c r="C1424">
        <v>2020</v>
      </c>
      <c r="D1424">
        <v>3504227883.8399997</v>
      </c>
      <c r="E1424">
        <v>4134677810</v>
      </c>
      <c r="F1424">
        <v>1192729</v>
      </c>
      <c r="G1424">
        <v>-2.9518345340000001</v>
      </c>
      <c r="H1424">
        <v>84.014018840000006</v>
      </c>
      <c r="I1424">
        <v>121</v>
      </c>
      <c r="J1424">
        <v>4003273202.5799994</v>
      </c>
      <c r="K1424">
        <v>-12.47</v>
      </c>
    </row>
    <row r="1425" spans="1:11" x14ac:dyDescent="0.3">
      <c r="A1425" t="s">
        <v>329</v>
      </c>
      <c r="B1425" t="s">
        <v>330</v>
      </c>
      <c r="C1425">
        <v>2021</v>
      </c>
      <c r="D1425">
        <v>4136937620.8200006</v>
      </c>
      <c r="E1425">
        <v>4807069277</v>
      </c>
      <c r="F1425">
        <v>1206593</v>
      </c>
      <c r="G1425">
        <v>4.2362191359999999</v>
      </c>
      <c r="H1425">
        <v>89.931387490000006</v>
      </c>
      <c r="I1425">
        <v>123</v>
      </c>
      <c r="J1425">
        <v>3504227883.8399997</v>
      </c>
      <c r="K1425">
        <v>18.059999999999999</v>
      </c>
    </row>
    <row r="1426" spans="1:11" x14ac:dyDescent="0.3">
      <c r="A1426" t="s">
        <v>329</v>
      </c>
      <c r="B1426" t="s">
        <v>330</v>
      </c>
      <c r="C1426">
        <v>2022</v>
      </c>
      <c r="D1426">
        <v>3981194547.6799994</v>
      </c>
      <c r="E1426">
        <v>4746660274</v>
      </c>
      <c r="F1426">
        <v>1218917</v>
      </c>
      <c r="G1426">
        <v>0.38607083599999997</v>
      </c>
      <c r="H1426">
        <v>92.571587129999998</v>
      </c>
      <c r="I1426">
        <v>122</v>
      </c>
      <c r="J1426">
        <v>4136937620.8200006</v>
      </c>
      <c r="K1426">
        <v>-3.76</v>
      </c>
    </row>
    <row r="1427" spans="1:11" x14ac:dyDescent="0.3">
      <c r="A1427" t="s">
        <v>329</v>
      </c>
      <c r="B1427" t="s">
        <v>330</v>
      </c>
      <c r="C1427">
        <v>2023</v>
      </c>
      <c r="D1427">
        <v>4191203418.2399983</v>
      </c>
      <c r="E1427">
        <v>4621191262</v>
      </c>
      <c r="F1427">
        <v>1230506</v>
      </c>
      <c r="G1427">
        <v>3.5325766280000002</v>
      </c>
      <c r="H1427">
        <v>99.724611080000003</v>
      </c>
      <c r="I1427">
        <v>120</v>
      </c>
      <c r="J1427">
        <v>3981194547.6799994</v>
      </c>
      <c r="K1427">
        <v>5.28</v>
      </c>
    </row>
    <row r="1428" spans="1:11" x14ac:dyDescent="0.3">
      <c r="A1428" t="s">
        <v>331</v>
      </c>
      <c r="B1428" t="s">
        <v>332</v>
      </c>
      <c r="C1428">
        <v>2015</v>
      </c>
      <c r="D1428">
        <v>951481569.2839998</v>
      </c>
      <c r="E1428">
        <v>1432403352</v>
      </c>
      <c r="F1428">
        <v>93419</v>
      </c>
      <c r="G1428">
        <v>8.9140088750000004</v>
      </c>
      <c r="H1428">
        <v>187.47501249999999</v>
      </c>
      <c r="I1428">
        <v>142</v>
      </c>
    </row>
    <row r="1429" spans="1:11" x14ac:dyDescent="0.3">
      <c r="A1429" t="s">
        <v>331</v>
      </c>
      <c r="B1429" t="s">
        <v>332</v>
      </c>
      <c r="C1429">
        <v>2016</v>
      </c>
      <c r="D1429">
        <v>967753095.06400037</v>
      </c>
      <c r="E1429">
        <v>1568513348</v>
      </c>
      <c r="F1429">
        <v>94677</v>
      </c>
      <c r="G1429">
        <v>12.11752725</v>
      </c>
      <c r="H1429">
        <v>180.8661884</v>
      </c>
      <c r="I1429">
        <v>143</v>
      </c>
      <c r="J1429">
        <v>951481569.2839998</v>
      </c>
      <c r="K1429">
        <v>1.71</v>
      </c>
    </row>
    <row r="1430" spans="1:11" x14ac:dyDescent="0.3">
      <c r="A1430" t="s">
        <v>331</v>
      </c>
      <c r="B1430" t="s">
        <v>332</v>
      </c>
      <c r="C1430">
        <v>2017</v>
      </c>
      <c r="D1430">
        <v>6321027057.2050009</v>
      </c>
      <c r="E1430">
        <v>1675370641</v>
      </c>
      <c r="F1430">
        <v>95843</v>
      </c>
      <c r="G1430">
        <v>6.9541621879999997</v>
      </c>
      <c r="H1430">
        <v>197.44223640000001</v>
      </c>
      <c r="I1430">
        <v>111</v>
      </c>
      <c r="J1430">
        <v>967753095.06400037</v>
      </c>
      <c r="K1430">
        <v>553.16999999999996</v>
      </c>
    </row>
    <row r="1431" spans="1:11" x14ac:dyDescent="0.3">
      <c r="A1431" t="s">
        <v>331</v>
      </c>
      <c r="B1431" t="s">
        <v>332</v>
      </c>
      <c r="C1431">
        <v>2018</v>
      </c>
      <c r="D1431">
        <v>1699770495.1439993</v>
      </c>
      <c r="E1431">
        <v>1784313927</v>
      </c>
      <c r="F1431">
        <v>96762</v>
      </c>
      <c r="G1431">
        <v>4.9394727229999997</v>
      </c>
      <c r="H1431">
        <v>185.70753719999999</v>
      </c>
      <c r="I1431">
        <v>137</v>
      </c>
      <c r="J1431">
        <v>6321027057.2050009</v>
      </c>
      <c r="K1431">
        <v>-73.11</v>
      </c>
    </row>
    <row r="1432" spans="1:11" x14ac:dyDescent="0.3">
      <c r="A1432" t="s">
        <v>331</v>
      </c>
      <c r="B1432" t="s">
        <v>332</v>
      </c>
      <c r="C1432">
        <v>2019</v>
      </c>
      <c r="D1432">
        <v>1648165120.2250006</v>
      </c>
      <c r="E1432">
        <v>1868690097</v>
      </c>
      <c r="F1432">
        <v>97625</v>
      </c>
      <c r="G1432">
        <v>5.5142920740000001</v>
      </c>
      <c r="H1432">
        <v>173.40784690000001</v>
      </c>
      <c r="I1432">
        <v>138</v>
      </c>
      <c r="J1432">
        <v>1699770495.1439993</v>
      </c>
      <c r="K1432">
        <v>-3.04</v>
      </c>
    </row>
    <row r="1433" spans="1:11" x14ac:dyDescent="0.3">
      <c r="A1433" t="s">
        <v>331</v>
      </c>
      <c r="B1433" t="s">
        <v>332</v>
      </c>
      <c r="C1433">
        <v>2020</v>
      </c>
      <c r="D1433">
        <v>1922262317.7450001</v>
      </c>
      <c r="E1433">
        <v>1382551752</v>
      </c>
      <c r="F1433">
        <v>98462</v>
      </c>
      <c r="G1433">
        <v>-11.73986083</v>
      </c>
      <c r="H1433">
        <v>153.48333160000001</v>
      </c>
      <c r="I1433">
        <v>129</v>
      </c>
      <c r="J1433">
        <v>1648165120.2250006</v>
      </c>
      <c r="K1433">
        <v>16.63</v>
      </c>
    </row>
    <row r="1434" spans="1:11" x14ac:dyDescent="0.3">
      <c r="A1434" t="s">
        <v>331</v>
      </c>
      <c r="B1434" t="s">
        <v>332</v>
      </c>
      <c r="C1434">
        <v>2021</v>
      </c>
      <c r="D1434">
        <v>1267741426.9699993</v>
      </c>
      <c r="E1434">
        <v>1487173795</v>
      </c>
      <c r="F1434">
        <v>99258</v>
      </c>
      <c r="G1434">
        <v>0.55228163100000005</v>
      </c>
      <c r="H1434">
        <v>183.770815</v>
      </c>
      <c r="I1434">
        <v>138</v>
      </c>
      <c r="J1434">
        <v>1922262317.7450001</v>
      </c>
      <c r="K1434">
        <v>-34.049999999999997</v>
      </c>
    </row>
    <row r="1435" spans="1:11" x14ac:dyDescent="0.3">
      <c r="A1435" t="s">
        <v>331</v>
      </c>
      <c r="B1435" t="s">
        <v>332</v>
      </c>
      <c r="C1435">
        <v>2022</v>
      </c>
      <c r="D1435">
        <v>1210595742.9749994</v>
      </c>
      <c r="E1435">
        <v>1999888599</v>
      </c>
      <c r="F1435">
        <v>119878</v>
      </c>
      <c r="G1435">
        <v>9.8804836639999998</v>
      </c>
      <c r="H1435">
        <v>191.57884390000001</v>
      </c>
      <c r="I1435">
        <v>135</v>
      </c>
      <c r="J1435">
        <v>1267741426.9699993</v>
      </c>
      <c r="K1435">
        <v>-4.51</v>
      </c>
    </row>
    <row r="1436" spans="1:11" x14ac:dyDescent="0.3">
      <c r="A1436" t="s">
        <v>331</v>
      </c>
      <c r="B1436" t="s">
        <v>332</v>
      </c>
      <c r="C1436">
        <v>2023</v>
      </c>
      <c r="D1436">
        <v>1096199753.224</v>
      </c>
      <c r="E1436">
        <v>2171547935</v>
      </c>
      <c r="F1436">
        <v>119773</v>
      </c>
      <c r="G1436">
        <v>5.1798099669999997</v>
      </c>
      <c r="H1436">
        <v>183.8421166</v>
      </c>
      <c r="I1436">
        <v>133</v>
      </c>
      <c r="J1436">
        <v>1210595742.9749994</v>
      </c>
      <c r="K1436">
        <v>-9.4499999999999993</v>
      </c>
    </row>
    <row r="1437" spans="1:11" x14ac:dyDescent="0.3">
      <c r="A1437" t="s">
        <v>331</v>
      </c>
      <c r="B1437" t="s">
        <v>332</v>
      </c>
      <c r="C1437">
        <v>2024</v>
      </c>
      <c r="D1437">
        <v>1189084076.8579998</v>
      </c>
      <c r="E1437">
        <v>2228608684</v>
      </c>
      <c r="F1437">
        <v>121354</v>
      </c>
      <c r="G1437">
        <v>3.3466742900000002</v>
      </c>
      <c r="H1437">
        <v>175.8729826</v>
      </c>
      <c r="I1437">
        <v>119</v>
      </c>
      <c r="J1437">
        <v>1096199753.224</v>
      </c>
      <c r="K1437">
        <v>8.4700000000000006</v>
      </c>
    </row>
    <row r="1438" spans="1:11" x14ac:dyDescent="0.3">
      <c r="A1438" t="s">
        <v>333</v>
      </c>
      <c r="B1438" t="s">
        <v>334</v>
      </c>
      <c r="C1438">
        <v>2015</v>
      </c>
      <c r="D1438">
        <v>1585646347.9559996</v>
      </c>
      <c r="E1438">
        <v>5755457836</v>
      </c>
      <c r="F1438">
        <v>7071502</v>
      </c>
      <c r="G1438">
        <v>5.4680413809999999</v>
      </c>
      <c r="H1438">
        <v>69.128137879999997</v>
      </c>
      <c r="I1438">
        <v>133</v>
      </c>
    </row>
    <row r="1439" spans="1:11" x14ac:dyDescent="0.3">
      <c r="A1439" t="s">
        <v>333</v>
      </c>
      <c r="B1439" t="s">
        <v>334</v>
      </c>
      <c r="C1439">
        <v>2016</v>
      </c>
      <c r="D1439">
        <v>1603978737.3679996</v>
      </c>
      <c r="E1439">
        <v>6071167584</v>
      </c>
      <c r="F1439">
        <v>7200884</v>
      </c>
      <c r="G1439">
        <v>4.214903874</v>
      </c>
      <c r="H1439">
        <v>66.445040980000002</v>
      </c>
      <c r="I1439">
        <v>135</v>
      </c>
      <c r="J1439">
        <v>1585646347.9559996</v>
      </c>
      <c r="K1439">
        <v>1.1599999999999999</v>
      </c>
    </row>
    <row r="1440" spans="1:11" x14ac:dyDescent="0.3">
      <c r="A1440" t="s">
        <v>333</v>
      </c>
      <c r="B1440" t="s">
        <v>334</v>
      </c>
      <c r="C1440">
        <v>2017</v>
      </c>
      <c r="D1440">
        <v>1734114022.4220004</v>
      </c>
      <c r="E1440">
        <v>6387424240</v>
      </c>
      <c r="F1440">
        <v>7324386</v>
      </c>
      <c r="G1440">
        <v>4.0079125959999997</v>
      </c>
      <c r="H1440">
        <v>58.208860250000001</v>
      </c>
      <c r="I1440">
        <v>136</v>
      </c>
      <c r="J1440">
        <v>1603978737.3679996</v>
      </c>
      <c r="K1440">
        <v>8.11</v>
      </c>
    </row>
    <row r="1441" spans="1:11" x14ac:dyDescent="0.3">
      <c r="A1441" t="s">
        <v>333</v>
      </c>
      <c r="B1441" t="s">
        <v>334</v>
      </c>
      <c r="C1441">
        <v>2018</v>
      </c>
      <c r="D1441">
        <v>2046437924.8290012</v>
      </c>
      <c r="E1441">
        <v>7029215766</v>
      </c>
      <c r="F1441">
        <v>7458206</v>
      </c>
      <c r="G1441">
        <v>4.7951833309999996</v>
      </c>
      <c r="H1441">
        <v>57.573738849999998</v>
      </c>
      <c r="I1441">
        <v>130</v>
      </c>
      <c r="J1441">
        <v>1734114022.4220004</v>
      </c>
      <c r="K1441">
        <v>18.010000000000002</v>
      </c>
    </row>
    <row r="1442" spans="1:11" x14ac:dyDescent="0.3">
      <c r="A1442" t="s">
        <v>333</v>
      </c>
      <c r="B1442" t="s">
        <v>334</v>
      </c>
      <c r="C1442">
        <v>2019</v>
      </c>
      <c r="D1442">
        <v>2021730859.8889992</v>
      </c>
      <c r="E1442">
        <v>6992942459</v>
      </c>
      <c r="F1442">
        <v>7619925</v>
      </c>
      <c r="G1442">
        <v>4.9194926050000003</v>
      </c>
      <c r="H1442">
        <v>56.339850069999997</v>
      </c>
      <c r="I1442">
        <v>130</v>
      </c>
      <c r="J1442">
        <v>2046437924.8290012</v>
      </c>
      <c r="K1442">
        <v>-1.21</v>
      </c>
    </row>
    <row r="1443" spans="1:11" x14ac:dyDescent="0.3">
      <c r="A1443" t="s">
        <v>333</v>
      </c>
      <c r="B1443" t="s">
        <v>334</v>
      </c>
      <c r="C1443">
        <v>2020</v>
      </c>
      <c r="D1443">
        <v>1957380403.9180002</v>
      </c>
      <c r="E1443">
        <v>7486031562</v>
      </c>
      <c r="F1443">
        <v>7788054</v>
      </c>
      <c r="G1443">
        <v>2.159001312</v>
      </c>
      <c r="H1443">
        <v>55.065951400000003</v>
      </c>
      <c r="I1443">
        <v>128</v>
      </c>
      <c r="J1443">
        <v>2021730859.8889992</v>
      </c>
      <c r="K1443">
        <v>-3.18</v>
      </c>
    </row>
    <row r="1444" spans="1:11" x14ac:dyDescent="0.3">
      <c r="A1444" t="s">
        <v>333</v>
      </c>
      <c r="B1444" t="s">
        <v>334</v>
      </c>
      <c r="C1444">
        <v>2021</v>
      </c>
      <c r="D1444">
        <v>2119323098.674</v>
      </c>
      <c r="E1444">
        <v>8541668141</v>
      </c>
      <c r="F1444">
        <v>7936176</v>
      </c>
      <c r="G1444">
        <v>5.1356292909999999</v>
      </c>
      <c r="H1444">
        <v>56.37755808</v>
      </c>
      <c r="I1444">
        <v>132</v>
      </c>
      <c r="J1444">
        <v>1957380403.9180002</v>
      </c>
      <c r="K1444">
        <v>8.27</v>
      </c>
    </row>
    <row r="1445" spans="1:11" x14ac:dyDescent="0.3">
      <c r="A1445" t="s">
        <v>333</v>
      </c>
      <c r="B1445" t="s">
        <v>334</v>
      </c>
      <c r="C1445">
        <v>2022</v>
      </c>
      <c r="D1445">
        <v>2696521411.3919988</v>
      </c>
      <c r="E1445">
        <v>8646453099</v>
      </c>
      <c r="F1445">
        <v>8068616</v>
      </c>
      <c r="G1445">
        <v>6.2944369199999999</v>
      </c>
      <c r="H1445">
        <v>61.575092400000003</v>
      </c>
      <c r="I1445">
        <v>128</v>
      </c>
      <c r="J1445">
        <v>2119323098.674</v>
      </c>
      <c r="K1445">
        <v>27.24</v>
      </c>
    </row>
    <row r="1446" spans="1:11" x14ac:dyDescent="0.3">
      <c r="A1446" t="s">
        <v>333</v>
      </c>
      <c r="B1446" t="s">
        <v>334</v>
      </c>
      <c r="C1446">
        <v>2023</v>
      </c>
      <c r="D1446">
        <v>2911116870.5609994</v>
      </c>
      <c r="E1446">
        <v>9723300577</v>
      </c>
      <c r="F1446">
        <v>8223850</v>
      </c>
      <c r="G1446">
        <v>6.1976296939999997</v>
      </c>
      <c r="H1446">
        <v>59.929177699999997</v>
      </c>
      <c r="I1446">
        <v>124</v>
      </c>
      <c r="J1446">
        <v>2696521411.3919988</v>
      </c>
      <c r="K1446">
        <v>7.96</v>
      </c>
    </row>
    <row r="1447" spans="1:11" x14ac:dyDescent="0.3">
      <c r="A1447" t="s">
        <v>333</v>
      </c>
      <c r="B1447" t="s">
        <v>334</v>
      </c>
      <c r="C1447">
        <v>2024</v>
      </c>
      <c r="D1447">
        <v>2744614407.4740009</v>
      </c>
      <c r="E1447">
        <v>10643440332</v>
      </c>
      <c r="F1447">
        <v>8406558</v>
      </c>
      <c r="G1447">
        <v>6.526513768</v>
      </c>
      <c r="I1447">
        <v>108</v>
      </c>
      <c r="J1447">
        <v>2911116870.5609994</v>
      </c>
      <c r="K1447">
        <v>-5.72</v>
      </c>
    </row>
    <row r="1448" spans="1:11" x14ac:dyDescent="0.3">
      <c r="A1448" t="s">
        <v>335</v>
      </c>
      <c r="B1448" t="s">
        <v>336</v>
      </c>
      <c r="C1448">
        <v>2015</v>
      </c>
      <c r="D1448">
        <v>428618751550.69983</v>
      </c>
      <c r="E1448">
        <v>401000000000</v>
      </c>
      <c r="F1448">
        <v>70540795</v>
      </c>
      <c r="G1448">
        <v>3.134047249</v>
      </c>
      <c r="H1448">
        <v>124.83966220000001</v>
      </c>
      <c r="I1448">
        <v>18</v>
      </c>
    </row>
    <row r="1449" spans="1:11" x14ac:dyDescent="0.3">
      <c r="A1449" t="s">
        <v>335</v>
      </c>
      <c r="B1449" t="s">
        <v>336</v>
      </c>
      <c r="C1449">
        <v>2016</v>
      </c>
      <c r="D1449">
        <v>430774591000.03961</v>
      </c>
      <c r="E1449">
        <v>413000000000</v>
      </c>
      <c r="F1449">
        <v>70859841</v>
      </c>
      <c r="G1449">
        <v>3.4351577170000001</v>
      </c>
      <c r="H1449">
        <v>120.57522729999999</v>
      </c>
      <c r="I1449">
        <v>18</v>
      </c>
      <c r="J1449">
        <v>428618751550.69983</v>
      </c>
      <c r="K1449">
        <v>0.5</v>
      </c>
    </row>
    <row r="1450" spans="1:11" x14ac:dyDescent="0.3">
      <c r="A1450" t="s">
        <v>335</v>
      </c>
      <c r="B1450" t="s">
        <v>336</v>
      </c>
      <c r="C1450">
        <v>2017</v>
      </c>
      <c r="D1450">
        <v>473268075385.69971</v>
      </c>
      <c r="E1450">
        <v>456000000000</v>
      </c>
      <c r="F1450">
        <v>71160187</v>
      </c>
      <c r="G1450">
        <v>4.1776810319999997</v>
      </c>
      <c r="H1450">
        <v>120.8914274</v>
      </c>
      <c r="I1450">
        <v>18</v>
      </c>
      <c r="J1450">
        <v>430774591000.03961</v>
      </c>
      <c r="K1450">
        <v>9.86</v>
      </c>
    </row>
    <row r="1451" spans="1:11" x14ac:dyDescent="0.3">
      <c r="A1451" t="s">
        <v>335</v>
      </c>
      <c r="B1451" t="s">
        <v>336</v>
      </c>
      <c r="C1451">
        <v>2018</v>
      </c>
      <c r="D1451">
        <v>504970308230.45978</v>
      </c>
      <c r="E1451">
        <v>507000000000</v>
      </c>
      <c r="F1451">
        <v>71376079</v>
      </c>
      <c r="G1451">
        <v>4.2228702870000001</v>
      </c>
      <c r="H1451">
        <v>120.8418647</v>
      </c>
      <c r="I1451">
        <v>21</v>
      </c>
      <c r="J1451">
        <v>473268075385.69971</v>
      </c>
      <c r="K1451">
        <v>6.7</v>
      </c>
    </row>
    <row r="1452" spans="1:11" x14ac:dyDescent="0.3">
      <c r="A1452" t="s">
        <v>335</v>
      </c>
      <c r="B1452" t="s">
        <v>336</v>
      </c>
      <c r="C1452">
        <v>2019</v>
      </c>
      <c r="D1452">
        <v>492532100556.93787</v>
      </c>
      <c r="E1452">
        <v>544000000000</v>
      </c>
      <c r="F1452">
        <v>71522271</v>
      </c>
      <c r="G1452">
        <v>2.1145577960000002</v>
      </c>
      <c r="H1452">
        <v>109.6895147</v>
      </c>
      <c r="I1452">
        <v>22</v>
      </c>
      <c r="J1452">
        <v>504970308230.45978</v>
      </c>
      <c r="K1452">
        <v>-2.46</v>
      </c>
    </row>
    <row r="1453" spans="1:11" x14ac:dyDescent="0.3">
      <c r="A1453" t="s">
        <v>335</v>
      </c>
      <c r="B1453" t="s">
        <v>336</v>
      </c>
      <c r="C1453">
        <v>2020</v>
      </c>
      <c r="D1453">
        <v>463267704680.10144</v>
      </c>
      <c r="E1453">
        <v>500000000000</v>
      </c>
      <c r="F1453">
        <v>71641484</v>
      </c>
      <c r="G1453">
        <v>-6.09306313</v>
      </c>
      <c r="H1453">
        <v>97.662441939999994</v>
      </c>
      <c r="I1453">
        <v>22</v>
      </c>
      <c r="J1453">
        <v>492532100556.93787</v>
      </c>
      <c r="K1453">
        <v>-5.94</v>
      </c>
    </row>
    <row r="1454" spans="1:11" x14ac:dyDescent="0.3">
      <c r="A1454" t="s">
        <v>335</v>
      </c>
      <c r="B1454" t="s">
        <v>336</v>
      </c>
      <c r="C1454">
        <v>2021</v>
      </c>
      <c r="D1454">
        <v>544011570993.78595</v>
      </c>
      <c r="E1454">
        <v>506000000000</v>
      </c>
      <c r="F1454">
        <v>71727332</v>
      </c>
      <c r="G1454">
        <v>1.558582321</v>
      </c>
      <c r="H1454">
        <v>117.1314722</v>
      </c>
      <c r="I1454">
        <v>24</v>
      </c>
      <c r="J1454">
        <v>463267704680.10144</v>
      </c>
      <c r="K1454">
        <v>17.43</v>
      </c>
    </row>
    <row r="1455" spans="1:11" x14ac:dyDescent="0.3">
      <c r="A1455" t="s">
        <v>335</v>
      </c>
      <c r="B1455" t="s">
        <v>336</v>
      </c>
      <c r="C1455">
        <v>2022</v>
      </c>
      <c r="D1455">
        <v>574848486784.38379</v>
      </c>
      <c r="E1455">
        <v>496000000000</v>
      </c>
      <c r="F1455">
        <v>71735329</v>
      </c>
      <c r="G1455">
        <v>2.6378421360000002</v>
      </c>
      <c r="H1455">
        <v>132.81345830000001</v>
      </c>
      <c r="I1455">
        <v>24</v>
      </c>
      <c r="J1455">
        <v>544011570993.78595</v>
      </c>
      <c r="K1455">
        <v>5.67</v>
      </c>
    </row>
    <row r="1456" spans="1:11" x14ac:dyDescent="0.3">
      <c r="A1456" t="s">
        <v>335</v>
      </c>
      <c r="B1456" t="s">
        <v>336</v>
      </c>
      <c r="C1456">
        <v>2023</v>
      </c>
      <c r="D1456">
        <v>570148164057.17065</v>
      </c>
      <c r="E1456">
        <v>517000000000</v>
      </c>
      <c r="F1456">
        <v>71702435</v>
      </c>
      <c r="G1456">
        <v>2.2488343799999999</v>
      </c>
      <c r="H1456">
        <v>128.79235969999999</v>
      </c>
      <c r="I1456">
        <v>23</v>
      </c>
      <c r="J1456">
        <v>574848486784.38379</v>
      </c>
      <c r="K1456">
        <v>-0.82</v>
      </c>
    </row>
    <row r="1457" spans="1:11" x14ac:dyDescent="0.3">
      <c r="A1457" t="s">
        <v>335</v>
      </c>
      <c r="B1457" t="s">
        <v>336</v>
      </c>
      <c r="C1457">
        <v>2024</v>
      </c>
      <c r="D1457">
        <v>601518806706.33984</v>
      </c>
      <c r="E1457">
        <v>529000000000</v>
      </c>
      <c r="F1457">
        <v>71668011</v>
      </c>
      <c r="G1457">
        <v>2.9485998659999999</v>
      </c>
      <c r="H1457">
        <v>135.7249358</v>
      </c>
      <c r="I1457">
        <v>21</v>
      </c>
      <c r="J1457">
        <v>570148164057.17065</v>
      </c>
      <c r="K1457">
        <v>5.5</v>
      </c>
    </row>
    <row r="1458" spans="1:11" x14ac:dyDescent="0.3">
      <c r="A1458" t="s">
        <v>337</v>
      </c>
      <c r="B1458" t="s">
        <v>338</v>
      </c>
      <c r="C1458">
        <v>2015</v>
      </c>
      <c r="D1458">
        <v>1795209722</v>
      </c>
      <c r="E1458">
        <v>8271431485</v>
      </c>
      <c r="F1458">
        <v>8643840</v>
      </c>
      <c r="G1458">
        <v>6.0193033180000004</v>
      </c>
      <c r="H1458">
        <v>49.937816069999997</v>
      </c>
      <c r="I1458">
        <v>132</v>
      </c>
    </row>
    <row r="1459" spans="1:11" x14ac:dyDescent="0.3">
      <c r="A1459" t="s">
        <v>337</v>
      </c>
      <c r="B1459" t="s">
        <v>338</v>
      </c>
      <c r="C1459">
        <v>2016</v>
      </c>
      <c r="D1459">
        <v>1798640624</v>
      </c>
      <c r="E1459">
        <v>6992416097</v>
      </c>
      <c r="F1459">
        <v>8865631</v>
      </c>
      <c r="G1459">
        <v>6.9</v>
      </c>
      <c r="H1459">
        <v>55.724644689999998</v>
      </c>
      <c r="I1459">
        <v>134</v>
      </c>
      <c r="J1459">
        <v>1795209722</v>
      </c>
      <c r="K1459">
        <v>0.19</v>
      </c>
    </row>
    <row r="1460" spans="1:11" x14ac:dyDescent="0.3">
      <c r="A1460" t="s">
        <v>337</v>
      </c>
      <c r="B1460" t="s">
        <v>338</v>
      </c>
      <c r="C1460">
        <v>2017</v>
      </c>
      <c r="D1460">
        <v>1967651902</v>
      </c>
      <c r="E1460">
        <v>7536402853</v>
      </c>
      <c r="F1460">
        <v>9085946</v>
      </c>
      <c r="G1460">
        <v>7.1000004189999997</v>
      </c>
      <c r="H1460">
        <v>53.786104610000002</v>
      </c>
      <c r="I1460">
        <v>133</v>
      </c>
      <c r="J1460">
        <v>1798640624</v>
      </c>
      <c r="K1460">
        <v>9.4</v>
      </c>
    </row>
    <row r="1461" spans="1:11" x14ac:dyDescent="0.3">
      <c r="A1461" t="s">
        <v>337</v>
      </c>
      <c r="B1461" t="s">
        <v>338</v>
      </c>
      <c r="C1461">
        <v>2018</v>
      </c>
      <c r="D1461">
        <v>2147716086</v>
      </c>
      <c r="E1461">
        <v>7764999999</v>
      </c>
      <c r="F1461">
        <v>9307333</v>
      </c>
      <c r="G1461">
        <v>7.5999988900000002</v>
      </c>
      <c r="H1461">
        <v>55.846111409999999</v>
      </c>
      <c r="I1461">
        <v>129</v>
      </c>
      <c r="J1461">
        <v>1967651902</v>
      </c>
      <c r="K1461">
        <v>9.15</v>
      </c>
    </row>
    <row r="1462" spans="1:11" x14ac:dyDescent="0.3">
      <c r="A1462" t="s">
        <v>337</v>
      </c>
      <c r="B1462" t="s">
        <v>338</v>
      </c>
      <c r="C1462">
        <v>2019</v>
      </c>
      <c r="D1462">
        <v>1783946246</v>
      </c>
      <c r="E1462">
        <v>8300813599</v>
      </c>
      <c r="F1462">
        <v>9529966</v>
      </c>
      <c r="G1462">
        <v>7.4000001629999996</v>
      </c>
      <c r="H1462">
        <v>56.045015909999996</v>
      </c>
      <c r="I1462">
        <v>135</v>
      </c>
      <c r="J1462">
        <v>2147716086</v>
      </c>
      <c r="K1462">
        <v>-16.940000000000001</v>
      </c>
    </row>
    <row r="1463" spans="1:11" x14ac:dyDescent="0.3">
      <c r="A1463" t="s">
        <v>337</v>
      </c>
      <c r="B1463" t="s">
        <v>338</v>
      </c>
      <c r="C1463">
        <v>2020</v>
      </c>
      <c r="D1463">
        <v>1418269868</v>
      </c>
      <c r="E1463">
        <v>8133963551</v>
      </c>
      <c r="F1463">
        <v>9749310</v>
      </c>
      <c r="G1463">
        <v>4.4000011160000003</v>
      </c>
      <c r="H1463">
        <v>55.749104019999997</v>
      </c>
      <c r="I1463">
        <v>135</v>
      </c>
      <c r="J1463">
        <v>1783946246</v>
      </c>
      <c r="K1463">
        <v>-20.5</v>
      </c>
    </row>
    <row r="1464" spans="1:11" x14ac:dyDescent="0.3">
      <c r="A1464" t="s">
        <v>337</v>
      </c>
      <c r="B1464" t="s">
        <v>338</v>
      </c>
      <c r="C1464">
        <v>2021</v>
      </c>
      <c r="D1464">
        <v>2953599992</v>
      </c>
      <c r="E1464">
        <v>8937805347</v>
      </c>
      <c r="F1464">
        <v>9966908</v>
      </c>
      <c r="G1464">
        <v>9.3999995500000004</v>
      </c>
      <c r="H1464">
        <v>71.825937440000004</v>
      </c>
      <c r="I1464">
        <v>129</v>
      </c>
      <c r="J1464">
        <v>1418269868</v>
      </c>
      <c r="K1464">
        <v>108.25</v>
      </c>
    </row>
    <row r="1465" spans="1:11" x14ac:dyDescent="0.3">
      <c r="A1465" t="s">
        <v>337</v>
      </c>
      <c r="B1465" t="s">
        <v>338</v>
      </c>
      <c r="C1465">
        <v>2022</v>
      </c>
      <c r="D1465">
        <v>3338120940</v>
      </c>
      <c r="E1465">
        <v>10713525200</v>
      </c>
      <c r="F1465">
        <v>10182222</v>
      </c>
      <c r="G1465">
        <v>8.0000003379999995</v>
      </c>
      <c r="H1465">
        <v>65.435511590000004</v>
      </c>
      <c r="I1465">
        <v>125</v>
      </c>
      <c r="J1465">
        <v>2953599992</v>
      </c>
      <c r="K1465">
        <v>13.02</v>
      </c>
    </row>
    <row r="1466" spans="1:11" x14ac:dyDescent="0.3">
      <c r="A1466" t="s">
        <v>337</v>
      </c>
      <c r="B1466" t="s">
        <v>338</v>
      </c>
      <c r="C1466">
        <v>2023</v>
      </c>
      <c r="D1466">
        <v>2521170440</v>
      </c>
      <c r="E1466">
        <v>12244169293</v>
      </c>
      <c r="F1466">
        <v>10389799</v>
      </c>
      <c r="G1466">
        <v>8.2999992169999999</v>
      </c>
      <c r="H1466">
        <v>65.634701039999996</v>
      </c>
      <c r="I1466">
        <v>125</v>
      </c>
      <c r="J1466">
        <v>3338120940</v>
      </c>
      <c r="K1466">
        <v>-24.47</v>
      </c>
    </row>
    <row r="1467" spans="1:11" x14ac:dyDescent="0.3">
      <c r="A1467" t="s">
        <v>339</v>
      </c>
      <c r="B1467" t="s">
        <v>340</v>
      </c>
      <c r="C1467">
        <v>2017</v>
      </c>
      <c r="D1467">
        <v>48348525.520000011</v>
      </c>
      <c r="E1467">
        <v>1584878400</v>
      </c>
      <c r="F1467">
        <v>1251703</v>
      </c>
      <c r="G1467">
        <v>-3.1824152250000002</v>
      </c>
      <c r="H1467">
        <v>58.634750779999997</v>
      </c>
      <c r="I1467">
        <v>168</v>
      </c>
    </row>
    <row r="1468" spans="1:11" x14ac:dyDescent="0.3">
      <c r="A1468" t="s">
        <v>339</v>
      </c>
      <c r="B1468" t="s">
        <v>340</v>
      </c>
      <c r="C1468">
        <v>2018</v>
      </c>
      <c r="D1468">
        <v>46184774.720000014</v>
      </c>
      <c r="E1468">
        <v>1555988600</v>
      </c>
      <c r="F1468">
        <v>1275959</v>
      </c>
      <c r="G1468">
        <v>-0.46650217100000002</v>
      </c>
      <c r="H1468">
        <v>64.819183120000005</v>
      </c>
      <c r="I1468">
        <v>164</v>
      </c>
      <c r="J1468">
        <v>48348525.520000011</v>
      </c>
      <c r="K1468">
        <v>-4.4800000000000004</v>
      </c>
    </row>
    <row r="1469" spans="1:11" x14ac:dyDescent="0.3">
      <c r="A1469" t="s">
        <v>339</v>
      </c>
      <c r="B1469" t="s">
        <v>340</v>
      </c>
      <c r="C1469">
        <v>2019</v>
      </c>
      <c r="D1469">
        <v>282845969.09999996</v>
      </c>
      <c r="E1469">
        <v>2032550400</v>
      </c>
      <c r="F1469">
        <v>1300945</v>
      </c>
      <c r="G1469">
        <v>24.21288401</v>
      </c>
      <c r="H1469">
        <v>70.614244060000004</v>
      </c>
      <c r="I1469">
        <v>149</v>
      </c>
      <c r="J1469">
        <v>46184774.720000014</v>
      </c>
      <c r="K1469">
        <v>512.41999999999996</v>
      </c>
    </row>
    <row r="1470" spans="1:11" x14ac:dyDescent="0.3">
      <c r="A1470" t="s">
        <v>339</v>
      </c>
      <c r="B1470" t="s">
        <v>340</v>
      </c>
      <c r="C1470">
        <v>2020</v>
      </c>
      <c r="D1470">
        <v>499778477.47999996</v>
      </c>
      <c r="E1470">
        <v>2162619200</v>
      </c>
      <c r="F1470">
        <v>1326053</v>
      </c>
      <c r="G1470">
        <v>31.725741670000001</v>
      </c>
      <c r="H1470">
        <v>84.750311100000005</v>
      </c>
      <c r="I1470">
        <v>142</v>
      </c>
      <c r="J1470">
        <v>282845969.09999996</v>
      </c>
      <c r="K1470">
        <v>76.7</v>
      </c>
    </row>
    <row r="1471" spans="1:11" x14ac:dyDescent="0.3">
      <c r="A1471" t="s">
        <v>339</v>
      </c>
      <c r="B1471" t="s">
        <v>340</v>
      </c>
      <c r="C1471">
        <v>2021</v>
      </c>
      <c r="D1471">
        <v>916606389.10000002</v>
      </c>
      <c r="E1471">
        <v>3625024300</v>
      </c>
      <c r="F1471">
        <v>1350139</v>
      </c>
      <c r="G1471">
        <v>5.3698011939999999</v>
      </c>
      <c r="H1471">
        <v>99.860000940000006</v>
      </c>
      <c r="I1471">
        <v>141</v>
      </c>
      <c r="J1471">
        <v>499778477.47999996</v>
      </c>
      <c r="K1471">
        <v>83.4</v>
      </c>
    </row>
    <row r="1472" spans="1:11" x14ac:dyDescent="0.3">
      <c r="A1472" t="s">
        <v>339</v>
      </c>
      <c r="B1472" t="s">
        <v>340</v>
      </c>
      <c r="C1472">
        <v>2022</v>
      </c>
      <c r="D1472">
        <v>943547572.11999977</v>
      </c>
      <c r="E1472">
        <v>3208599900</v>
      </c>
      <c r="F1472">
        <v>1369295</v>
      </c>
      <c r="G1472">
        <v>-20.522480229999999</v>
      </c>
      <c r="H1472">
        <v>97.621108820000003</v>
      </c>
      <c r="I1472">
        <v>138</v>
      </c>
      <c r="J1472">
        <v>916606389.10000002</v>
      </c>
      <c r="K1472">
        <v>2.94</v>
      </c>
    </row>
    <row r="1473" spans="1:11" x14ac:dyDescent="0.3">
      <c r="A1473" t="s">
        <v>339</v>
      </c>
      <c r="B1473" t="s">
        <v>340</v>
      </c>
      <c r="C1473">
        <v>2023</v>
      </c>
      <c r="D1473">
        <v>327444151.8599999</v>
      </c>
      <c r="E1473">
        <v>2079767200</v>
      </c>
      <c r="F1473">
        <v>1384286</v>
      </c>
      <c r="G1473">
        <v>-18.135904910000001</v>
      </c>
      <c r="H1473">
        <v>89.304649100000006</v>
      </c>
      <c r="I1473">
        <v>142</v>
      </c>
      <c r="J1473">
        <v>943547572.11999977</v>
      </c>
      <c r="K1473">
        <v>-65.3</v>
      </c>
    </row>
    <row r="1474" spans="1:11" x14ac:dyDescent="0.3">
      <c r="A1474" t="s">
        <v>341</v>
      </c>
      <c r="B1474" t="s">
        <v>342</v>
      </c>
      <c r="C1474">
        <v>2017</v>
      </c>
      <c r="D1474">
        <v>66550841.540000029</v>
      </c>
      <c r="E1474">
        <v>459976847.10000002</v>
      </c>
      <c r="F1474">
        <v>105356</v>
      </c>
      <c r="G1474">
        <v>3.2023197620000001</v>
      </c>
      <c r="H1474">
        <v>88.04349259</v>
      </c>
      <c r="I1474">
        <v>165</v>
      </c>
    </row>
    <row r="1475" spans="1:11" x14ac:dyDescent="0.3">
      <c r="A1475" t="s">
        <v>341</v>
      </c>
      <c r="B1475" t="s">
        <v>342</v>
      </c>
      <c r="C1475">
        <v>2018</v>
      </c>
      <c r="D1475">
        <v>49262103.686999992</v>
      </c>
      <c r="E1475">
        <v>493530766.89999998</v>
      </c>
      <c r="F1475">
        <v>105567</v>
      </c>
      <c r="G1475">
        <v>0.52782808299999995</v>
      </c>
      <c r="H1475">
        <v>86.103970270000005</v>
      </c>
      <c r="I1475">
        <v>163</v>
      </c>
      <c r="J1475">
        <v>66550841.540000029</v>
      </c>
      <c r="K1475">
        <v>-25.98</v>
      </c>
    </row>
    <row r="1476" spans="1:11" x14ac:dyDescent="0.3">
      <c r="A1476" t="s">
        <v>341</v>
      </c>
      <c r="B1476" t="s">
        <v>342</v>
      </c>
      <c r="C1476">
        <v>2019</v>
      </c>
      <c r="D1476">
        <v>84947376.986999989</v>
      </c>
      <c r="E1476">
        <v>506031247.60000002</v>
      </c>
      <c r="F1476">
        <v>105669</v>
      </c>
      <c r="G1476">
        <v>-0.28521078399999999</v>
      </c>
      <c r="H1476">
        <v>88.045385530000004</v>
      </c>
      <c r="I1476">
        <v>157</v>
      </c>
      <c r="J1476">
        <v>49262103.686999992</v>
      </c>
      <c r="K1476">
        <v>72.44</v>
      </c>
    </row>
    <row r="1477" spans="1:11" x14ac:dyDescent="0.3">
      <c r="A1477" t="s">
        <v>341</v>
      </c>
      <c r="B1477" t="s">
        <v>342</v>
      </c>
      <c r="C1477">
        <v>2020</v>
      </c>
      <c r="D1477">
        <v>33925817.053999998</v>
      </c>
      <c r="E1477">
        <v>506571486.60000002</v>
      </c>
      <c r="F1477">
        <v>105704</v>
      </c>
      <c r="G1477">
        <v>1.806187153</v>
      </c>
      <c r="H1477">
        <v>81.849496680000001</v>
      </c>
      <c r="I1477">
        <v>159</v>
      </c>
      <c r="J1477">
        <v>84947376.986999989</v>
      </c>
      <c r="K1477">
        <v>-60.06</v>
      </c>
    </row>
    <row r="1478" spans="1:11" x14ac:dyDescent="0.3">
      <c r="A1478" t="s">
        <v>341</v>
      </c>
      <c r="B1478" t="s">
        <v>342</v>
      </c>
      <c r="C1478">
        <v>2021</v>
      </c>
      <c r="D1478">
        <v>25585737.769000009</v>
      </c>
      <c r="E1478">
        <v>519306339.30000001</v>
      </c>
      <c r="F1478">
        <v>105490</v>
      </c>
      <c r="G1478">
        <v>-0.93491989200000003</v>
      </c>
      <c r="H1478">
        <v>68.546151750000007</v>
      </c>
      <c r="I1478">
        <v>161</v>
      </c>
      <c r="J1478">
        <v>33925817.053999998</v>
      </c>
      <c r="K1478">
        <v>-24.58</v>
      </c>
    </row>
    <row r="1479" spans="1:11" x14ac:dyDescent="0.3">
      <c r="A1479" t="s">
        <v>341</v>
      </c>
      <c r="B1479" t="s">
        <v>342</v>
      </c>
      <c r="C1479">
        <v>2022</v>
      </c>
      <c r="D1479">
        <v>123728886.55800001</v>
      </c>
      <c r="E1479">
        <v>556514556.39999998</v>
      </c>
      <c r="F1479">
        <v>105042</v>
      </c>
      <c r="G1479">
        <v>-2.1285487650000001</v>
      </c>
      <c r="H1479">
        <v>70.127271829999998</v>
      </c>
      <c r="I1479">
        <v>149</v>
      </c>
      <c r="J1479">
        <v>25585737.769000009</v>
      </c>
      <c r="K1479">
        <v>383.59</v>
      </c>
    </row>
    <row r="1480" spans="1:11" x14ac:dyDescent="0.3">
      <c r="A1480" t="s">
        <v>341</v>
      </c>
      <c r="B1480" t="s">
        <v>342</v>
      </c>
      <c r="C1480">
        <v>2023</v>
      </c>
      <c r="D1480">
        <v>23867607.037</v>
      </c>
      <c r="E1480">
        <v>591139733.60000002</v>
      </c>
      <c r="F1480">
        <v>104597</v>
      </c>
      <c r="G1480">
        <v>2.7901471550000001</v>
      </c>
      <c r="H1480">
        <v>79.623925700000001</v>
      </c>
      <c r="I1480">
        <v>157</v>
      </c>
      <c r="J1480">
        <v>123728886.55800001</v>
      </c>
      <c r="K1480">
        <v>-80.709999999999994</v>
      </c>
    </row>
    <row r="1481" spans="1:11" x14ac:dyDescent="0.3">
      <c r="A1481" t="s">
        <v>343</v>
      </c>
      <c r="B1481" t="s">
        <v>344</v>
      </c>
      <c r="C1481">
        <v>2015</v>
      </c>
      <c r="D1481">
        <v>21495559098.030998</v>
      </c>
      <c r="E1481">
        <v>26841141793</v>
      </c>
      <c r="F1481">
        <v>1349667</v>
      </c>
      <c r="G1481">
        <v>-0.40628328899999999</v>
      </c>
      <c r="I1481">
        <v>76</v>
      </c>
    </row>
    <row r="1482" spans="1:11" x14ac:dyDescent="0.3">
      <c r="A1482" t="s">
        <v>343</v>
      </c>
      <c r="B1482" t="s">
        <v>344</v>
      </c>
      <c r="C1482">
        <v>2016</v>
      </c>
      <c r="D1482">
        <v>15217264231.577995</v>
      </c>
      <c r="E1482">
        <v>23624322193</v>
      </c>
      <c r="F1482">
        <v>1353895</v>
      </c>
      <c r="G1482">
        <v>-7.5363630539999997</v>
      </c>
      <c r="I1482">
        <v>85</v>
      </c>
      <c r="J1482">
        <v>21495559098.030998</v>
      </c>
      <c r="K1482">
        <v>-29.21</v>
      </c>
    </row>
    <row r="1483" spans="1:11" x14ac:dyDescent="0.3">
      <c r="A1483" t="s">
        <v>343</v>
      </c>
      <c r="B1483" t="s">
        <v>344</v>
      </c>
      <c r="C1483">
        <v>2017</v>
      </c>
      <c r="D1483">
        <v>17481752259.907009</v>
      </c>
      <c r="E1483">
        <v>23830750901</v>
      </c>
      <c r="F1483">
        <v>1356633</v>
      </c>
      <c r="G1483">
        <v>-4.8727494690000004</v>
      </c>
      <c r="I1483">
        <v>83</v>
      </c>
      <c r="J1483">
        <v>15217264231.577995</v>
      </c>
      <c r="K1483">
        <v>14.88</v>
      </c>
    </row>
    <row r="1484" spans="1:11" x14ac:dyDescent="0.3">
      <c r="A1484" t="s">
        <v>343</v>
      </c>
      <c r="B1484" t="s">
        <v>344</v>
      </c>
      <c r="C1484">
        <v>2018</v>
      </c>
      <c r="D1484">
        <v>21060526001.349003</v>
      </c>
      <c r="E1484">
        <v>23883058083</v>
      </c>
      <c r="F1484">
        <v>1359193</v>
      </c>
      <c r="G1484">
        <v>-0.94544970100000003</v>
      </c>
      <c r="I1484">
        <v>82</v>
      </c>
      <c r="J1484">
        <v>17481752259.907009</v>
      </c>
      <c r="K1484">
        <v>20.47</v>
      </c>
    </row>
    <row r="1485" spans="1:11" x14ac:dyDescent="0.3">
      <c r="A1485" t="s">
        <v>343</v>
      </c>
      <c r="B1485" t="s">
        <v>344</v>
      </c>
      <c r="C1485">
        <v>2019</v>
      </c>
      <c r="D1485">
        <v>14383778499.701</v>
      </c>
      <c r="E1485">
        <v>23477745792</v>
      </c>
      <c r="F1485">
        <v>1363985</v>
      </c>
      <c r="G1485">
        <v>0.46773452900000001</v>
      </c>
      <c r="I1485">
        <v>89</v>
      </c>
      <c r="J1485">
        <v>21060526001.349003</v>
      </c>
      <c r="K1485">
        <v>-31.7</v>
      </c>
    </row>
    <row r="1486" spans="1:11" x14ac:dyDescent="0.3">
      <c r="A1486" t="s">
        <v>343</v>
      </c>
      <c r="B1486" t="s">
        <v>344</v>
      </c>
      <c r="C1486">
        <v>2020</v>
      </c>
      <c r="D1486">
        <v>11038756455.573</v>
      </c>
      <c r="E1486">
        <v>20888515184</v>
      </c>
      <c r="F1486">
        <v>1366725</v>
      </c>
      <c r="G1486">
        <v>-8.7887981780000004</v>
      </c>
      <c r="I1486">
        <v>92</v>
      </c>
      <c r="J1486">
        <v>14383778499.701</v>
      </c>
      <c r="K1486">
        <v>-23.26</v>
      </c>
    </row>
    <row r="1487" spans="1:11" x14ac:dyDescent="0.3">
      <c r="A1487" t="s">
        <v>343</v>
      </c>
      <c r="B1487" t="s">
        <v>344</v>
      </c>
      <c r="C1487">
        <v>2021</v>
      </c>
      <c r="D1487">
        <v>17240457249.831009</v>
      </c>
      <c r="E1487">
        <v>24222963263</v>
      </c>
      <c r="F1487">
        <v>1367558</v>
      </c>
      <c r="G1487">
        <v>-0.71674062599999999</v>
      </c>
      <c r="I1487">
        <v>88</v>
      </c>
      <c r="J1487">
        <v>11038756455.573</v>
      </c>
      <c r="K1487">
        <v>56.18</v>
      </c>
    </row>
    <row r="1488" spans="1:11" x14ac:dyDescent="0.3">
      <c r="A1488" t="s">
        <v>343</v>
      </c>
      <c r="B1488" t="s">
        <v>344</v>
      </c>
      <c r="C1488">
        <v>2022</v>
      </c>
      <c r="D1488">
        <v>23058009157.948006</v>
      </c>
      <c r="E1488">
        <v>28341164301</v>
      </c>
      <c r="F1488">
        <v>1365805</v>
      </c>
      <c r="G1488">
        <v>0.86126082699999995</v>
      </c>
      <c r="I1488">
        <v>82</v>
      </c>
      <c r="J1488">
        <v>17240457249.831009</v>
      </c>
      <c r="K1488">
        <v>33.74</v>
      </c>
    </row>
    <row r="1489" spans="1:11" x14ac:dyDescent="0.3">
      <c r="A1489" t="s">
        <v>343</v>
      </c>
      <c r="B1489" t="s">
        <v>344</v>
      </c>
      <c r="C1489">
        <v>2023</v>
      </c>
      <c r="D1489">
        <v>15727069045.130007</v>
      </c>
      <c r="E1489">
        <v>25036993423</v>
      </c>
      <c r="F1489">
        <v>1367510</v>
      </c>
      <c r="G1489">
        <v>1.466459473</v>
      </c>
      <c r="I1489">
        <v>91</v>
      </c>
      <c r="J1489">
        <v>23058009157.948006</v>
      </c>
      <c r="K1489">
        <v>-31.79</v>
      </c>
    </row>
    <row r="1490" spans="1:11" x14ac:dyDescent="0.3">
      <c r="A1490" t="s">
        <v>343</v>
      </c>
      <c r="B1490" t="s">
        <v>344</v>
      </c>
      <c r="C1490">
        <v>2024</v>
      </c>
      <c r="D1490">
        <v>15821411477.207998</v>
      </c>
      <c r="E1490">
        <v>25633544529</v>
      </c>
      <c r="F1490">
        <v>1368333</v>
      </c>
      <c r="G1490">
        <v>2.5092081400000001</v>
      </c>
      <c r="I1490">
        <v>87</v>
      </c>
      <c r="J1490">
        <v>15727069045.130007</v>
      </c>
      <c r="K1490">
        <v>0.6</v>
      </c>
    </row>
    <row r="1491" spans="1:11" x14ac:dyDescent="0.3">
      <c r="A1491" t="s">
        <v>345</v>
      </c>
      <c r="B1491" t="s">
        <v>346</v>
      </c>
      <c r="C1491">
        <v>2015</v>
      </c>
      <c r="D1491">
        <v>28146975173</v>
      </c>
      <c r="E1491">
        <v>45779494042</v>
      </c>
      <c r="F1491">
        <v>11402264</v>
      </c>
      <c r="G1491">
        <v>0.96783420600000003</v>
      </c>
      <c r="H1491">
        <v>87.24853066</v>
      </c>
      <c r="I1491">
        <v>65</v>
      </c>
    </row>
    <row r="1492" spans="1:11" x14ac:dyDescent="0.3">
      <c r="A1492" t="s">
        <v>345</v>
      </c>
      <c r="B1492" t="s">
        <v>346</v>
      </c>
      <c r="C1492">
        <v>2016</v>
      </c>
      <c r="D1492">
        <v>27150261905</v>
      </c>
      <c r="E1492">
        <v>44360072680</v>
      </c>
      <c r="F1492">
        <v>11528674</v>
      </c>
      <c r="G1492">
        <v>1.1172319639999999</v>
      </c>
      <c r="H1492">
        <v>87.092664360000001</v>
      </c>
      <c r="I1492">
        <v>69</v>
      </c>
      <c r="J1492">
        <v>28146975173</v>
      </c>
      <c r="K1492">
        <v>-3.54</v>
      </c>
    </row>
    <row r="1493" spans="1:11" x14ac:dyDescent="0.3">
      <c r="A1493" t="s">
        <v>345</v>
      </c>
      <c r="B1493" t="s">
        <v>346</v>
      </c>
      <c r="C1493">
        <v>2017</v>
      </c>
      <c r="D1493">
        <v>28399632672.991985</v>
      </c>
      <c r="E1493">
        <v>42163530591</v>
      </c>
      <c r="F1493">
        <v>11650498</v>
      </c>
      <c r="G1493">
        <v>2.2526143759999999</v>
      </c>
      <c r="H1493">
        <v>95.809197979999993</v>
      </c>
      <c r="I1493">
        <v>70</v>
      </c>
      <c r="J1493">
        <v>27150261905</v>
      </c>
      <c r="K1493">
        <v>4.5999999999999996</v>
      </c>
    </row>
    <row r="1494" spans="1:11" x14ac:dyDescent="0.3">
      <c r="A1494" t="s">
        <v>345</v>
      </c>
      <c r="B1494" t="s">
        <v>346</v>
      </c>
      <c r="C1494">
        <v>2018</v>
      </c>
      <c r="D1494">
        <v>31042457820.957008</v>
      </c>
      <c r="E1494">
        <v>42686504460</v>
      </c>
      <c r="F1494">
        <v>11765514</v>
      </c>
      <c r="G1494">
        <v>2.6069696539999998</v>
      </c>
      <c r="H1494">
        <v>103.8718243</v>
      </c>
      <c r="I1494">
        <v>71</v>
      </c>
      <c r="J1494">
        <v>28399632672.991985</v>
      </c>
      <c r="K1494">
        <v>9.31</v>
      </c>
    </row>
    <row r="1495" spans="1:11" x14ac:dyDescent="0.3">
      <c r="A1495" t="s">
        <v>345</v>
      </c>
      <c r="B1495" t="s">
        <v>346</v>
      </c>
      <c r="C1495">
        <v>2019</v>
      </c>
      <c r="D1495">
        <v>29888174981.736</v>
      </c>
      <c r="E1495">
        <v>41905642419</v>
      </c>
      <c r="F1495">
        <v>11875081</v>
      </c>
      <c r="G1495">
        <v>1.5500930500000001</v>
      </c>
      <c r="H1495">
        <v>102.33261469999999</v>
      </c>
      <c r="I1495">
        <v>69</v>
      </c>
      <c r="J1495">
        <v>31042457820.957008</v>
      </c>
      <c r="K1495">
        <v>-3.72</v>
      </c>
    </row>
    <row r="1496" spans="1:11" x14ac:dyDescent="0.3">
      <c r="A1496" t="s">
        <v>345</v>
      </c>
      <c r="B1496" t="s">
        <v>346</v>
      </c>
      <c r="C1496">
        <v>2020</v>
      </c>
      <c r="D1496">
        <v>27721663624.980003</v>
      </c>
      <c r="E1496">
        <v>42491780918</v>
      </c>
      <c r="F1496">
        <v>11974057</v>
      </c>
      <c r="G1496">
        <v>-8.9751262290000007</v>
      </c>
      <c r="H1496">
        <v>84.333329710000001</v>
      </c>
      <c r="I1496">
        <v>69</v>
      </c>
      <c r="J1496">
        <v>29888174981.736</v>
      </c>
      <c r="K1496">
        <v>-7.25</v>
      </c>
    </row>
    <row r="1497" spans="1:11" x14ac:dyDescent="0.3">
      <c r="A1497" t="s">
        <v>345</v>
      </c>
      <c r="B1497" t="s">
        <v>346</v>
      </c>
      <c r="C1497">
        <v>2021</v>
      </c>
      <c r="D1497">
        <v>33390397283.083019</v>
      </c>
      <c r="E1497">
        <v>47073234359</v>
      </c>
      <c r="F1497">
        <v>12048622</v>
      </c>
      <c r="G1497">
        <v>4.7360364820000003</v>
      </c>
      <c r="H1497">
        <v>93.633414070000001</v>
      </c>
      <c r="I1497">
        <v>70</v>
      </c>
      <c r="J1497">
        <v>27721663624.980003</v>
      </c>
      <c r="K1497">
        <v>20.45</v>
      </c>
    </row>
    <row r="1498" spans="1:11" x14ac:dyDescent="0.3">
      <c r="A1498" t="s">
        <v>345</v>
      </c>
      <c r="B1498" t="s">
        <v>346</v>
      </c>
      <c r="C1498">
        <v>2022</v>
      </c>
      <c r="D1498">
        <v>37090769188.297981</v>
      </c>
      <c r="E1498">
        <v>44929920093</v>
      </c>
      <c r="F1498">
        <v>12119334</v>
      </c>
      <c r="G1498">
        <v>2.7522876100000002</v>
      </c>
      <c r="H1498">
        <v>116.0957944</v>
      </c>
      <c r="I1498">
        <v>68</v>
      </c>
      <c r="J1498">
        <v>33390397283.083019</v>
      </c>
      <c r="K1498">
        <v>11.08</v>
      </c>
    </row>
    <row r="1499" spans="1:11" x14ac:dyDescent="0.3">
      <c r="A1499" t="s">
        <v>345</v>
      </c>
      <c r="B1499" t="s">
        <v>346</v>
      </c>
      <c r="C1499">
        <v>2023</v>
      </c>
      <c r="D1499">
        <v>40079311245.707001</v>
      </c>
      <c r="E1499">
        <v>48205328303</v>
      </c>
      <c r="F1499">
        <v>12200431</v>
      </c>
      <c r="G1499">
        <v>0.184015548</v>
      </c>
      <c r="H1499">
        <v>112.12885799999999</v>
      </c>
      <c r="I1499">
        <v>67</v>
      </c>
      <c r="J1499">
        <v>37090769188.297981</v>
      </c>
      <c r="K1499">
        <v>8.06</v>
      </c>
    </row>
    <row r="1500" spans="1:11" x14ac:dyDescent="0.3">
      <c r="A1500" t="s">
        <v>345</v>
      </c>
      <c r="B1500" t="s">
        <v>346</v>
      </c>
      <c r="C1500">
        <v>2024</v>
      </c>
      <c r="D1500">
        <v>39954315042.915001</v>
      </c>
      <c r="E1500">
        <v>51412122480</v>
      </c>
      <c r="F1500">
        <v>12277109</v>
      </c>
      <c r="G1500">
        <v>1.61444565</v>
      </c>
      <c r="H1500">
        <v>106.2985492</v>
      </c>
      <c r="I1500">
        <v>63</v>
      </c>
      <c r="J1500">
        <v>40079311245.707001</v>
      </c>
      <c r="K1500">
        <v>-0.31</v>
      </c>
    </row>
    <row r="1501" spans="1:11" x14ac:dyDescent="0.3">
      <c r="A1501" t="s">
        <v>347</v>
      </c>
      <c r="B1501" t="s">
        <v>348</v>
      </c>
      <c r="C1501">
        <v>2015</v>
      </c>
      <c r="D1501">
        <v>301964227532</v>
      </c>
      <c r="E1501">
        <v>865000000000</v>
      </c>
      <c r="F1501">
        <v>78218479</v>
      </c>
      <c r="G1501">
        <v>5.8055738659999996</v>
      </c>
      <c r="H1501">
        <v>51.874925259999998</v>
      </c>
      <c r="I1501">
        <v>26</v>
      </c>
    </row>
    <row r="1502" spans="1:11" x14ac:dyDescent="0.3">
      <c r="A1502" t="s">
        <v>347</v>
      </c>
      <c r="B1502" t="s">
        <v>348</v>
      </c>
      <c r="C1502">
        <v>2016</v>
      </c>
      <c r="D1502">
        <v>298493998526</v>
      </c>
      <c r="E1502">
        <v>871000000000</v>
      </c>
      <c r="F1502">
        <v>79277962</v>
      </c>
      <c r="G1502">
        <v>3.3236650820000002</v>
      </c>
      <c r="H1502">
        <v>48.87018381</v>
      </c>
      <c r="I1502">
        <v>26</v>
      </c>
      <c r="J1502">
        <v>301964227532</v>
      </c>
      <c r="K1502">
        <v>-1.1499999999999999</v>
      </c>
    </row>
    <row r="1503" spans="1:11" x14ac:dyDescent="0.3">
      <c r="A1503" t="s">
        <v>347</v>
      </c>
      <c r="B1503" t="s">
        <v>348</v>
      </c>
      <c r="C1503">
        <v>2017</v>
      </c>
      <c r="D1503">
        <v>328989238632</v>
      </c>
      <c r="E1503">
        <v>864000000000</v>
      </c>
      <c r="F1503">
        <v>80312698</v>
      </c>
      <c r="G1503">
        <v>7.8258573</v>
      </c>
      <c r="H1503">
        <v>56.13565852</v>
      </c>
      <c r="I1503">
        <v>27</v>
      </c>
      <c r="J1503">
        <v>298493998526</v>
      </c>
      <c r="K1503">
        <v>10.220000000000001</v>
      </c>
    </row>
    <row r="1504" spans="1:11" x14ac:dyDescent="0.3">
      <c r="A1504" t="s">
        <v>347</v>
      </c>
      <c r="B1504" t="s">
        <v>348</v>
      </c>
      <c r="C1504">
        <v>2018</v>
      </c>
      <c r="D1504">
        <v>354337512576</v>
      </c>
      <c r="E1504">
        <v>788000000000</v>
      </c>
      <c r="F1504">
        <v>81407204</v>
      </c>
      <c r="G1504">
        <v>3.4681530610000002</v>
      </c>
      <c r="H1504">
        <v>62.82513239</v>
      </c>
      <c r="I1504">
        <v>27</v>
      </c>
      <c r="J1504">
        <v>328989238632</v>
      </c>
      <c r="K1504">
        <v>7.7</v>
      </c>
    </row>
    <row r="1505" spans="1:11" x14ac:dyDescent="0.3">
      <c r="A1505" t="s">
        <v>347</v>
      </c>
      <c r="B1505" t="s">
        <v>348</v>
      </c>
      <c r="C1505">
        <v>2019</v>
      </c>
      <c r="D1505">
        <v>361665443404</v>
      </c>
      <c r="E1505">
        <v>776000000000</v>
      </c>
      <c r="F1505">
        <v>82579440</v>
      </c>
      <c r="G1505">
        <v>1.301623655</v>
      </c>
      <c r="H1505">
        <v>62.578458929999996</v>
      </c>
      <c r="I1505">
        <v>26</v>
      </c>
      <c r="J1505">
        <v>354337512576</v>
      </c>
      <c r="K1505">
        <v>2.0699999999999998</v>
      </c>
    </row>
    <row r="1506" spans="1:11" x14ac:dyDescent="0.3">
      <c r="A1506" t="s">
        <v>347</v>
      </c>
      <c r="B1506" t="s">
        <v>348</v>
      </c>
      <c r="C1506">
        <v>2020</v>
      </c>
      <c r="D1506">
        <v>339315879554</v>
      </c>
      <c r="E1506">
        <v>734000000000</v>
      </c>
      <c r="F1506">
        <v>83384680</v>
      </c>
      <c r="G1506">
        <v>1.8030624710000001</v>
      </c>
      <c r="H1506">
        <v>60.389853119999998</v>
      </c>
      <c r="I1506">
        <v>27</v>
      </c>
      <c r="J1506">
        <v>361665443404</v>
      </c>
      <c r="K1506">
        <v>-6.18</v>
      </c>
    </row>
    <row r="1507" spans="1:11" x14ac:dyDescent="0.3">
      <c r="A1507" t="s">
        <v>347</v>
      </c>
      <c r="B1507" t="s">
        <v>348</v>
      </c>
      <c r="C1507">
        <v>2021</v>
      </c>
      <c r="D1507">
        <v>450428916076</v>
      </c>
      <c r="E1507">
        <v>840000000000</v>
      </c>
      <c r="F1507">
        <v>84147318</v>
      </c>
      <c r="G1507">
        <v>11.811094450000001</v>
      </c>
      <c r="H1507">
        <v>69.60889761</v>
      </c>
      <c r="I1507">
        <v>27</v>
      </c>
      <c r="J1507">
        <v>339315879554</v>
      </c>
      <c r="K1507">
        <v>32.75</v>
      </c>
    </row>
    <row r="1508" spans="1:11" x14ac:dyDescent="0.3">
      <c r="A1508" t="s">
        <v>347</v>
      </c>
      <c r="B1508" t="s">
        <v>348</v>
      </c>
      <c r="C1508">
        <v>2022</v>
      </c>
      <c r="D1508">
        <v>508339495326</v>
      </c>
      <c r="E1508">
        <v>926000000000</v>
      </c>
      <c r="F1508">
        <v>84979913</v>
      </c>
      <c r="G1508">
        <v>5.4412251129999998</v>
      </c>
      <c r="H1508">
        <v>79.898272230000003</v>
      </c>
      <c r="I1508">
        <v>25</v>
      </c>
      <c r="J1508">
        <v>450428916076</v>
      </c>
      <c r="K1508">
        <v>12.86</v>
      </c>
    </row>
    <row r="1509" spans="1:11" x14ac:dyDescent="0.3">
      <c r="A1509" t="s">
        <v>347</v>
      </c>
      <c r="B1509" t="s">
        <v>348</v>
      </c>
      <c r="C1509">
        <v>2023</v>
      </c>
      <c r="D1509">
        <v>511254858022</v>
      </c>
      <c r="E1509">
        <v>1140000000000</v>
      </c>
      <c r="F1509">
        <v>85325965</v>
      </c>
      <c r="G1509">
        <v>5.0451236980000003</v>
      </c>
      <c r="H1509">
        <v>65.683208469999997</v>
      </c>
      <c r="I1509">
        <v>25</v>
      </c>
      <c r="J1509">
        <v>508339495326</v>
      </c>
      <c r="K1509">
        <v>0.56999999999999995</v>
      </c>
    </row>
    <row r="1510" spans="1:11" x14ac:dyDescent="0.3">
      <c r="A1510" t="s">
        <v>347</v>
      </c>
      <c r="B1510" t="s">
        <v>348</v>
      </c>
      <c r="C1510">
        <v>2024</v>
      </c>
      <c r="D1510">
        <v>523556261762</v>
      </c>
      <c r="E1510">
        <v>1360000000000</v>
      </c>
      <c r="F1510">
        <v>85518661</v>
      </c>
      <c r="G1510">
        <v>3.3276230889999998</v>
      </c>
      <c r="H1510">
        <v>54.598806119999999</v>
      </c>
      <c r="I1510">
        <v>23</v>
      </c>
      <c r="J1510">
        <v>511254858022</v>
      </c>
      <c r="K1510">
        <v>2.41</v>
      </c>
    </row>
    <row r="1511" spans="1:11" x14ac:dyDescent="0.3">
      <c r="A1511" t="s">
        <v>349</v>
      </c>
      <c r="B1511" t="s">
        <v>350</v>
      </c>
      <c r="C1511">
        <v>2015</v>
      </c>
      <c r="D1511">
        <v>11708461036</v>
      </c>
      <c r="E1511">
        <v>47413919817</v>
      </c>
      <c r="F1511">
        <v>52020962</v>
      </c>
      <c r="G1511">
        <v>6.1606287740000001</v>
      </c>
      <c r="H1511">
        <v>40.757680880000002</v>
      </c>
      <c r="I1511">
        <v>93</v>
      </c>
    </row>
    <row r="1512" spans="1:11" x14ac:dyDescent="0.3">
      <c r="A1512" t="s">
        <v>349</v>
      </c>
      <c r="B1512" t="s">
        <v>350</v>
      </c>
      <c r="C1512">
        <v>2016</v>
      </c>
      <c r="D1512">
        <v>9483849163</v>
      </c>
      <c r="E1512">
        <v>49774409374</v>
      </c>
      <c r="F1512">
        <v>53824013</v>
      </c>
      <c r="G1512">
        <v>6.8671161959999996</v>
      </c>
      <c r="H1512">
        <v>35.420470399999999</v>
      </c>
      <c r="I1512">
        <v>99</v>
      </c>
      <c r="J1512">
        <v>11708461036</v>
      </c>
      <c r="K1512">
        <v>-19</v>
      </c>
    </row>
    <row r="1513" spans="1:11" x14ac:dyDescent="0.3">
      <c r="A1513" t="s">
        <v>349</v>
      </c>
      <c r="B1513" t="s">
        <v>350</v>
      </c>
      <c r="C1513">
        <v>2017</v>
      </c>
      <c r="D1513">
        <v>8356218125.541996</v>
      </c>
      <c r="E1513">
        <v>53274884533</v>
      </c>
      <c r="F1513">
        <v>55652890</v>
      </c>
      <c r="G1513">
        <v>6.7272699679999999</v>
      </c>
      <c r="H1513">
        <v>33.112591989999999</v>
      </c>
      <c r="I1513">
        <v>105</v>
      </c>
      <c r="J1513">
        <v>9483849163</v>
      </c>
      <c r="K1513">
        <v>-11.89</v>
      </c>
    </row>
    <row r="1514" spans="1:11" x14ac:dyDescent="0.3">
      <c r="A1514" t="s">
        <v>349</v>
      </c>
      <c r="B1514" t="s">
        <v>350</v>
      </c>
      <c r="C1514">
        <v>2018</v>
      </c>
      <c r="D1514">
        <v>7338424877.0760031</v>
      </c>
      <c r="E1514">
        <v>57003712892</v>
      </c>
      <c r="F1514">
        <v>57437145</v>
      </c>
      <c r="G1514">
        <v>5.5026759939999996</v>
      </c>
      <c r="H1514">
        <v>32.642609899999997</v>
      </c>
      <c r="I1514">
        <v>107</v>
      </c>
      <c r="J1514">
        <v>8356218125.541996</v>
      </c>
      <c r="K1514">
        <v>-12.18</v>
      </c>
    </row>
    <row r="1515" spans="1:11" x14ac:dyDescent="0.3">
      <c r="A1515" t="s">
        <v>349</v>
      </c>
      <c r="B1515" t="s">
        <v>350</v>
      </c>
      <c r="C1515">
        <v>2019</v>
      </c>
      <c r="D1515">
        <v>10007529762.367002</v>
      </c>
      <c r="E1515">
        <v>61026731926</v>
      </c>
      <c r="F1515">
        <v>59174891</v>
      </c>
      <c r="G1515">
        <v>5.8</v>
      </c>
      <c r="H1515">
        <v>33.018589249999998</v>
      </c>
      <c r="I1515">
        <v>100</v>
      </c>
      <c r="J1515">
        <v>7338424877.0760031</v>
      </c>
      <c r="K1515">
        <v>36.369999999999997</v>
      </c>
    </row>
    <row r="1516" spans="1:11" x14ac:dyDescent="0.3">
      <c r="A1516" t="s">
        <v>349</v>
      </c>
      <c r="B1516" t="s">
        <v>350</v>
      </c>
      <c r="C1516">
        <v>2020</v>
      </c>
      <c r="D1516">
        <v>12152820260.762005</v>
      </c>
      <c r="E1516">
        <v>66068737786</v>
      </c>
      <c r="F1516">
        <v>60972798</v>
      </c>
      <c r="G1516">
        <v>1.991964606</v>
      </c>
      <c r="H1516">
        <v>27.963015200000001</v>
      </c>
      <c r="I1516">
        <v>90</v>
      </c>
      <c r="J1516">
        <v>10007529762.367002</v>
      </c>
      <c r="K1516">
        <v>21.44</v>
      </c>
    </row>
    <row r="1517" spans="1:11" x14ac:dyDescent="0.3">
      <c r="A1517" t="s">
        <v>349</v>
      </c>
      <c r="B1517" t="s">
        <v>350</v>
      </c>
      <c r="C1517">
        <v>2021</v>
      </c>
      <c r="D1517">
        <v>12781725773.488997</v>
      </c>
      <c r="E1517">
        <v>70655628148</v>
      </c>
      <c r="F1517">
        <v>62830412</v>
      </c>
      <c r="G1517">
        <v>4.3213842949999997</v>
      </c>
      <c r="H1517">
        <v>29.915184010000001</v>
      </c>
      <c r="I1517">
        <v>97</v>
      </c>
      <c r="J1517">
        <v>12152820260.762005</v>
      </c>
      <c r="K1517">
        <v>5.17</v>
      </c>
    </row>
    <row r="1518" spans="1:11" x14ac:dyDescent="0.3">
      <c r="A1518" t="s">
        <v>349</v>
      </c>
      <c r="B1518" t="s">
        <v>350</v>
      </c>
      <c r="C1518">
        <v>2022</v>
      </c>
      <c r="D1518">
        <v>13649692221.806997</v>
      </c>
      <c r="E1518">
        <v>75749121847</v>
      </c>
      <c r="F1518">
        <v>64711821</v>
      </c>
      <c r="G1518">
        <v>4.5660057639999998</v>
      </c>
      <c r="H1518">
        <v>35.00345171</v>
      </c>
      <c r="I1518">
        <v>98</v>
      </c>
      <c r="J1518">
        <v>12781725773.488997</v>
      </c>
      <c r="K1518">
        <v>6.79</v>
      </c>
    </row>
    <row r="1519" spans="1:11" x14ac:dyDescent="0.3">
      <c r="A1519" t="s">
        <v>349</v>
      </c>
      <c r="B1519" t="s">
        <v>350</v>
      </c>
      <c r="C1519">
        <v>2023</v>
      </c>
      <c r="D1519">
        <v>14548657575.740002</v>
      </c>
      <c r="E1519">
        <v>79030935638</v>
      </c>
      <c r="F1519">
        <v>66617606</v>
      </c>
      <c r="G1519">
        <v>5.0695235319999998</v>
      </c>
      <c r="H1519">
        <v>38.212034809999999</v>
      </c>
      <c r="I1519">
        <v>93</v>
      </c>
      <c r="J1519">
        <v>13649692221.806997</v>
      </c>
      <c r="K1519">
        <v>6.59</v>
      </c>
    </row>
    <row r="1520" spans="1:11" x14ac:dyDescent="0.3">
      <c r="A1520" t="s">
        <v>349</v>
      </c>
      <c r="B1520" t="s">
        <v>350</v>
      </c>
      <c r="C1520">
        <v>2024</v>
      </c>
      <c r="D1520">
        <v>17404055807.890991</v>
      </c>
      <c r="E1520">
        <v>79235713445</v>
      </c>
      <c r="F1520">
        <v>68560157</v>
      </c>
      <c r="G1520">
        <v>5.5263138310000004</v>
      </c>
      <c r="H1520">
        <v>41.308106860000002</v>
      </c>
      <c r="I1520">
        <v>82</v>
      </c>
      <c r="J1520">
        <v>14548657575.740002</v>
      </c>
      <c r="K1520">
        <v>19.63</v>
      </c>
    </row>
    <row r="1521" spans="1:11" x14ac:dyDescent="0.3">
      <c r="A1521" t="s">
        <v>351</v>
      </c>
      <c r="B1521" t="s">
        <v>352</v>
      </c>
      <c r="C1521">
        <v>2015</v>
      </c>
      <c r="D1521">
        <v>4534017371</v>
      </c>
      <c r="E1521">
        <v>32387183730</v>
      </c>
      <c r="F1521">
        <v>37531446</v>
      </c>
      <c r="G1521">
        <v>5.1878598599999997</v>
      </c>
      <c r="H1521">
        <v>37.68929833</v>
      </c>
      <c r="I1521">
        <v>112</v>
      </c>
    </row>
    <row r="1522" spans="1:11" x14ac:dyDescent="0.3">
      <c r="A1522" t="s">
        <v>351</v>
      </c>
      <c r="B1522" t="s">
        <v>352</v>
      </c>
      <c r="C1522">
        <v>2016</v>
      </c>
      <c r="D1522">
        <v>4964626831</v>
      </c>
      <c r="E1522">
        <v>29203988696</v>
      </c>
      <c r="F1522">
        <v>38799152</v>
      </c>
      <c r="G1522">
        <v>4.781000293</v>
      </c>
      <c r="H1522">
        <v>31.20936202</v>
      </c>
      <c r="I1522">
        <v>113</v>
      </c>
      <c r="J1522">
        <v>4534017371</v>
      </c>
      <c r="K1522">
        <v>9.5</v>
      </c>
    </row>
    <row r="1523" spans="1:11" x14ac:dyDescent="0.3">
      <c r="A1523" t="s">
        <v>351</v>
      </c>
      <c r="B1523" t="s">
        <v>352</v>
      </c>
      <c r="C1523">
        <v>2017</v>
      </c>
      <c r="D1523">
        <v>5802931359.5199995</v>
      </c>
      <c r="E1523">
        <v>30744473841</v>
      </c>
      <c r="F1523">
        <v>40177388</v>
      </c>
      <c r="G1523">
        <v>3.1314055170000001</v>
      </c>
      <c r="H1523">
        <v>36.837052929999999</v>
      </c>
      <c r="I1523">
        <v>115</v>
      </c>
      <c r="J1523">
        <v>4964626831</v>
      </c>
      <c r="K1523">
        <v>16.89</v>
      </c>
    </row>
    <row r="1524" spans="1:11" x14ac:dyDescent="0.3">
      <c r="A1524" t="s">
        <v>351</v>
      </c>
      <c r="B1524" t="s">
        <v>352</v>
      </c>
      <c r="C1524">
        <v>2018</v>
      </c>
      <c r="D1524">
        <v>6174727152.4199982</v>
      </c>
      <c r="E1524">
        <v>32927025620</v>
      </c>
      <c r="F1524">
        <v>41565831</v>
      </c>
      <c r="G1524">
        <v>6.3039237830000001</v>
      </c>
      <c r="H1524">
        <v>36.638405599999999</v>
      </c>
      <c r="I1524">
        <v>114</v>
      </c>
      <c r="J1524">
        <v>5802931359.5199995</v>
      </c>
      <c r="K1524">
        <v>6.41</v>
      </c>
    </row>
    <row r="1525" spans="1:11" x14ac:dyDescent="0.3">
      <c r="A1525" t="s">
        <v>351</v>
      </c>
      <c r="B1525" t="s">
        <v>352</v>
      </c>
      <c r="C1525">
        <v>2019</v>
      </c>
      <c r="D1525">
        <v>7127569956.420002</v>
      </c>
      <c r="E1525">
        <v>35353061003</v>
      </c>
      <c r="F1525">
        <v>42999637</v>
      </c>
      <c r="G1525">
        <v>6.438745033</v>
      </c>
      <c r="H1525">
        <v>39.36105396</v>
      </c>
      <c r="I1525">
        <v>110</v>
      </c>
      <c r="J1525">
        <v>6174727152.4199982</v>
      </c>
      <c r="K1525">
        <v>15.43</v>
      </c>
    </row>
    <row r="1526" spans="1:11" x14ac:dyDescent="0.3">
      <c r="A1526" t="s">
        <v>351</v>
      </c>
      <c r="B1526" t="s">
        <v>352</v>
      </c>
      <c r="C1526">
        <v>2020</v>
      </c>
      <c r="D1526">
        <v>8297916658</v>
      </c>
      <c r="E1526">
        <v>37600368242</v>
      </c>
      <c r="F1526">
        <v>44457152</v>
      </c>
      <c r="G1526">
        <v>2.951306422</v>
      </c>
      <c r="H1526">
        <v>37.000692389999998</v>
      </c>
      <c r="I1526">
        <v>103</v>
      </c>
      <c r="J1526">
        <v>7127569956.420002</v>
      </c>
      <c r="K1526">
        <v>16.420000000000002</v>
      </c>
    </row>
    <row r="1527" spans="1:11" x14ac:dyDescent="0.3">
      <c r="A1527" t="s">
        <v>351</v>
      </c>
      <c r="B1527" t="s">
        <v>352</v>
      </c>
      <c r="C1527">
        <v>2021</v>
      </c>
      <c r="D1527">
        <v>7930634089.1000013</v>
      </c>
      <c r="E1527">
        <v>40529788749</v>
      </c>
      <c r="F1527">
        <v>45910930</v>
      </c>
      <c r="G1527">
        <v>3.5365803410000001</v>
      </c>
      <c r="H1527">
        <v>41.713630739999999</v>
      </c>
      <c r="I1527">
        <v>110</v>
      </c>
      <c r="J1527">
        <v>8297916658</v>
      </c>
      <c r="K1527">
        <v>-4.43</v>
      </c>
    </row>
    <row r="1528" spans="1:11" x14ac:dyDescent="0.3">
      <c r="A1528" t="s">
        <v>351</v>
      </c>
      <c r="B1528" t="s">
        <v>352</v>
      </c>
      <c r="C1528">
        <v>2022</v>
      </c>
      <c r="D1528">
        <v>7154888803.3399973</v>
      </c>
      <c r="E1528">
        <v>45565333211</v>
      </c>
      <c r="F1528">
        <v>47312719</v>
      </c>
      <c r="G1528">
        <v>4.5880219220000003</v>
      </c>
      <c r="H1528">
        <v>34.505301930000002</v>
      </c>
      <c r="I1528">
        <v>115</v>
      </c>
      <c r="J1528">
        <v>7930634089.1000013</v>
      </c>
      <c r="K1528">
        <v>-9.7799999999999994</v>
      </c>
    </row>
    <row r="1529" spans="1:11" x14ac:dyDescent="0.3">
      <c r="A1529" t="s">
        <v>351</v>
      </c>
      <c r="B1529" t="s">
        <v>352</v>
      </c>
      <c r="C1529">
        <v>2023</v>
      </c>
      <c r="D1529">
        <v>12610046572.680004</v>
      </c>
      <c r="E1529">
        <v>48768955863</v>
      </c>
      <c r="F1529">
        <v>48656601</v>
      </c>
      <c r="G1529">
        <v>5.3369729550000002</v>
      </c>
      <c r="H1529">
        <v>33.341696329999998</v>
      </c>
      <c r="I1529">
        <v>99</v>
      </c>
      <c r="J1529">
        <v>7154888803.3399973</v>
      </c>
      <c r="K1529">
        <v>76.239999999999995</v>
      </c>
    </row>
    <row r="1530" spans="1:11" x14ac:dyDescent="0.3">
      <c r="A1530" t="s">
        <v>351</v>
      </c>
      <c r="B1530" t="s">
        <v>352</v>
      </c>
      <c r="C1530">
        <v>2024</v>
      </c>
      <c r="D1530">
        <v>16078688751.859993</v>
      </c>
      <c r="E1530">
        <v>53911907079</v>
      </c>
      <c r="F1530">
        <v>50015092</v>
      </c>
      <c r="G1530">
        <v>6.0555807589999997</v>
      </c>
      <c r="H1530">
        <v>42.652788909999998</v>
      </c>
      <c r="I1530">
        <v>86</v>
      </c>
      <c r="J1530">
        <v>12610046572.680004</v>
      </c>
      <c r="K1530">
        <v>27.51</v>
      </c>
    </row>
    <row r="1531" spans="1:11" x14ac:dyDescent="0.3">
      <c r="A1531" t="s">
        <v>353</v>
      </c>
      <c r="B1531" t="s">
        <v>354</v>
      </c>
      <c r="C1531">
        <v>2015</v>
      </c>
      <c r="D1531">
        <v>76254079112</v>
      </c>
      <c r="E1531">
        <v>91030967789</v>
      </c>
      <c r="F1531">
        <v>45784896</v>
      </c>
      <c r="G1531">
        <v>-9.7729872130000004</v>
      </c>
      <c r="H1531">
        <v>107.8066163</v>
      </c>
      <c r="I1531">
        <v>48</v>
      </c>
    </row>
    <row r="1532" spans="1:11" x14ac:dyDescent="0.3">
      <c r="A1532" t="s">
        <v>353</v>
      </c>
      <c r="B1532" t="s">
        <v>354</v>
      </c>
      <c r="C1532">
        <v>2016</v>
      </c>
      <c r="D1532">
        <v>72722064929.600082</v>
      </c>
      <c r="E1532">
        <v>93355869404</v>
      </c>
      <c r="F1532">
        <v>45616832</v>
      </c>
      <c r="G1532">
        <v>2.4409819449999999</v>
      </c>
      <c r="H1532">
        <v>105.5212049</v>
      </c>
      <c r="I1532">
        <v>47</v>
      </c>
      <c r="J1532">
        <v>76254079112</v>
      </c>
      <c r="K1532">
        <v>-4.63</v>
      </c>
    </row>
    <row r="1533" spans="1:11" x14ac:dyDescent="0.3">
      <c r="A1533" t="s">
        <v>353</v>
      </c>
      <c r="B1533" t="s">
        <v>354</v>
      </c>
      <c r="C1533">
        <v>2017</v>
      </c>
      <c r="D1533">
        <v>86856782112.780014</v>
      </c>
      <c r="E1533">
        <v>112000000000</v>
      </c>
      <c r="F1533">
        <v>45436041</v>
      </c>
      <c r="G1533">
        <v>2.3599722810000001</v>
      </c>
      <c r="H1533">
        <v>104.0349829</v>
      </c>
      <c r="I1533">
        <v>48</v>
      </c>
      <c r="J1533">
        <v>72722064929.600082</v>
      </c>
      <c r="K1533">
        <v>19.440000000000001</v>
      </c>
    </row>
    <row r="1534" spans="1:11" x14ac:dyDescent="0.3">
      <c r="A1534" t="s">
        <v>353</v>
      </c>
      <c r="B1534" t="s">
        <v>354</v>
      </c>
      <c r="C1534">
        <v>2018</v>
      </c>
      <c r="D1534">
        <v>94669359707.539963</v>
      </c>
      <c r="E1534">
        <v>131000000000</v>
      </c>
      <c r="F1534">
        <v>45208907</v>
      </c>
      <c r="G1534">
        <v>3.4883623400000001</v>
      </c>
      <c r="H1534">
        <v>99.19981507</v>
      </c>
      <c r="I1534">
        <v>48</v>
      </c>
      <c r="J1534">
        <v>86856782112.780014</v>
      </c>
      <c r="K1534">
        <v>8.99</v>
      </c>
    </row>
    <row r="1535" spans="1:11" x14ac:dyDescent="0.3">
      <c r="A1535" t="s">
        <v>353</v>
      </c>
      <c r="B1535" t="s">
        <v>354</v>
      </c>
      <c r="C1535">
        <v>2019</v>
      </c>
      <c r="D1535">
        <v>100108804862.06003</v>
      </c>
      <c r="E1535">
        <v>154000000000</v>
      </c>
      <c r="F1535">
        <v>44957458</v>
      </c>
      <c r="G1535">
        <v>3.199503864</v>
      </c>
      <c r="H1535">
        <v>90.511234290000004</v>
      </c>
      <c r="I1535">
        <v>46</v>
      </c>
      <c r="J1535">
        <v>94669359707.539963</v>
      </c>
      <c r="K1535">
        <v>5.75</v>
      </c>
    </row>
    <row r="1536" spans="1:11" x14ac:dyDescent="0.3">
      <c r="A1536" t="s">
        <v>353</v>
      </c>
      <c r="B1536" t="s">
        <v>354</v>
      </c>
      <c r="C1536">
        <v>2020</v>
      </c>
      <c r="D1536">
        <v>98461599165.120117</v>
      </c>
      <c r="E1536">
        <v>157000000000</v>
      </c>
      <c r="F1536">
        <v>44680014</v>
      </c>
      <c r="G1536">
        <v>-3.7528179399999999</v>
      </c>
      <c r="H1536">
        <v>79.156452380000005</v>
      </c>
      <c r="I1536">
        <v>43</v>
      </c>
      <c r="J1536">
        <v>100108804862.06003</v>
      </c>
      <c r="K1536">
        <v>-1.65</v>
      </c>
    </row>
    <row r="1537" spans="1:11" x14ac:dyDescent="0.3">
      <c r="A1537" t="s">
        <v>353</v>
      </c>
      <c r="B1537" t="s">
        <v>354</v>
      </c>
      <c r="C1537">
        <v>2021</v>
      </c>
      <c r="D1537">
        <v>131740551020.78006</v>
      </c>
      <c r="E1537">
        <v>200000000000</v>
      </c>
      <c r="F1537">
        <v>44298640</v>
      </c>
      <c r="G1537">
        <v>3.4456206589999998</v>
      </c>
      <c r="H1537">
        <v>82.697961359999994</v>
      </c>
      <c r="I1537">
        <v>43</v>
      </c>
      <c r="J1537">
        <v>98461599165.120117</v>
      </c>
      <c r="K1537">
        <v>33.799999999999997</v>
      </c>
    </row>
    <row r="1538" spans="1:11" x14ac:dyDescent="0.3">
      <c r="A1538" t="s">
        <v>353</v>
      </c>
      <c r="B1538" t="s">
        <v>354</v>
      </c>
      <c r="C1538">
        <v>2022</v>
      </c>
      <c r="D1538">
        <v>88886401187.240005</v>
      </c>
      <c r="E1538">
        <v>162000000000</v>
      </c>
      <c r="F1538">
        <v>41048766</v>
      </c>
      <c r="G1538">
        <v>-28.758584219999999</v>
      </c>
      <c r="H1538">
        <v>87.396513990000003</v>
      </c>
      <c r="I1538">
        <v>56</v>
      </c>
      <c r="J1538">
        <v>131740551020.78006</v>
      </c>
      <c r="K1538">
        <v>-32.53</v>
      </c>
    </row>
    <row r="1539" spans="1:11" x14ac:dyDescent="0.3">
      <c r="A1539" t="s">
        <v>353</v>
      </c>
      <c r="B1539" t="s">
        <v>354</v>
      </c>
      <c r="C1539">
        <v>2023</v>
      </c>
      <c r="D1539">
        <v>72371078997.639969</v>
      </c>
      <c r="E1539">
        <v>181000000000</v>
      </c>
      <c r="F1539">
        <v>37732836</v>
      </c>
      <c r="G1539">
        <v>5.5347335500000003</v>
      </c>
      <c r="H1539">
        <v>77.509614189999994</v>
      </c>
      <c r="I1539">
        <v>56</v>
      </c>
      <c r="J1539">
        <v>88886401187.240005</v>
      </c>
      <c r="K1539">
        <v>-18.579999999999998</v>
      </c>
    </row>
    <row r="1540" spans="1:11" x14ac:dyDescent="0.3">
      <c r="A1540" t="s">
        <v>353</v>
      </c>
      <c r="B1540" t="s">
        <v>354</v>
      </c>
      <c r="C1540">
        <v>2024</v>
      </c>
      <c r="D1540">
        <v>83466142090.919998</v>
      </c>
      <c r="E1540">
        <v>191000000000</v>
      </c>
      <c r="F1540">
        <v>37860221</v>
      </c>
      <c r="G1540">
        <v>3.2481180840000001</v>
      </c>
      <c r="H1540">
        <v>79.68846739</v>
      </c>
      <c r="I1540">
        <v>53</v>
      </c>
      <c r="J1540">
        <v>72371078997.639969</v>
      </c>
      <c r="K1540">
        <v>15.33</v>
      </c>
    </row>
    <row r="1541" spans="1:11" x14ac:dyDescent="0.3">
      <c r="A1541" t="s">
        <v>355</v>
      </c>
      <c r="B1541" t="s">
        <v>356</v>
      </c>
      <c r="C1541">
        <v>2015</v>
      </c>
      <c r="D1541">
        <v>15339029128</v>
      </c>
      <c r="E1541">
        <v>57680327999</v>
      </c>
      <c r="F1541">
        <v>3368017</v>
      </c>
      <c r="G1541">
        <v>0.37074125800000002</v>
      </c>
      <c r="H1541">
        <v>45.328240809999997</v>
      </c>
      <c r="I1541">
        <v>88</v>
      </c>
    </row>
    <row r="1542" spans="1:11" x14ac:dyDescent="0.3">
      <c r="A1542" t="s">
        <v>355</v>
      </c>
      <c r="B1542" t="s">
        <v>356</v>
      </c>
      <c r="C1542">
        <v>2016</v>
      </c>
      <c r="D1542">
        <v>13927104050</v>
      </c>
      <c r="E1542">
        <v>57480787465</v>
      </c>
      <c r="F1542">
        <v>3379283</v>
      </c>
      <c r="G1542">
        <v>1.6897982300000001</v>
      </c>
      <c r="H1542">
        <v>48.470535310000002</v>
      </c>
      <c r="I1542">
        <v>90</v>
      </c>
      <c r="J1542">
        <v>15339029128</v>
      </c>
      <c r="K1542">
        <v>-9.1999999999999993</v>
      </c>
    </row>
    <row r="1543" spans="1:11" x14ac:dyDescent="0.3">
      <c r="A1543" t="s">
        <v>355</v>
      </c>
      <c r="B1543" t="s">
        <v>356</v>
      </c>
      <c r="C1543">
        <v>2017</v>
      </c>
      <c r="D1543">
        <v>15778774750</v>
      </c>
      <c r="E1543">
        <v>65006039810</v>
      </c>
      <c r="F1543">
        <v>3388438</v>
      </c>
      <c r="G1543">
        <v>1.7403764909999999</v>
      </c>
      <c r="H1543">
        <v>46.377963620000003</v>
      </c>
      <c r="I1543">
        <v>88</v>
      </c>
      <c r="J1543">
        <v>13927104050</v>
      </c>
      <c r="K1543">
        <v>13.3</v>
      </c>
    </row>
    <row r="1544" spans="1:11" x14ac:dyDescent="0.3">
      <c r="A1544" t="s">
        <v>355</v>
      </c>
      <c r="B1544" t="s">
        <v>356</v>
      </c>
      <c r="C1544">
        <v>2018</v>
      </c>
      <c r="D1544">
        <v>15004289664</v>
      </c>
      <c r="E1544">
        <v>65344577416</v>
      </c>
      <c r="F1544">
        <v>3394534</v>
      </c>
      <c r="G1544">
        <v>0.16477760899999999</v>
      </c>
      <c r="H1544">
        <v>47.79134535</v>
      </c>
      <c r="I1544">
        <v>88</v>
      </c>
      <c r="J1544">
        <v>15778774750</v>
      </c>
      <c r="K1544">
        <v>-4.91</v>
      </c>
    </row>
    <row r="1545" spans="1:11" x14ac:dyDescent="0.3">
      <c r="A1545" t="s">
        <v>355</v>
      </c>
      <c r="B1545" t="s">
        <v>356</v>
      </c>
      <c r="C1545">
        <v>2019</v>
      </c>
      <c r="D1545">
        <v>15360690882</v>
      </c>
      <c r="E1545">
        <v>62222324965</v>
      </c>
      <c r="F1545">
        <v>3397206</v>
      </c>
      <c r="G1545">
        <v>0.92835102800000002</v>
      </c>
      <c r="H1545">
        <v>49.74486607</v>
      </c>
      <c r="I1545">
        <v>86</v>
      </c>
      <c r="J1545">
        <v>15004289664</v>
      </c>
      <c r="K1545">
        <v>2.38</v>
      </c>
    </row>
    <row r="1546" spans="1:11" x14ac:dyDescent="0.3">
      <c r="A1546" t="s">
        <v>355</v>
      </c>
      <c r="B1546" t="s">
        <v>356</v>
      </c>
      <c r="C1546">
        <v>2020</v>
      </c>
      <c r="D1546">
        <v>13727891130</v>
      </c>
      <c r="E1546">
        <v>53559354501</v>
      </c>
      <c r="F1546">
        <v>3398968</v>
      </c>
      <c r="G1546">
        <v>-7.3573270690000001</v>
      </c>
      <c r="H1546">
        <v>47.731833119999997</v>
      </c>
      <c r="I1546">
        <v>86</v>
      </c>
      <c r="J1546">
        <v>15360690882</v>
      </c>
      <c r="K1546">
        <v>-10.63</v>
      </c>
    </row>
    <row r="1547" spans="1:11" x14ac:dyDescent="0.3">
      <c r="A1547" t="s">
        <v>355</v>
      </c>
      <c r="B1547" t="s">
        <v>356</v>
      </c>
      <c r="C1547">
        <v>2021</v>
      </c>
      <c r="D1547">
        <v>19070547876</v>
      </c>
      <c r="E1547">
        <v>60739061281</v>
      </c>
      <c r="F1547">
        <v>3396695</v>
      </c>
      <c r="G1547">
        <v>5.8442732499999996</v>
      </c>
      <c r="H1547">
        <v>58.315055510000001</v>
      </c>
      <c r="I1547">
        <v>84</v>
      </c>
      <c r="J1547">
        <v>13727891130</v>
      </c>
      <c r="K1547">
        <v>38.92</v>
      </c>
    </row>
    <row r="1548" spans="1:11" x14ac:dyDescent="0.3">
      <c r="A1548" t="s">
        <v>355</v>
      </c>
      <c r="B1548" t="s">
        <v>356</v>
      </c>
      <c r="C1548">
        <v>2022</v>
      </c>
      <c r="D1548">
        <v>22367080530</v>
      </c>
      <c r="E1548">
        <v>71240669088</v>
      </c>
      <c r="F1548">
        <v>3390913</v>
      </c>
      <c r="G1548">
        <v>4.6062300089999999</v>
      </c>
      <c r="H1548">
        <v>60.202682830000001</v>
      </c>
      <c r="I1548">
        <v>83</v>
      </c>
      <c r="J1548">
        <v>19070547876</v>
      </c>
      <c r="K1548">
        <v>17.29</v>
      </c>
    </row>
    <row r="1549" spans="1:11" x14ac:dyDescent="0.3">
      <c r="A1549" t="s">
        <v>355</v>
      </c>
      <c r="B1549" t="s">
        <v>356</v>
      </c>
      <c r="C1549">
        <v>2023</v>
      </c>
      <c r="D1549">
        <v>18385552418</v>
      </c>
      <c r="E1549">
        <v>79208725900</v>
      </c>
      <c r="F1549">
        <v>3388081</v>
      </c>
      <c r="G1549">
        <v>0.76174924099999997</v>
      </c>
      <c r="H1549">
        <v>52.327310840000003</v>
      </c>
      <c r="I1549">
        <v>87</v>
      </c>
      <c r="J1549">
        <v>22367080530</v>
      </c>
      <c r="K1549">
        <v>-17.8</v>
      </c>
    </row>
    <row r="1550" spans="1:11" x14ac:dyDescent="0.3">
      <c r="A1550" t="s">
        <v>355</v>
      </c>
      <c r="B1550" t="s">
        <v>356</v>
      </c>
      <c r="C1550">
        <v>2024</v>
      </c>
      <c r="D1550">
        <v>20496774746</v>
      </c>
      <c r="E1550">
        <v>82322859144</v>
      </c>
      <c r="F1550">
        <v>3386588</v>
      </c>
      <c r="G1550">
        <v>3.3257590600000002</v>
      </c>
      <c r="H1550">
        <v>51.458223760000003</v>
      </c>
      <c r="I1550">
        <v>79</v>
      </c>
      <c r="J1550">
        <v>18385552418</v>
      </c>
      <c r="K1550">
        <v>11.48</v>
      </c>
    </row>
    <row r="1551" spans="1:11" x14ac:dyDescent="0.3">
      <c r="A1551" t="s">
        <v>357</v>
      </c>
      <c r="B1551" t="s">
        <v>357</v>
      </c>
      <c r="C1551">
        <v>2015</v>
      </c>
      <c r="D1551">
        <v>3003691727678</v>
      </c>
      <c r="E1551">
        <v>18300000000000</v>
      </c>
      <c r="F1551">
        <v>321815121</v>
      </c>
      <c r="G1551">
        <v>2.945550452</v>
      </c>
      <c r="H1551">
        <v>27.68821393</v>
      </c>
      <c r="I1551">
        <v>2</v>
      </c>
    </row>
    <row r="1552" spans="1:11" x14ac:dyDescent="0.3">
      <c r="A1552" t="s">
        <v>357</v>
      </c>
      <c r="B1552" t="s">
        <v>357</v>
      </c>
      <c r="C1552">
        <v>2016</v>
      </c>
      <c r="D1552">
        <v>2901812545912</v>
      </c>
      <c r="E1552">
        <v>18800000000000</v>
      </c>
      <c r="F1552">
        <v>324353340</v>
      </c>
      <c r="G1552">
        <v>1.819451479</v>
      </c>
      <c r="H1552">
        <v>26.452597789999999</v>
      </c>
      <c r="I1552">
        <v>2</v>
      </c>
      <c r="J1552">
        <v>3003691727678</v>
      </c>
      <c r="K1552">
        <v>-3.39</v>
      </c>
    </row>
    <row r="1553" spans="1:11" x14ac:dyDescent="0.3">
      <c r="A1553" t="s">
        <v>357</v>
      </c>
      <c r="B1553" t="s">
        <v>357</v>
      </c>
      <c r="C1553">
        <v>2017</v>
      </c>
      <c r="D1553">
        <v>3091619196308</v>
      </c>
      <c r="E1553">
        <v>19600000000000</v>
      </c>
      <c r="F1553">
        <v>326608609</v>
      </c>
      <c r="G1553">
        <v>2.4576223009999998</v>
      </c>
      <c r="H1553">
        <v>27.12533822</v>
      </c>
      <c r="I1553">
        <v>2</v>
      </c>
      <c r="J1553">
        <v>2901812545912</v>
      </c>
      <c r="K1553">
        <v>6.54</v>
      </c>
    </row>
    <row r="1554" spans="1:11" x14ac:dyDescent="0.3">
      <c r="A1554" t="s">
        <v>357</v>
      </c>
      <c r="B1554" t="s">
        <v>357</v>
      </c>
      <c r="C1554">
        <v>2018</v>
      </c>
      <c r="D1554">
        <v>3330605873182</v>
      </c>
      <c r="E1554">
        <v>20700000000000</v>
      </c>
      <c r="F1554">
        <v>328529577</v>
      </c>
      <c r="G1554">
        <v>2.9665050669999999</v>
      </c>
      <c r="H1554">
        <v>27.44535913</v>
      </c>
      <c r="I1554">
        <v>2</v>
      </c>
      <c r="J1554">
        <v>3091619196308</v>
      </c>
      <c r="K1554">
        <v>7.73</v>
      </c>
    </row>
    <row r="1555" spans="1:11" x14ac:dyDescent="0.3">
      <c r="A1555" t="s">
        <v>357</v>
      </c>
      <c r="B1555" t="s">
        <v>357</v>
      </c>
      <c r="C1555">
        <v>2019</v>
      </c>
      <c r="D1555">
        <v>3288552441566</v>
      </c>
      <c r="E1555">
        <v>21500000000000</v>
      </c>
      <c r="F1555">
        <v>330226227</v>
      </c>
      <c r="G1555">
        <v>2.5838253309999999</v>
      </c>
      <c r="H1555">
        <v>26.25848062</v>
      </c>
      <c r="I1555">
        <v>2</v>
      </c>
      <c r="J1555">
        <v>3330605873182</v>
      </c>
      <c r="K1555">
        <v>-1.26</v>
      </c>
    </row>
    <row r="1556" spans="1:11" x14ac:dyDescent="0.3">
      <c r="A1556" t="s">
        <v>357</v>
      </c>
      <c r="B1556" t="s">
        <v>357</v>
      </c>
      <c r="C1556">
        <v>2020</v>
      </c>
      <c r="D1556">
        <v>2860507246978</v>
      </c>
      <c r="E1556">
        <v>21400000000000</v>
      </c>
      <c r="F1556">
        <v>331578104</v>
      </c>
      <c r="G1556">
        <v>-2.0813759780000001</v>
      </c>
      <c r="H1556">
        <v>23.13994375</v>
      </c>
      <c r="I1556">
        <v>2</v>
      </c>
      <c r="J1556">
        <v>3288552441566</v>
      </c>
      <c r="K1556">
        <v>-13.02</v>
      </c>
    </row>
    <row r="1557" spans="1:11" x14ac:dyDescent="0.3">
      <c r="A1557" t="s">
        <v>357</v>
      </c>
      <c r="B1557" t="s">
        <v>357</v>
      </c>
      <c r="C1557">
        <v>2021</v>
      </c>
      <c r="D1557">
        <v>3506273416212</v>
      </c>
      <c r="E1557">
        <v>23700000000000</v>
      </c>
      <c r="F1557">
        <v>332100166</v>
      </c>
      <c r="G1557">
        <v>6.1520224790000002</v>
      </c>
      <c r="H1557">
        <v>25.232726020000001</v>
      </c>
      <c r="I1557">
        <v>2</v>
      </c>
      <c r="J1557">
        <v>2860507246978</v>
      </c>
      <c r="K1557">
        <v>22.58</v>
      </c>
    </row>
    <row r="1558" spans="1:11" x14ac:dyDescent="0.3">
      <c r="A1558" t="s">
        <v>357</v>
      </c>
      <c r="B1558" t="s">
        <v>357</v>
      </c>
      <c r="C1558">
        <v>2022</v>
      </c>
      <c r="D1558">
        <v>4124179665462</v>
      </c>
      <c r="E1558">
        <v>26100000000000</v>
      </c>
      <c r="F1558">
        <v>333996304</v>
      </c>
      <c r="G1558">
        <v>2.5242138509999998</v>
      </c>
      <c r="H1558">
        <v>26.907898159999998</v>
      </c>
      <c r="I1558">
        <v>2</v>
      </c>
      <c r="J1558">
        <v>3506273416212</v>
      </c>
      <c r="K1558">
        <v>17.62</v>
      </c>
    </row>
    <row r="1559" spans="1:11" x14ac:dyDescent="0.3">
      <c r="A1559" t="s">
        <v>357</v>
      </c>
      <c r="B1559" t="s">
        <v>357</v>
      </c>
      <c r="C1559">
        <v>2023</v>
      </c>
      <c r="D1559">
        <v>4037085167542</v>
      </c>
      <c r="E1559">
        <v>27800000000000</v>
      </c>
      <c r="F1559">
        <v>336755052</v>
      </c>
      <c r="G1559">
        <v>2.9343632240000002</v>
      </c>
      <c r="H1559">
        <v>24.92929818</v>
      </c>
      <c r="I1559">
        <v>2</v>
      </c>
      <c r="J1559">
        <v>4124179665462</v>
      </c>
      <c r="K1559">
        <v>-2.11</v>
      </c>
    </row>
    <row r="1560" spans="1:11" x14ac:dyDescent="0.3">
      <c r="A1560" t="s">
        <v>357</v>
      </c>
      <c r="B1560" t="s">
        <v>357</v>
      </c>
      <c r="C1560">
        <v>2024</v>
      </c>
      <c r="D1560">
        <v>4127605222246</v>
      </c>
      <c r="E1560">
        <v>29300000000000</v>
      </c>
      <c r="F1560">
        <v>340003797</v>
      </c>
      <c r="G1560">
        <v>2.7931871539999999</v>
      </c>
      <c r="H1560">
        <v>25.016017300000001</v>
      </c>
      <c r="I1560">
        <v>2</v>
      </c>
      <c r="J1560">
        <v>4037085167542</v>
      </c>
      <c r="K1560">
        <v>2.2400000000000002</v>
      </c>
    </row>
    <row r="1561" spans="1:11" x14ac:dyDescent="0.3">
      <c r="A1561" t="s">
        <v>358</v>
      </c>
      <c r="B1561" t="s">
        <v>359</v>
      </c>
      <c r="C1561">
        <v>2017</v>
      </c>
      <c r="D1561">
        <v>20158942006.419998</v>
      </c>
      <c r="E1561">
        <v>72276404058</v>
      </c>
      <c r="F1561">
        <v>31819178</v>
      </c>
      <c r="G1561">
        <v>4.7002740200000002</v>
      </c>
      <c r="H1561">
        <v>41.044306210000002</v>
      </c>
      <c r="I1561">
        <v>82</v>
      </c>
    </row>
    <row r="1562" spans="1:11" x14ac:dyDescent="0.3">
      <c r="A1562" t="s">
        <v>358</v>
      </c>
      <c r="B1562" t="s">
        <v>359</v>
      </c>
      <c r="C1562">
        <v>2018</v>
      </c>
      <c r="D1562">
        <v>21838023454.299995</v>
      </c>
      <c r="E1562">
        <v>61318332403</v>
      </c>
      <c r="F1562">
        <v>32373490</v>
      </c>
      <c r="G1562">
        <v>5.7236838079999997</v>
      </c>
      <c r="H1562">
        <v>61.395110019999997</v>
      </c>
      <c r="I1562">
        <v>79</v>
      </c>
      <c r="J1562">
        <v>20158942006.419998</v>
      </c>
      <c r="K1562">
        <v>8.33</v>
      </c>
    </row>
    <row r="1563" spans="1:11" x14ac:dyDescent="0.3">
      <c r="A1563" t="s">
        <v>358</v>
      </c>
      <c r="B1563" t="s">
        <v>359</v>
      </c>
      <c r="C1563">
        <v>2019</v>
      </c>
      <c r="D1563">
        <v>29859013380.86002</v>
      </c>
      <c r="E1563">
        <v>70170662563</v>
      </c>
      <c r="F1563">
        <v>32964701</v>
      </c>
      <c r="G1563">
        <v>6.7933109849999997</v>
      </c>
      <c r="H1563">
        <v>62.30037823</v>
      </c>
      <c r="I1563">
        <v>70</v>
      </c>
      <c r="J1563">
        <v>21838023454.299995</v>
      </c>
      <c r="K1563">
        <v>36.729999999999997</v>
      </c>
    </row>
    <row r="1564" spans="1:11" x14ac:dyDescent="0.3">
      <c r="A1564" t="s">
        <v>358</v>
      </c>
      <c r="B1564" t="s">
        <v>359</v>
      </c>
      <c r="C1564">
        <v>2020</v>
      </c>
      <c r="D1564">
        <v>26561125414.939999</v>
      </c>
      <c r="E1564">
        <v>70127127133</v>
      </c>
      <c r="F1564">
        <v>33586372</v>
      </c>
      <c r="G1564">
        <v>1.6216228159999999</v>
      </c>
      <c r="H1564">
        <v>53.107076999999997</v>
      </c>
      <c r="I1564">
        <v>72</v>
      </c>
      <c r="J1564">
        <v>29859013380.86002</v>
      </c>
      <c r="K1564">
        <v>-11.04</v>
      </c>
    </row>
    <row r="1565" spans="1:11" x14ac:dyDescent="0.3">
      <c r="A1565" t="s">
        <v>358</v>
      </c>
      <c r="B1565" t="s">
        <v>359</v>
      </c>
      <c r="C1565">
        <v>2021</v>
      </c>
      <c r="D1565">
        <v>28184495984.861015</v>
      </c>
      <c r="E1565">
        <v>81170051811</v>
      </c>
      <c r="F1565">
        <v>34243696</v>
      </c>
      <c r="G1565">
        <v>8.2044851239999996</v>
      </c>
      <c r="H1565">
        <v>54.747782209999997</v>
      </c>
      <c r="I1565">
        <v>75</v>
      </c>
      <c r="J1565">
        <v>26561125414.939999</v>
      </c>
      <c r="K1565">
        <v>6.11</v>
      </c>
    </row>
    <row r="1566" spans="1:11" x14ac:dyDescent="0.3">
      <c r="A1566" t="s">
        <v>358</v>
      </c>
      <c r="B1566" t="s">
        <v>359</v>
      </c>
      <c r="C1566">
        <v>2022</v>
      </c>
      <c r="D1566">
        <v>30573856875.296009</v>
      </c>
      <c r="E1566">
        <v>94286355836</v>
      </c>
      <c r="F1566">
        <v>34938955</v>
      </c>
      <c r="G1566">
        <v>6.0859233570000004</v>
      </c>
      <c r="H1566">
        <v>60.048358260000001</v>
      </c>
      <c r="I1566">
        <v>75</v>
      </c>
      <c r="J1566">
        <v>28184495984.861015</v>
      </c>
      <c r="K1566">
        <v>8.48</v>
      </c>
    </row>
    <row r="1567" spans="1:11" x14ac:dyDescent="0.3">
      <c r="A1567" t="s">
        <v>358</v>
      </c>
      <c r="B1567" t="s">
        <v>359</v>
      </c>
      <c r="C1567">
        <v>2023</v>
      </c>
      <c r="D1567">
        <v>42033833948.516014</v>
      </c>
      <c r="E1567">
        <v>108000000000</v>
      </c>
      <c r="F1567">
        <v>35652307</v>
      </c>
      <c r="G1567">
        <v>6.3160300420000004</v>
      </c>
      <c r="H1567">
        <v>63.102194300000001</v>
      </c>
      <c r="I1567">
        <v>64</v>
      </c>
      <c r="J1567">
        <v>30573856875.296009</v>
      </c>
      <c r="K1567">
        <v>37.479999999999997</v>
      </c>
    </row>
    <row r="1568" spans="1:11" x14ac:dyDescent="0.3">
      <c r="A1568" t="s">
        <v>358</v>
      </c>
      <c r="B1568" t="s">
        <v>359</v>
      </c>
      <c r="C1568">
        <v>2024</v>
      </c>
      <c r="D1568">
        <v>39470891797.060013</v>
      </c>
      <c r="E1568">
        <v>121000000000</v>
      </c>
      <c r="F1568">
        <v>36361859</v>
      </c>
      <c r="G1568">
        <v>6.6761879620000002</v>
      </c>
      <c r="H1568">
        <v>57.529543259999997</v>
      </c>
      <c r="I1568">
        <v>67</v>
      </c>
      <c r="J1568">
        <v>42033833948.516014</v>
      </c>
      <c r="K1568">
        <v>-6.1</v>
      </c>
    </row>
    <row r="1569" spans="1:11" x14ac:dyDescent="0.3">
      <c r="A1569" t="s">
        <v>360</v>
      </c>
      <c r="B1569" t="s">
        <v>361</v>
      </c>
      <c r="C1569">
        <v>2015</v>
      </c>
      <c r="D1569">
        <v>93737847.479000002</v>
      </c>
      <c r="E1569">
        <v>786555555.60000002</v>
      </c>
      <c r="F1569">
        <v>106960</v>
      </c>
      <c r="G1569">
        <v>2.785097918</v>
      </c>
      <c r="I1569">
        <v>160</v>
      </c>
    </row>
    <row r="1570" spans="1:11" x14ac:dyDescent="0.3">
      <c r="A1570" t="s">
        <v>360</v>
      </c>
      <c r="B1570" t="s">
        <v>361</v>
      </c>
      <c r="C1570">
        <v>2016</v>
      </c>
      <c r="D1570">
        <v>86025737.441</v>
      </c>
      <c r="E1570">
        <v>814303703.70000005</v>
      </c>
      <c r="F1570">
        <v>106349</v>
      </c>
      <c r="G1570">
        <v>4.1496810049999997</v>
      </c>
      <c r="I1570">
        <v>162</v>
      </c>
      <c r="J1570">
        <v>93737847.479000002</v>
      </c>
      <c r="K1570">
        <v>-8.23</v>
      </c>
    </row>
    <row r="1571" spans="1:11" x14ac:dyDescent="0.3">
      <c r="A1571" t="s">
        <v>360</v>
      </c>
      <c r="B1571" t="s">
        <v>361</v>
      </c>
      <c r="C1571">
        <v>2017</v>
      </c>
      <c r="D1571">
        <v>84598817.713000014</v>
      </c>
      <c r="E1571">
        <v>844040740.70000005</v>
      </c>
      <c r="F1571">
        <v>105663</v>
      </c>
      <c r="G1571">
        <v>1.5481017319999999</v>
      </c>
      <c r="I1571">
        <v>163</v>
      </c>
      <c r="J1571">
        <v>86025737.441</v>
      </c>
      <c r="K1571">
        <v>-1.66</v>
      </c>
    </row>
    <row r="1572" spans="1:11" x14ac:dyDescent="0.3">
      <c r="A1572" t="s">
        <v>360</v>
      </c>
      <c r="B1572" t="s">
        <v>361</v>
      </c>
      <c r="C1572">
        <v>2018</v>
      </c>
      <c r="D1572">
        <v>87331771.584000036</v>
      </c>
      <c r="E1572">
        <v>884329629.60000002</v>
      </c>
      <c r="F1572">
        <v>104926</v>
      </c>
      <c r="G1572">
        <v>3.1756114420000001</v>
      </c>
      <c r="I1572">
        <v>160</v>
      </c>
      <c r="J1572">
        <v>84598817.713000014</v>
      </c>
      <c r="K1572">
        <v>3.23</v>
      </c>
    </row>
    <row r="1573" spans="1:11" x14ac:dyDescent="0.3">
      <c r="A1573" t="s">
        <v>360</v>
      </c>
      <c r="B1573" t="s">
        <v>361</v>
      </c>
      <c r="C1573">
        <v>2019</v>
      </c>
      <c r="D1573">
        <v>76314048.280000001</v>
      </c>
      <c r="E1573">
        <v>910481481.5</v>
      </c>
      <c r="F1573">
        <v>104167</v>
      </c>
      <c r="G1573">
        <v>0.66842848099999996</v>
      </c>
      <c r="I1573">
        <v>158</v>
      </c>
      <c r="J1573">
        <v>87331771.584000036</v>
      </c>
      <c r="K1573">
        <v>-12.62</v>
      </c>
    </row>
    <row r="1574" spans="1:11" x14ac:dyDescent="0.3">
      <c r="A1574" t="s">
        <v>360</v>
      </c>
      <c r="B1574" t="s">
        <v>361</v>
      </c>
      <c r="C1574">
        <v>2020</v>
      </c>
      <c r="D1574">
        <v>110429542.94000001</v>
      </c>
      <c r="E1574">
        <v>864566666.70000005</v>
      </c>
      <c r="F1574">
        <v>103526</v>
      </c>
      <c r="G1574">
        <v>-4.2689243440000002</v>
      </c>
      <c r="I1574">
        <v>150</v>
      </c>
      <c r="J1574">
        <v>76314048.280000001</v>
      </c>
      <c r="K1574">
        <v>44.7</v>
      </c>
    </row>
    <row r="1575" spans="1:11" x14ac:dyDescent="0.3">
      <c r="A1575" t="s">
        <v>360</v>
      </c>
      <c r="B1575" t="s">
        <v>361</v>
      </c>
      <c r="C1575">
        <v>2021</v>
      </c>
      <c r="D1575">
        <v>69438410.576000035</v>
      </c>
      <c r="E1575">
        <v>888677777.79999995</v>
      </c>
      <c r="F1575">
        <v>102841</v>
      </c>
      <c r="G1575">
        <v>2.0934012449999999</v>
      </c>
      <c r="I1575">
        <v>152</v>
      </c>
      <c r="J1575">
        <v>110429542.94000001</v>
      </c>
      <c r="K1575">
        <v>-37.119999999999997</v>
      </c>
    </row>
    <row r="1576" spans="1:11" x14ac:dyDescent="0.3">
      <c r="A1576" t="s">
        <v>360</v>
      </c>
      <c r="B1576" t="s">
        <v>361</v>
      </c>
      <c r="C1576">
        <v>2022</v>
      </c>
      <c r="D1576">
        <v>89862347.938999981</v>
      </c>
      <c r="E1576">
        <v>989188888.89999998</v>
      </c>
      <c r="F1576">
        <v>102046</v>
      </c>
      <c r="G1576">
        <v>3.1108330030000002</v>
      </c>
      <c r="I1576">
        <v>152</v>
      </c>
      <c r="J1576">
        <v>69438410.576000035</v>
      </c>
      <c r="K1576">
        <v>29.41</v>
      </c>
    </row>
    <row r="1577" spans="1:11" x14ac:dyDescent="0.3">
      <c r="A1577" t="s">
        <v>360</v>
      </c>
      <c r="B1577" t="s">
        <v>361</v>
      </c>
      <c r="C1577">
        <v>2023</v>
      </c>
      <c r="D1577">
        <v>81598564.541999996</v>
      </c>
      <c r="E1577">
        <v>1072237037</v>
      </c>
      <c r="F1577">
        <v>101323</v>
      </c>
      <c r="G1577">
        <v>5.326364721</v>
      </c>
      <c r="I1577">
        <v>151</v>
      </c>
      <c r="J1577">
        <v>89862347.938999981</v>
      </c>
      <c r="K1577">
        <v>-9.1999999999999993</v>
      </c>
    </row>
    <row r="1578" spans="1:11" x14ac:dyDescent="0.3">
      <c r="A1578" t="s">
        <v>362</v>
      </c>
      <c r="B1578" t="s">
        <v>363</v>
      </c>
      <c r="C1578">
        <v>2015</v>
      </c>
      <c r="D1578">
        <v>324033484966</v>
      </c>
      <c r="E1578">
        <v>239000000000</v>
      </c>
      <c r="F1578">
        <v>92823254</v>
      </c>
      <c r="G1578">
        <v>6.9871543059999999</v>
      </c>
      <c r="H1578">
        <v>144.9142282</v>
      </c>
      <c r="I1578">
        <v>24</v>
      </c>
    </row>
    <row r="1579" spans="1:11" x14ac:dyDescent="0.3">
      <c r="A1579" t="s">
        <v>362</v>
      </c>
      <c r="B1579" t="s">
        <v>363</v>
      </c>
      <c r="C1579">
        <v>2016</v>
      </c>
      <c r="D1579">
        <v>353161573269.43976</v>
      </c>
      <c r="E1579">
        <v>257000000000</v>
      </c>
      <c r="F1579">
        <v>94000117</v>
      </c>
      <c r="G1579">
        <v>6.690008927</v>
      </c>
      <c r="H1579">
        <v>145.40950799999999</v>
      </c>
      <c r="I1579">
        <v>24</v>
      </c>
      <c r="J1579">
        <v>324033484966</v>
      </c>
      <c r="K1579">
        <v>8.99</v>
      </c>
    </row>
    <row r="1580" spans="1:11" x14ac:dyDescent="0.3">
      <c r="A1580" t="s">
        <v>362</v>
      </c>
      <c r="B1580" t="s">
        <v>363</v>
      </c>
      <c r="C1580">
        <v>2017</v>
      </c>
      <c r="D1580">
        <v>430237213998.00006</v>
      </c>
      <c r="E1580">
        <v>281000000000</v>
      </c>
      <c r="F1580">
        <v>95176977</v>
      </c>
      <c r="G1580">
        <v>6.9401903740000002</v>
      </c>
      <c r="H1580">
        <v>160.98008369999999</v>
      </c>
      <c r="I1580">
        <v>23</v>
      </c>
      <c r="J1580">
        <v>353161573269.43976</v>
      </c>
      <c r="K1580">
        <v>21.82</v>
      </c>
    </row>
    <row r="1581" spans="1:11" x14ac:dyDescent="0.3">
      <c r="A1581" t="s">
        <v>362</v>
      </c>
      <c r="B1581" t="s">
        <v>363</v>
      </c>
      <c r="C1581">
        <v>2018</v>
      </c>
      <c r="D1581">
        <v>487397396648.66028</v>
      </c>
      <c r="E1581">
        <v>310000000000</v>
      </c>
      <c r="F1581">
        <v>96237319</v>
      </c>
      <c r="G1581">
        <v>7.4650068559999996</v>
      </c>
      <c r="H1581">
        <v>164.66393679999999</v>
      </c>
      <c r="I1581">
        <v>23</v>
      </c>
      <c r="J1581">
        <v>430237213998.00006</v>
      </c>
      <c r="K1581">
        <v>13.29</v>
      </c>
    </row>
    <row r="1582" spans="1:11" x14ac:dyDescent="0.3">
      <c r="A1582" t="s">
        <v>362</v>
      </c>
      <c r="B1582" t="s">
        <v>363</v>
      </c>
      <c r="C1582">
        <v>2019</v>
      </c>
      <c r="D1582">
        <v>529220645299.65985</v>
      </c>
      <c r="E1582">
        <v>334000000000</v>
      </c>
      <c r="F1582">
        <v>97173776</v>
      </c>
      <c r="G1582">
        <v>7.3592627009999996</v>
      </c>
      <c r="H1582">
        <v>164.704215</v>
      </c>
      <c r="I1582">
        <v>19</v>
      </c>
      <c r="J1582">
        <v>487397396648.66028</v>
      </c>
      <c r="K1582">
        <v>8.58</v>
      </c>
    </row>
    <row r="1583" spans="1:11" x14ac:dyDescent="0.3">
      <c r="A1583" t="s">
        <v>362</v>
      </c>
      <c r="B1583" t="s">
        <v>363</v>
      </c>
      <c r="C1583">
        <v>2020</v>
      </c>
      <c r="D1583">
        <v>562882914473.78894</v>
      </c>
      <c r="E1583">
        <v>347000000000</v>
      </c>
      <c r="F1583">
        <v>98079191</v>
      </c>
      <c r="G1583">
        <v>2.8654132090000002</v>
      </c>
      <c r="H1583">
        <v>163.2458628</v>
      </c>
      <c r="I1583">
        <v>17</v>
      </c>
      <c r="J1583">
        <v>529220645299.65985</v>
      </c>
      <c r="K1583">
        <v>6.36</v>
      </c>
    </row>
    <row r="1584" spans="1:11" x14ac:dyDescent="0.3">
      <c r="A1584" t="s">
        <v>362</v>
      </c>
      <c r="B1584" t="s">
        <v>363</v>
      </c>
      <c r="C1584">
        <v>2021</v>
      </c>
      <c r="D1584">
        <v>671585195619.99792</v>
      </c>
      <c r="E1584">
        <v>366000000000</v>
      </c>
      <c r="F1584">
        <v>98935098</v>
      </c>
      <c r="G1584">
        <v>2.553728526</v>
      </c>
      <c r="H1584">
        <v>186.67583279999999</v>
      </c>
      <c r="I1584">
        <v>19</v>
      </c>
      <c r="J1584">
        <v>562882914473.78894</v>
      </c>
      <c r="K1584">
        <v>19.309999999999999</v>
      </c>
    </row>
    <row r="1585" spans="1:11" x14ac:dyDescent="0.3">
      <c r="A1585" t="s">
        <v>362</v>
      </c>
      <c r="B1585" t="s">
        <v>363</v>
      </c>
      <c r="C1585">
        <v>2022</v>
      </c>
      <c r="D1585">
        <v>741818314878.00183</v>
      </c>
      <c r="E1585">
        <v>413000000000</v>
      </c>
      <c r="F1585">
        <v>99680655</v>
      </c>
      <c r="G1585">
        <v>8.537500412</v>
      </c>
      <c r="H1585">
        <v>183.15361909999999</v>
      </c>
      <c r="I1585">
        <v>19</v>
      </c>
      <c r="J1585">
        <v>671585195619.99792</v>
      </c>
      <c r="K1585">
        <v>10.46</v>
      </c>
    </row>
    <row r="1586" spans="1:11" x14ac:dyDescent="0.3">
      <c r="A1586" t="s">
        <v>362</v>
      </c>
      <c r="B1586" t="s">
        <v>363</v>
      </c>
      <c r="C1586">
        <v>2023</v>
      </c>
      <c r="D1586">
        <v>706155026592.00183</v>
      </c>
      <c r="E1586">
        <v>434000000000</v>
      </c>
      <c r="F1586">
        <v>100352192</v>
      </c>
      <c r="G1586">
        <v>4.9786595949999999</v>
      </c>
      <c r="H1586">
        <v>164.9955855</v>
      </c>
      <c r="I1586">
        <v>19</v>
      </c>
      <c r="J1586">
        <v>741818314878.00183</v>
      </c>
      <c r="K1586">
        <v>-4.8099999999999996</v>
      </c>
    </row>
    <row r="1587" spans="1:11" x14ac:dyDescent="0.3">
      <c r="A1587" t="s">
        <v>364</v>
      </c>
      <c r="B1587" t="s">
        <v>365</v>
      </c>
      <c r="C1587">
        <v>2015</v>
      </c>
      <c r="D1587">
        <v>117855105</v>
      </c>
      <c r="E1587">
        <v>824150498.70000005</v>
      </c>
      <c r="F1587">
        <v>201782</v>
      </c>
      <c r="G1587">
        <v>3.850361817</v>
      </c>
      <c r="H1587">
        <v>74.634355009999993</v>
      </c>
      <c r="I1587">
        <v>159</v>
      </c>
    </row>
    <row r="1588" spans="1:11" x14ac:dyDescent="0.3">
      <c r="A1588" t="s">
        <v>364</v>
      </c>
      <c r="B1588" t="s">
        <v>365</v>
      </c>
      <c r="C1588">
        <v>2016</v>
      </c>
      <c r="D1588">
        <v>112080977</v>
      </c>
      <c r="E1588">
        <v>843924796.70000005</v>
      </c>
      <c r="F1588">
        <v>203499</v>
      </c>
      <c r="G1588">
        <v>7.9838628780000001</v>
      </c>
      <c r="H1588">
        <v>75.21181747</v>
      </c>
      <c r="I1588">
        <v>161</v>
      </c>
      <c r="J1588">
        <v>117855105</v>
      </c>
      <c r="K1588">
        <v>-4.9000000000000004</v>
      </c>
    </row>
    <row r="1589" spans="1:11" x14ac:dyDescent="0.3">
      <c r="A1589" t="s">
        <v>364</v>
      </c>
      <c r="B1589" t="s">
        <v>365</v>
      </c>
      <c r="C1589">
        <v>2017</v>
      </c>
      <c r="D1589">
        <v>88803628.393000051</v>
      </c>
      <c r="E1589">
        <v>884844384.5</v>
      </c>
      <c r="F1589">
        <v>205415</v>
      </c>
      <c r="G1589">
        <v>1.4062824</v>
      </c>
      <c r="H1589">
        <v>74.011080759999999</v>
      </c>
      <c r="I1589">
        <v>162</v>
      </c>
      <c r="J1589">
        <v>112080977</v>
      </c>
      <c r="K1589">
        <v>-20.77</v>
      </c>
    </row>
    <row r="1590" spans="1:11" x14ac:dyDescent="0.3">
      <c r="A1590" t="s">
        <v>364</v>
      </c>
      <c r="B1590" t="s">
        <v>365</v>
      </c>
      <c r="C1590">
        <v>2018</v>
      </c>
      <c r="D1590">
        <v>92202610.699999988</v>
      </c>
      <c r="E1590">
        <v>878448433.39999998</v>
      </c>
      <c r="F1590">
        <v>207582</v>
      </c>
      <c r="G1590">
        <v>-0.60964710300000002</v>
      </c>
      <c r="H1590">
        <v>78.934968429999998</v>
      </c>
      <c r="I1590">
        <v>158</v>
      </c>
      <c r="J1590">
        <v>88803628.393000051</v>
      </c>
      <c r="K1590">
        <v>3.83</v>
      </c>
    </row>
    <row r="1591" spans="1:11" x14ac:dyDescent="0.3">
      <c r="A1591" t="s">
        <v>364</v>
      </c>
      <c r="B1591" t="s">
        <v>365</v>
      </c>
      <c r="C1591">
        <v>2019</v>
      </c>
      <c r="D1591">
        <v>98544964.280000046</v>
      </c>
      <c r="E1591">
        <v>912950466.10000002</v>
      </c>
      <c r="F1591">
        <v>209780</v>
      </c>
      <c r="G1591">
        <v>4.451858917</v>
      </c>
      <c r="H1591">
        <v>83.331079579999994</v>
      </c>
      <c r="I1591">
        <v>155</v>
      </c>
      <c r="J1591">
        <v>92202610.699999988</v>
      </c>
      <c r="K1591">
        <v>6.88</v>
      </c>
    </row>
    <row r="1592" spans="1:11" x14ac:dyDescent="0.3">
      <c r="A1592" t="s">
        <v>364</v>
      </c>
      <c r="B1592" t="s">
        <v>365</v>
      </c>
      <c r="C1592">
        <v>2021</v>
      </c>
      <c r="D1592">
        <v>57673170.920000024</v>
      </c>
      <c r="E1592">
        <v>859724936.10000002</v>
      </c>
      <c r="F1592">
        <v>213779</v>
      </c>
      <c r="G1592">
        <v>-5.0435058970000002</v>
      </c>
      <c r="H1592">
        <v>59.769779589999999</v>
      </c>
      <c r="I1592">
        <v>154</v>
      </c>
      <c r="J1592">
        <v>98544964.280000046</v>
      </c>
      <c r="K1592">
        <v>-41.48</v>
      </c>
    </row>
    <row r="1593" spans="1:11" x14ac:dyDescent="0.3">
      <c r="A1593" t="s">
        <v>364</v>
      </c>
      <c r="B1593" t="s">
        <v>365</v>
      </c>
      <c r="C1593">
        <v>2022</v>
      </c>
      <c r="D1593">
        <v>86593060.366999999</v>
      </c>
      <c r="E1593">
        <v>889554711.79999995</v>
      </c>
      <c r="F1593">
        <v>215261</v>
      </c>
      <c r="G1593">
        <v>2.2670531079999998</v>
      </c>
      <c r="H1593">
        <v>60.847778980000001</v>
      </c>
      <c r="I1593">
        <v>153</v>
      </c>
      <c r="J1593">
        <v>57673170.920000024</v>
      </c>
      <c r="K1593">
        <v>50.14</v>
      </c>
    </row>
    <row r="1594" spans="1:11" x14ac:dyDescent="0.3">
      <c r="A1594" t="s">
        <v>364</v>
      </c>
      <c r="B1594" t="s">
        <v>365</v>
      </c>
      <c r="C1594">
        <v>2023</v>
      </c>
      <c r="D1594">
        <v>85826188.103000015</v>
      </c>
      <c r="E1594">
        <v>1044909500</v>
      </c>
      <c r="F1594">
        <v>216663</v>
      </c>
      <c r="G1594">
        <v>15.23360647</v>
      </c>
      <c r="H1594">
        <v>80.840512570000001</v>
      </c>
      <c r="I1594">
        <v>150</v>
      </c>
      <c r="J1594">
        <v>86593060.366999999</v>
      </c>
      <c r="K1594">
        <v>-0.89</v>
      </c>
    </row>
    <row r="1595" spans="1:11" x14ac:dyDescent="0.3">
      <c r="A1595" t="s">
        <v>364</v>
      </c>
      <c r="B1595" t="s">
        <v>365</v>
      </c>
      <c r="C1595">
        <v>2024</v>
      </c>
      <c r="D1595">
        <v>83838809.731999993</v>
      </c>
      <c r="E1595">
        <v>1175749786</v>
      </c>
      <c r="F1595">
        <v>218019</v>
      </c>
      <c r="G1595">
        <v>4.7483863919999996</v>
      </c>
      <c r="H1595">
        <v>79.524147560000003</v>
      </c>
      <c r="I1595">
        <v>129</v>
      </c>
      <c r="J1595">
        <v>85826188.103000015</v>
      </c>
      <c r="K1595">
        <v>-2.3199999999999998</v>
      </c>
    </row>
    <row r="1596" spans="1:11" x14ac:dyDescent="0.3">
      <c r="A1596" t="s">
        <v>366</v>
      </c>
      <c r="B1596" t="s">
        <v>367</v>
      </c>
      <c r="C1596">
        <v>2015</v>
      </c>
      <c r="D1596">
        <v>1019715470</v>
      </c>
      <c r="E1596">
        <v>42444490074</v>
      </c>
      <c r="F1596">
        <v>31159379</v>
      </c>
      <c r="G1596">
        <v>-27.994546249999999</v>
      </c>
      <c r="H1596">
        <v>30.367659079999999</v>
      </c>
      <c r="I1596">
        <v>140</v>
      </c>
    </row>
    <row r="1597" spans="1:11" x14ac:dyDescent="0.3">
      <c r="A1597" t="s">
        <v>366</v>
      </c>
      <c r="B1597" t="s">
        <v>367</v>
      </c>
      <c r="C1597">
        <v>2018</v>
      </c>
      <c r="D1597">
        <v>30912264.138000004</v>
      </c>
      <c r="E1597">
        <v>21606160663</v>
      </c>
      <c r="F1597">
        <v>34085182</v>
      </c>
      <c r="G1597">
        <v>0.75244759299999997</v>
      </c>
      <c r="H1597">
        <v>56.07782272</v>
      </c>
      <c r="I1597">
        <v>166</v>
      </c>
      <c r="J1597">
        <v>1019715470</v>
      </c>
      <c r="K1597">
        <v>-96.97</v>
      </c>
    </row>
    <row r="1598" spans="1:11" x14ac:dyDescent="0.3">
      <c r="A1598" t="s">
        <v>366</v>
      </c>
      <c r="B1598" t="s">
        <v>367</v>
      </c>
      <c r="C1598">
        <v>2019</v>
      </c>
      <c r="D1598">
        <v>47567106.542999998</v>
      </c>
      <c r="F1598">
        <v>35111408</v>
      </c>
      <c r="I1598">
        <v>163</v>
      </c>
      <c r="J1598">
        <v>30912264.138000004</v>
      </c>
      <c r="K1598">
        <v>53.88</v>
      </c>
    </row>
    <row r="1599" spans="1:11" x14ac:dyDescent="0.3">
      <c r="A1599" t="s">
        <v>366</v>
      </c>
      <c r="B1599" t="s">
        <v>367</v>
      </c>
      <c r="C1599">
        <v>2023</v>
      </c>
      <c r="D1599">
        <v>939469812.92400014</v>
      </c>
      <c r="F1599">
        <v>39390799</v>
      </c>
      <c r="I1599">
        <v>135</v>
      </c>
      <c r="J1599">
        <v>47567106.542999998</v>
      </c>
      <c r="K1599">
        <v>1875.04</v>
      </c>
    </row>
    <row r="1600" spans="1:11" x14ac:dyDescent="0.3">
      <c r="A1600" t="s">
        <v>366</v>
      </c>
      <c r="B1600" t="s">
        <v>367</v>
      </c>
      <c r="C1600">
        <v>2024</v>
      </c>
      <c r="D1600">
        <v>1204629303.263</v>
      </c>
      <c r="F1600">
        <v>40583164</v>
      </c>
      <c r="I1600">
        <v>118</v>
      </c>
      <c r="J1600">
        <v>939469812.92400014</v>
      </c>
      <c r="K1600">
        <v>28.22</v>
      </c>
    </row>
    <row r="1601" spans="1:11" x14ac:dyDescent="0.3">
      <c r="A1601" t="s">
        <v>368</v>
      </c>
      <c r="B1601" t="s">
        <v>369</v>
      </c>
      <c r="C1601">
        <v>2015</v>
      </c>
      <c r="D1601">
        <v>160071379748.47195</v>
      </c>
      <c r="E1601">
        <v>347000000000</v>
      </c>
      <c r="F1601">
        <v>56723537</v>
      </c>
      <c r="G1601">
        <v>1.3218622369999999</v>
      </c>
      <c r="H1601">
        <v>56.726676140000002</v>
      </c>
      <c r="I1601">
        <v>33</v>
      </c>
    </row>
    <row r="1602" spans="1:11" x14ac:dyDescent="0.3">
      <c r="A1602" t="s">
        <v>368</v>
      </c>
      <c r="B1602" t="s">
        <v>369</v>
      </c>
      <c r="C1602">
        <v>2016</v>
      </c>
      <c r="D1602">
        <v>151825194946.94901</v>
      </c>
      <c r="E1602">
        <v>324000000000</v>
      </c>
      <c r="F1602">
        <v>57259551</v>
      </c>
      <c r="G1602">
        <v>0.66455230799999998</v>
      </c>
      <c r="H1602">
        <v>55.861257500000001</v>
      </c>
      <c r="I1602">
        <v>35</v>
      </c>
      <c r="J1602">
        <v>160071379748.47195</v>
      </c>
      <c r="K1602">
        <v>-5.15</v>
      </c>
    </row>
    <row r="1603" spans="1:11" x14ac:dyDescent="0.3">
      <c r="A1603" t="s">
        <v>368</v>
      </c>
      <c r="B1603" t="s">
        <v>369</v>
      </c>
      <c r="C1603">
        <v>2017</v>
      </c>
      <c r="D1603">
        <v>176466437979.24509</v>
      </c>
      <c r="E1603">
        <v>381000000000</v>
      </c>
      <c r="F1603">
        <v>57635162</v>
      </c>
      <c r="G1603">
        <v>1.1579469520000001</v>
      </c>
      <c r="H1603">
        <v>53.535931830000003</v>
      </c>
      <c r="I1603">
        <v>34</v>
      </c>
      <c r="J1603">
        <v>151825194946.94901</v>
      </c>
      <c r="K1603">
        <v>16.23</v>
      </c>
    </row>
    <row r="1604" spans="1:11" x14ac:dyDescent="0.3">
      <c r="A1604" t="s">
        <v>368</v>
      </c>
      <c r="B1604" t="s">
        <v>369</v>
      </c>
      <c r="C1604">
        <v>2018</v>
      </c>
      <c r="D1604">
        <v>187354868689.20212</v>
      </c>
      <c r="E1604">
        <v>405000000000</v>
      </c>
      <c r="F1604">
        <v>58613001</v>
      </c>
      <c r="G1604">
        <v>1.5567838469999999</v>
      </c>
      <c r="H1604">
        <v>54.485545129999998</v>
      </c>
      <c r="I1604">
        <v>34</v>
      </c>
      <c r="J1604">
        <v>176466437979.24509</v>
      </c>
      <c r="K1604">
        <v>6.17</v>
      </c>
    </row>
    <row r="1605" spans="1:11" x14ac:dyDescent="0.3">
      <c r="A1605" t="s">
        <v>368</v>
      </c>
      <c r="B1605" t="s">
        <v>369</v>
      </c>
      <c r="C1605">
        <v>2019</v>
      </c>
      <c r="D1605">
        <v>178791976667.84811</v>
      </c>
      <c r="E1605">
        <v>389000000000</v>
      </c>
      <c r="F1605">
        <v>59587885</v>
      </c>
      <c r="G1605">
        <v>0.25993557699999997</v>
      </c>
      <c r="H1605">
        <v>53.897996409999998</v>
      </c>
      <c r="I1605">
        <v>34</v>
      </c>
      <c r="J1605">
        <v>187354868689.20212</v>
      </c>
      <c r="K1605">
        <v>-4.57</v>
      </c>
    </row>
    <row r="1606" spans="1:11" x14ac:dyDescent="0.3">
      <c r="A1606" t="s">
        <v>368</v>
      </c>
      <c r="B1606" t="s">
        <v>369</v>
      </c>
      <c r="C1606">
        <v>2020</v>
      </c>
      <c r="D1606">
        <v>170453532900.10794</v>
      </c>
      <c r="E1606">
        <v>338000000000</v>
      </c>
      <c r="F1606">
        <v>60562381</v>
      </c>
      <c r="G1606">
        <v>-6.1689177150000001</v>
      </c>
      <c r="H1606">
        <v>50.759659079999999</v>
      </c>
      <c r="I1606">
        <v>34</v>
      </c>
      <c r="J1606">
        <v>178791976667.84811</v>
      </c>
      <c r="K1606">
        <v>-4.66</v>
      </c>
    </row>
    <row r="1607" spans="1:11" x14ac:dyDescent="0.3">
      <c r="A1607" t="s">
        <v>368</v>
      </c>
      <c r="B1607" t="s">
        <v>369</v>
      </c>
      <c r="C1607">
        <v>2021</v>
      </c>
      <c r="D1607">
        <v>242642557691.13815</v>
      </c>
      <c r="E1607">
        <v>420000000000</v>
      </c>
      <c r="F1607">
        <v>61502603</v>
      </c>
      <c r="G1607">
        <v>4.8586486510000002</v>
      </c>
      <c r="H1607">
        <v>56.164713630000001</v>
      </c>
      <c r="I1607">
        <v>33</v>
      </c>
      <c r="J1607">
        <v>170453532900.10794</v>
      </c>
      <c r="K1607">
        <v>42.35</v>
      </c>
    </row>
    <row r="1608" spans="1:11" x14ac:dyDescent="0.3">
      <c r="A1608" t="s">
        <v>368</v>
      </c>
      <c r="B1608" t="s">
        <v>369</v>
      </c>
      <c r="C1608">
        <v>2022</v>
      </c>
      <c r="D1608">
        <v>243232564135.75903</v>
      </c>
      <c r="E1608">
        <v>408000000000</v>
      </c>
      <c r="F1608">
        <v>62378410</v>
      </c>
      <c r="G1608">
        <v>2.0581366170000002</v>
      </c>
      <c r="H1608">
        <v>64.947134399999996</v>
      </c>
      <c r="I1608">
        <v>33</v>
      </c>
      <c r="J1608">
        <v>242642557691.13815</v>
      </c>
      <c r="K1608">
        <v>0.24</v>
      </c>
    </row>
    <row r="1609" spans="1:11" x14ac:dyDescent="0.3">
      <c r="A1609" t="s">
        <v>368</v>
      </c>
      <c r="B1609" t="s">
        <v>369</v>
      </c>
      <c r="C1609">
        <v>2023</v>
      </c>
      <c r="D1609">
        <v>221215047769.06314</v>
      </c>
      <c r="E1609">
        <v>381000000000</v>
      </c>
      <c r="F1609">
        <v>63212384</v>
      </c>
      <c r="G1609">
        <v>0.806104551</v>
      </c>
      <c r="H1609">
        <v>65.679875969999998</v>
      </c>
      <c r="I1609">
        <v>33</v>
      </c>
      <c r="J1609">
        <v>243232564135.75903</v>
      </c>
      <c r="K1609">
        <v>-9.0500000000000007</v>
      </c>
    </row>
    <row r="1610" spans="1:11" x14ac:dyDescent="0.3">
      <c r="A1610" t="s">
        <v>368</v>
      </c>
      <c r="B1610" t="s">
        <v>369</v>
      </c>
      <c r="C1610">
        <v>2024</v>
      </c>
      <c r="D1610">
        <v>220084667048.7659</v>
      </c>
      <c r="E1610">
        <v>401000000000</v>
      </c>
      <c r="F1610">
        <v>64007187</v>
      </c>
      <c r="G1610">
        <v>0.53484353200000001</v>
      </c>
      <c r="H1610">
        <v>61.64677047</v>
      </c>
      <c r="I1610">
        <v>31</v>
      </c>
      <c r="J1610">
        <v>221215047769.06314</v>
      </c>
      <c r="K1610">
        <v>-0.51</v>
      </c>
    </row>
    <row r="1611" spans="1:11" x14ac:dyDescent="0.3">
      <c r="A1611" t="s">
        <v>370</v>
      </c>
      <c r="B1611" t="s">
        <v>371</v>
      </c>
      <c r="C1611">
        <v>2015</v>
      </c>
      <c r="D1611">
        <v>13130285023.215006</v>
      </c>
      <c r="E1611">
        <v>21251216799</v>
      </c>
      <c r="F1611">
        <v>16399089</v>
      </c>
      <c r="G1611">
        <v>2.9203751119999999</v>
      </c>
      <c r="H1611">
        <v>79.865268760000006</v>
      </c>
      <c r="I1611">
        <v>89</v>
      </c>
    </row>
    <row r="1612" spans="1:11" x14ac:dyDescent="0.3">
      <c r="A1612" t="s">
        <v>370</v>
      </c>
      <c r="B1612" t="s">
        <v>371</v>
      </c>
      <c r="C1612">
        <v>2016</v>
      </c>
      <c r="D1612">
        <v>12758165119.56601</v>
      </c>
      <c r="E1612">
        <v>20958412538</v>
      </c>
      <c r="F1612">
        <v>16914423</v>
      </c>
      <c r="G1612">
        <v>3.7551003170000001</v>
      </c>
      <c r="H1612">
        <v>73.958561250000002</v>
      </c>
      <c r="I1612">
        <v>91</v>
      </c>
      <c r="J1612">
        <v>13130285023.215006</v>
      </c>
      <c r="K1612">
        <v>-2.83</v>
      </c>
    </row>
    <row r="1613" spans="1:11" x14ac:dyDescent="0.3">
      <c r="A1613" t="s">
        <v>370</v>
      </c>
      <c r="B1613" t="s">
        <v>371</v>
      </c>
      <c r="C1613">
        <v>2017</v>
      </c>
      <c r="D1613">
        <v>16056426758.766989</v>
      </c>
      <c r="E1613">
        <v>25873601261</v>
      </c>
      <c r="F1613">
        <v>17441320</v>
      </c>
      <c r="G1613">
        <v>3.5258627709999999</v>
      </c>
      <c r="H1613">
        <v>71.585694649999994</v>
      </c>
      <c r="I1613">
        <v>87</v>
      </c>
      <c r="J1613">
        <v>12758165119.56601</v>
      </c>
      <c r="K1613">
        <v>25.85</v>
      </c>
    </row>
    <row r="1614" spans="1:11" x14ac:dyDescent="0.3">
      <c r="A1614" t="s">
        <v>370</v>
      </c>
      <c r="B1614" t="s">
        <v>371</v>
      </c>
      <c r="C1614">
        <v>2018</v>
      </c>
      <c r="D1614">
        <v>18044916270.721004</v>
      </c>
      <c r="E1614">
        <v>26311507274</v>
      </c>
      <c r="F1614">
        <v>17973569</v>
      </c>
      <c r="G1614">
        <v>4.0344938969999999</v>
      </c>
      <c r="H1614">
        <v>74.888369530000006</v>
      </c>
      <c r="I1614">
        <v>85</v>
      </c>
      <c r="J1614">
        <v>16056426758.766989</v>
      </c>
      <c r="K1614">
        <v>12.38</v>
      </c>
    </row>
    <row r="1615" spans="1:11" x14ac:dyDescent="0.3">
      <c r="A1615" t="s">
        <v>370</v>
      </c>
      <c r="B1615" t="s">
        <v>371</v>
      </c>
      <c r="C1615">
        <v>2019</v>
      </c>
      <c r="D1615">
        <v>14078810310.758001</v>
      </c>
      <c r="E1615">
        <v>23308667781</v>
      </c>
      <c r="F1615">
        <v>18513839</v>
      </c>
      <c r="G1615">
        <v>1.4413060259999999</v>
      </c>
      <c r="H1615">
        <v>68.79120494</v>
      </c>
      <c r="I1615">
        <v>90</v>
      </c>
      <c r="J1615">
        <v>18044916270.721004</v>
      </c>
      <c r="K1615">
        <v>-21.98</v>
      </c>
    </row>
    <row r="1616" spans="1:11" x14ac:dyDescent="0.3">
      <c r="A1616" t="s">
        <v>370</v>
      </c>
      <c r="B1616" t="s">
        <v>371</v>
      </c>
      <c r="C1616">
        <v>2020</v>
      </c>
      <c r="D1616">
        <v>15847843833.143015</v>
      </c>
      <c r="E1616">
        <v>18137764931</v>
      </c>
      <c r="F1616">
        <v>19059395</v>
      </c>
      <c r="G1616">
        <v>-2.7850550649999999</v>
      </c>
      <c r="H1616">
        <v>79.206849410000004</v>
      </c>
      <c r="I1616">
        <v>82</v>
      </c>
      <c r="J1616">
        <v>14078810310.758001</v>
      </c>
      <c r="K1616">
        <v>12.57</v>
      </c>
    </row>
    <row r="1617" spans="1:11" x14ac:dyDescent="0.3">
      <c r="A1617" t="s">
        <v>370</v>
      </c>
      <c r="B1617" t="s">
        <v>371</v>
      </c>
      <c r="C1617">
        <v>2021</v>
      </c>
      <c r="D1617">
        <v>22026281233.378998</v>
      </c>
      <c r="E1617">
        <v>22096416932</v>
      </c>
      <c r="F1617">
        <v>19603607</v>
      </c>
      <c r="G1617">
        <v>6.2349220470000004</v>
      </c>
      <c r="H1617">
        <v>86.208511189999996</v>
      </c>
      <c r="I1617">
        <v>81</v>
      </c>
      <c r="J1617">
        <v>15847843833.143015</v>
      </c>
      <c r="K1617">
        <v>38.99</v>
      </c>
    </row>
    <row r="1618" spans="1:11" x14ac:dyDescent="0.3">
      <c r="A1618" t="s">
        <v>370</v>
      </c>
      <c r="B1618" t="s">
        <v>371</v>
      </c>
      <c r="C1618">
        <v>2022</v>
      </c>
      <c r="D1618">
        <v>23285538818.321991</v>
      </c>
      <c r="E1618">
        <v>29163782140</v>
      </c>
      <c r="F1618">
        <v>20152938</v>
      </c>
      <c r="G1618">
        <v>5.2112236039999997</v>
      </c>
      <c r="H1618">
        <v>69.297315420000004</v>
      </c>
      <c r="I1618">
        <v>81</v>
      </c>
      <c r="J1618">
        <v>22026281233.378998</v>
      </c>
      <c r="K1618">
        <v>5.72</v>
      </c>
    </row>
    <row r="1619" spans="1:11" x14ac:dyDescent="0.3">
      <c r="A1619" t="s">
        <v>370</v>
      </c>
      <c r="B1619" t="s">
        <v>371</v>
      </c>
      <c r="C1619">
        <v>2023</v>
      </c>
      <c r="D1619">
        <v>20862367431.222008</v>
      </c>
      <c r="E1619">
        <v>27577956471</v>
      </c>
      <c r="F1619">
        <v>20723965</v>
      </c>
      <c r="G1619">
        <v>5.3679428549999999</v>
      </c>
      <c r="H1619">
        <v>78.241887050000003</v>
      </c>
      <c r="I1619">
        <v>83</v>
      </c>
      <c r="J1619">
        <v>23285538818.321991</v>
      </c>
      <c r="K1619">
        <v>-10.41</v>
      </c>
    </row>
    <row r="1620" spans="1:11" x14ac:dyDescent="0.3">
      <c r="A1620" t="s">
        <v>370</v>
      </c>
      <c r="B1620" t="s">
        <v>371</v>
      </c>
      <c r="C1620">
        <v>2024</v>
      </c>
      <c r="D1620">
        <v>22551659006.072994</v>
      </c>
      <c r="E1620">
        <v>25303185342</v>
      </c>
      <c r="F1620">
        <v>21314956</v>
      </c>
      <c r="G1620">
        <v>3.8200482550000001</v>
      </c>
      <c r="H1620">
        <v>62.534887410000003</v>
      </c>
      <c r="I1620">
        <v>76</v>
      </c>
      <c r="J1620">
        <v>20862367431.222008</v>
      </c>
      <c r="K1620">
        <v>8.1</v>
      </c>
    </row>
    <row r="1621" spans="1:11" x14ac:dyDescent="0.3">
      <c r="A1621" t="s">
        <v>372</v>
      </c>
      <c r="B1621" t="s">
        <v>373</v>
      </c>
      <c r="C1621">
        <v>2015</v>
      </c>
      <c r="D1621">
        <v>6821318261.1800013</v>
      </c>
      <c r="E1621">
        <v>19973250000</v>
      </c>
      <c r="F1621">
        <v>14399013</v>
      </c>
      <c r="G1621">
        <v>1.7798535639999999</v>
      </c>
      <c r="H1621">
        <v>56.749652660000002</v>
      </c>
      <c r="I1621">
        <v>105</v>
      </c>
    </row>
    <row r="1622" spans="1:11" x14ac:dyDescent="0.3">
      <c r="A1622" t="s">
        <v>372</v>
      </c>
      <c r="B1622" t="s">
        <v>373</v>
      </c>
      <c r="C1622">
        <v>2016</v>
      </c>
      <c r="D1622">
        <v>6682302191.9000015</v>
      </c>
      <c r="E1622">
        <v>20559250000</v>
      </c>
      <c r="F1622">
        <v>14600294</v>
      </c>
      <c r="G1622">
        <v>0.75579405899999996</v>
      </c>
      <c r="H1622">
        <v>51.219037659999998</v>
      </c>
      <c r="I1622">
        <v>106</v>
      </c>
      <c r="J1622">
        <v>6821318261.1800013</v>
      </c>
      <c r="K1622">
        <v>-2.04</v>
      </c>
    </row>
    <row r="1623" spans="1:11" x14ac:dyDescent="0.3">
      <c r="A1623" t="s">
        <v>372</v>
      </c>
      <c r="B1623" t="s">
        <v>373</v>
      </c>
      <c r="C1623">
        <v>2017</v>
      </c>
      <c r="D1623">
        <v>6960763733.9000015</v>
      </c>
      <c r="E1623">
        <v>51035657371</v>
      </c>
      <c r="F1623">
        <v>14812482</v>
      </c>
      <c r="G1623">
        <v>4.7344111780000002</v>
      </c>
      <c r="H1623">
        <v>55.028317829999999</v>
      </c>
      <c r="I1623">
        <v>108</v>
      </c>
      <c r="J1623">
        <v>6682302191.9000015</v>
      </c>
      <c r="K1623">
        <v>4.17</v>
      </c>
    </row>
    <row r="1624" spans="1:11" x14ac:dyDescent="0.3">
      <c r="A1624" t="s">
        <v>372</v>
      </c>
      <c r="B1624" t="s">
        <v>373</v>
      </c>
      <c r="C1624">
        <v>2018</v>
      </c>
      <c r="D1624">
        <v>8074534139.8999977</v>
      </c>
      <c r="E1624">
        <v>34141666667</v>
      </c>
      <c r="F1624">
        <v>15034452</v>
      </c>
      <c r="G1624">
        <v>5.0099215429999999</v>
      </c>
      <c r="H1624">
        <v>54.550316590000001</v>
      </c>
      <c r="I1624">
        <v>103</v>
      </c>
      <c r="J1624">
        <v>6960763733.9000015</v>
      </c>
      <c r="K1624">
        <v>16</v>
      </c>
    </row>
    <row r="1625" spans="1:11" x14ac:dyDescent="0.3">
      <c r="A1625" t="s">
        <v>372</v>
      </c>
      <c r="B1625" t="s">
        <v>373</v>
      </c>
      <c r="C1625">
        <v>2019</v>
      </c>
      <c r="D1625">
        <v>8558767075.3600006</v>
      </c>
      <c r="E1625">
        <v>33360632553</v>
      </c>
      <c r="F1625">
        <v>15271368</v>
      </c>
      <c r="G1625">
        <v>-6.3324497600000003</v>
      </c>
      <c r="H1625">
        <v>36.517868499999999</v>
      </c>
      <c r="I1625">
        <v>103</v>
      </c>
      <c r="J1625">
        <v>8074534139.8999977</v>
      </c>
      <c r="K1625">
        <v>6</v>
      </c>
    </row>
    <row r="1626" spans="1:11" x14ac:dyDescent="0.3">
      <c r="A1626" t="s">
        <v>372</v>
      </c>
      <c r="B1626" t="s">
        <v>373</v>
      </c>
      <c r="C1626">
        <v>2020</v>
      </c>
      <c r="D1626">
        <v>8789623253.998003</v>
      </c>
      <c r="E1626">
        <v>31979753645</v>
      </c>
      <c r="F1626">
        <v>15526888</v>
      </c>
      <c r="G1626">
        <v>-7.8169506020000004</v>
      </c>
      <c r="H1626">
        <v>31.82256988</v>
      </c>
      <c r="I1626">
        <v>100</v>
      </c>
      <c r="J1626">
        <v>8558767075.3600006</v>
      </c>
      <c r="K1626">
        <v>2.7</v>
      </c>
    </row>
    <row r="1627" spans="1:11" x14ac:dyDescent="0.3">
      <c r="A1627" t="s">
        <v>372</v>
      </c>
      <c r="B1627" t="s">
        <v>373</v>
      </c>
      <c r="C1627">
        <v>2021</v>
      </c>
      <c r="D1627">
        <v>12072376480.082001</v>
      </c>
      <c r="E1627">
        <v>41287852524</v>
      </c>
      <c r="F1627">
        <v>15797210</v>
      </c>
      <c r="G1627">
        <v>8.468016768</v>
      </c>
      <c r="H1627">
        <v>34.940116949999997</v>
      </c>
      <c r="I1627">
        <v>98</v>
      </c>
      <c r="J1627">
        <v>8789623253.998003</v>
      </c>
      <c r="K1627">
        <v>37.35</v>
      </c>
    </row>
    <row r="1628" spans="1:11" x14ac:dyDescent="0.3">
      <c r="A1628" t="s">
        <v>372</v>
      </c>
      <c r="B1628" t="s">
        <v>373</v>
      </c>
      <c r="C1628">
        <v>2022</v>
      </c>
      <c r="D1628">
        <v>13172416698.749998</v>
      </c>
      <c r="E1628">
        <v>40757585309</v>
      </c>
      <c r="F1628">
        <v>16069056</v>
      </c>
      <c r="G1628">
        <v>6.1392632760000003</v>
      </c>
      <c r="H1628">
        <v>43.615076430000002</v>
      </c>
      <c r="I1628">
        <v>99</v>
      </c>
      <c r="J1628">
        <v>12072376480.082001</v>
      </c>
      <c r="K1628">
        <v>9.11</v>
      </c>
    </row>
    <row r="1629" spans="1:11" x14ac:dyDescent="0.3">
      <c r="A1629" t="s">
        <v>372</v>
      </c>
      <c r="B1629" t="s">
        <v>373</v>
      </c>
      <c r="C1629">
        <v>2023</v>
      </c>
      <c r="D1629">
        <v>14451171906.619997</v>
      </c>
      <c r="E1629">
        <v>35871781303</v>
      </c>
      <c r="F1629">
        <v>16340822</v>
      </c>
      <c r="G1629">
        <v>5.3508687909999999</v>
      </c>
      <c r="H1629">
        <v>40.291261200000001</v>
      </c>
      <c r="I1629">
        <v>94</v>
      </c>
      <c r="J1629">
        <v>13172416698.749998</v>
      </c>
      <c r="K1629">
        <v>9.7100000000000009</v>
      </c>
    </row>
    <row r="1630" spans="1:11" x14ac:dyDescent="0.3">
      <c r="A1630" t="s">
        <v>372</v>
      </c>
      <c r="B1630" t="s">
        <v>373</v>
      </c>
      <c r="C1630">
        <v>2024</v>
      </c>
      <c r="D1630">
        <v>14868878012.427999</v>
      </c>
      <c r="E1630">
        <v>41521975830</v>
      </c>
      <c r="F1630">
        <v>16634373</v>
      </c>
      <c r="G1630">
        <v>1.6764945490000001</v>
      </c>
      <c r="H1630">
        <v>41.503952720000001</v>
      </c>
      <c r="I1630">
        <v>89</v>
      </c>
      <c r="J1630">
        <v>14451171906.619997</v>
      </c>
      <c r="K1630">
        <v>2.89</v>
      </c>
    </row>
  </sheetData>
  <phoneticPr fontId="9"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9894C-9E57-422C-B84E-FA7EE0F9A939}">
  <sheetPr>
    <tabColor theme="7"/>
  </sheetPr>
  <dimension ref="A1:C12"/>
  <sheetViews>
    <sheetView workbookViewId="0">
      <selection activeCell="D5" sqref="D5"/>
    </sheetView>
  </sheetViews>
  <sheetFormatPr defaultColWidth="17.33203125" defaultRowHeight="14.4" x14ac:dyDescent="0.3"/>
  <cols>
    <col min="1" max="1" width="35.88671875" customWidth="1"/>
    <col min="2" max="2" width="18.109375" customWidth="1"/>
  </cols>
  <sheetData>
    <row r="1" spans="1:3" ht="14.4" customHeight="1" x14ac:dyDescent="0.3">
      <c r="A1" s="43" t="s">
        <v>384</v>
      </c>
      <c r="B1" s="43"/>
      <c r="C1" s="43"/>
    </row>
    <row r="2" spans="1:3" x14ac:dyDescent="0.3">
      <c r="A2" s="43"/>
      <c r="B2" s="43"/>
      <c r="C2" s="43"/>
    </row>
    <row r="3" spans="1:3" ht="21" x14ac:dyDescent="0.3">
      <c r="A3" s="13"/>
      <c r="B3" s="13"/>
      <c r="C3" s="13"/>
    </row>
    <row r="4" spans="1:3" s="3" customFormat="1" ht="18" x14ac:dyDescent="0.35">
      <c r="A4" s="14" t="s">
        <v>374</v>
      </c>
      <c r="B4" s="14" t="s">
        <v>375</v>
      </c>
      <c r="C4" s="14" t="s">
        <v>385</v>
      </c>
    </row>
    <row r="5" spans="1:3" ht="18" x14ac:dyDescent="0.3">
      <c r="A5" s="5" t="s">
        <v>376</v>
      </c>
      <c r="B5" s="6">
        <f>ROWS(Trade_Data_Table[reporter_iso3])</f>
        <v>1629</v>
      </c>
      <c r="C5" s="6" t="s">
        <v>386</v>
      </c>
    </row>
    <row r="6" spans="1:3" ht="18" x14ac:dyDescent="0.3">
      <c r="A6" s="5" t="s">
        <v>377</v>
      </c>
      <c r="B6" s="6">
        <f>COLUMNS(Trade_Data_Table[])</f>
        <v>11</v>
      </c>
      <c r="C6" s="6" t="s">
        <v>386</v>
      </c>
    </row>
    <row r="7" spans="1:3" ht="18" x14ac:dyDescent="0.3">
      <c r="A7" s="5" t="s">
        <v>378</v>
      </c>
      <c r="B7" s="6" cm="1">
        <f t="array" ref="B7">ROWS(Trade_Data_Table[]) - ROWS(_xlfn.UNIQUE(INDEX(Trade_Data_Table[], _xlfn.SEQUENCE(ROWS(Trade_Data_Table[])), {1,3})))</f>
        <v>0</v>
      </c>
      <c r="C7" s="6" t="s">
        <v>386</v>
      </c>
    </row>
    <row r="8" spans="1:3" ht="18" x14ac:dyDescent="0.3">
      <c r="A8" s="5" t="s">
        <v>379</v>
      </c>
      <c r="B8" s="6">
        <f>COUNTBLANK(Trade_Data_Table[trade_pct_of_gdp])</f>
        <v>184</v>
      </c>
      <c r="C8" s="6" t="s">
        <v>387</v>
      </c>
    </row>
    <row r="9" spans="1:3" ht="18" x14ac:dyDescent="0.3">
      <c r="A9" s="5" t="s">
        <v>380</v>
      </c>
      <c r="B9" s="6">
        <f>COUNTBLANK(Trade_Data_Table[previous_year_exports])</f>
        <v>182</v>
      </c>
      <c r="C9" s="6" t="s">
        <v>387</v>
      </c>
    </row>
    <row r="10" spans="1:3" ht="18" x14ac:dyDescent="0.3">
      <c r="A10" s="5" t="s">
        <v>381</v>
      </c>
      <c r="B10" s="6">
        <f>COUNTBLANK(Trade_Data_Table[yoy_export_growth_pct])</f>
        <v>182</v>
      </c>
      <c r="C10" s="6" t="s">
        <v>387</v>
      </c>
    </row>
    <row r="11" spans="1:3" ht="18" x14ac:dyDescent="0.3">
      <c r="A11" s="5" t="s">
        <v>382</v>
      </c>
      <c r="B11" s="6" t="str">
        <f>MIN(Trade_Data_Table[reference_year])&amp;" - "&amp;MAX(Trade_Data_Table[reference_year])</f>
        <v>2015 - 2024</v>
      </c>
      <c r="C11" s="6" t="s">
        <v>386</v>
      </c>
    </row>
    <row r="12" spans="1:3" ht="18" x14ac:dyDescent="0.3">
      <c r="A12" s="5" t="s">
        <v>383</v>
      </c>
      <c r="B12" s="6">
        <f>COUNTA(_xlfn.UNIQUE(Trade_Data_Table[reporter_name]))</f>
        <v>182</v>
      </c>
      <c r="C12" s="6" t="s">
        <v>386</v>
      </c>
    </row>
  </sheetData>
  <mergeCells count="1">
    <mergeCell ref="A1:C2"/>
  </mergeCells>
  <conditionalFormatting sqref="C4:C7 C11:C12">
    <cfRule type="containsText" dxfId="1" priority="3" operator="containsText" text="Expected">
      <formula>NOT(ISERROR(SEARCH("Expected",C4)))</formula>
    </cfRule>
    <cfRule type="containsText" dxfId="0" priority="4" operator="containsText" text="Pass">
      <formula>NOT(ISERROR(SEARCH("Pass",C4)))</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2132E-8054-482A-80C1-9565820A4033}">
  <sheetPr>
    <tabColor rgb="FFC00000"/>
  </sheetPr>
  <dimension ref="A1:K843"/>
  <sheetViews>
    <sheetView topLeftCell="B606" zoomScale="103" workbookViewId="0">
      <selection activeCell="A629" sqref="A629"/>
    </sheetView>
  </sheetViews>
  <sheetFormatPr defaultRowHeight="14.4" x14ac:dyDescent="0.3"/>
  <cols>
    <col min="1" max="1" width="28.77734375" bestFit="1" customWidth="1"/>
    <col min="2" max="2" width="24.109375" bestFit="1" customWidth="1"/>
    <col min="3" max="3" width="25.44140625" bestFit="1" customWidth="1"/>
    <col min="4" max="4" width="25.33203125" bestFit="1" customWidth="1"/>
    <col min="5" max="5" width="31.77734375" bestFit="1" customWidth="1"/>
    <col min="6" max="6" width="26.109375" bestFit="1" customWidth="1"/>
    <col min="7" max="7" width="31.6640625" bestFit="1" customWidth="1"/>
    <col min="8" max="8" width="19.21875" customWidth="1"/>
    <col min="9" max="11" width="8.6640625" bestFit="1" customWidth="1"/>
    <col min="12" max="12" width="10.77734375" bestFit="1" customWidth="1"/>
  </cols>
  <sheetData>
    <row r="1" spans="1:6" x14ac:dyDescent="0.3">
      <c r="A1" s="7"/>
      <c r="B1" s="25"/>
      <c r="C1" s="25"/>
      <c r="D1" s="25"/>
      <c r="E1" s="25"/>
      <c r="F1" s="8"/>
    </row>
    <row r="2" spans="1:6" ht="15.6" x14ac:dyDescent="0.3">
      <c r="A2" s="45" t="s">
        <v>388</v>
      </c>
      <c r="B2" s="44"/>
      <c r="C2" s="44"/>
      <c r="D2" s="44"/>
      <c r="F2" s="10"/>
    </row>
    <row r="3" spans="1:6" ht="15" thickBot="1" x14ac:dyDescent="0.35">
      <c r="A3" s="9"/>
      <c r="F3" s="10"/>
    </row>
    <row r="4" spans="1:6" ht="15" thickBot="1" x14ac:dyDescent="0.35">
      <c r="A4" s="27" t="s">
        <v>392</v>
      </c>
      <c r="B4" s="28" t="s">
        <v>393</v>
      </c>
    </row>
    <row r="5" spans="1:6" x14ac:dyDescent="0.3">
      <c r="A5" s="31">
        <v>2015</v>
      </c>
      <c r="B5" s="29">
        <v>28267086659768.777</v>
      </c>
    </row>
    <row r="6" spans="1:6" x14ac:dyDescent="0.3">
      <c r="A6" s="32">
        <v>2016</v>
      </c>
      <c r="B6" s="30">
        <v>27410977913374.176</v>
      </c>
    </row>
    <row r="7" spans="1:6" x14ac:dyDescent="0.3">
      <c r="A7" s="32">
        <v>2017</v>
      </c>
      <c r="B7" s="30">
        <v>30305754395254.313</v>
      </c>
      <c r="F7" s="10"/>
    </row>
    <row r="8" spans="1:6" x14ac:dyDescent="0.3">
      <c r="A8" s="32">
        <v>2018</v>
      </c>
      <c r="B8" s="30">
        <v>33328715456755.867</v>
      </c>
      <c r="F8" s="10"/>
    </row>
    <row r="9" spans="1:6" x14ac:dyDescent="0.3">
      <c r="A9" s="32">
        <v>2019</v>
      </c>
      <c r="B9" s="30">
        <v>32400100517148.957</v>
      </c>
      <c r="F9" s="26"/>
    </row>
    <row r="10" spans="1:6" x14ac:dyDescent="0.3">
      <c r="A10" s="32">
        <v>2020</v>
      </c>
      <c r="B10" s="30">
        <v>30070811608006.375</v>
      </c>
      <c r="F10" s="10"/>
    </row>
    <row r="11" spans="1:6" x14ac:dyDescent="0.3">
      <c r="A11" s="32">
        <v>2021</v>
      </c>
      <c r="B11" s="30">
        <v>38055138377755.367</v>
      </c>
      <c r="F11" s="10"/>
    </row>
    <row r="12" spans="1:6" x14ac:dyDescent="0.3">
      <c r="A12" s="32">
        <v>2022</v>
      </c>
      <c r="B12" s="30">
        <v>41453218076726.133</v>
      </c>
      <c r="F12" s="10"/>
    </row>
    <row r="13" spans="1:6" x14ac:dyDescent="0.3">
      <c r="A13" s="32">
        <v>2023</v>
      </c>
      <c r="B13" s="30">
        <v>39644817008093.945</v>
      </c>
      <c r="F13" s="10"/>
    </row>
    <row r="14" spans="1:6" ht="15" thickBot="1" x14ac:dyDescent="0.35">
      <c r="A14" s="33">
        <v>2024</v>
      </c>
      <c r="B14" s="30">
        <v>38491387647897.961</v>
      </c>
      <c r="F14" s="10"/>
    </row>
    <row r="15" spans="1:6" ht="15" thickBot="1" x14ac:dyDescent="0.35">
      <c r="A15" s="34" t="s">
        <v>389</v>
      </c>
      <c r="B15" s="21">
        <v>339428007660781.88</v>
      </c>
      <c r="F15" s="10"/>
    </row>
    <row r="16" spans="1:6" ht="15" thickBot="1" x14ac:dyDescent="0.35">
      <c r="A16" s="11"/>
      <c r="B16" s="19"/>
      <c r="C16" s="19"/>
      <c r="D16" s="20"/>
      <c r="E16" s="19"/>
      <c r="F16" s="12"/>
    </row>
    <row r="17" spans="1:9" ht="15" thickBot="1" x14ac:dyDescent="0.35"/>
    <row r="18" spans="1:9" x14ac:dyDescent="0.3">
      <c r="A18" s="7"/>
      <c r="B18" s="25"/>
      <c r="C18" s="25"/>
      <c r="D18" s="25"/>
      <c r="E18" s="25"/>
      <c r="F18" s="25"/>
      <c r="G18" s="25"/>
      <c r="H18" s="25"/>
      <c r="I18" s="8"/>
    </row>
    <row r="19" spans="1:9" x14ac:dyDescent="0.3">
      <c r="A19" s="9"/>
      <c r="I19" s="10"/>
    </row>
    <row r="20" spans="1:9" ht="15.6" x14ac:dyDescent="0.3">
      <c r="A20" s="45" t="s">
        <v>391</v>
      </c>
      <c r="B20" s="44"/>
      <c r="C20" s="44"/>
      <c r="D20" s="44"/>
      <c r="I20" s="10"/>
    </row>
    <row r="21" spans="1:9" ht="15" thickBot="1" x14ac:dyDescent="0.35">
      <c r="A21" s="9"/>
      <c r="I21" s="10"/>
    </row>
    <row r="22" spans="1:9" ht="15" thickBot="1" x14ac:dyDescent="0.35">
      <c r="A22" s="35" t="s">
        <v>395</v>
      </c>
      <c r="B22" s="36" t="s">
        <v>394</v>
      </c>
      <c r="I22" s="10"/>
    </row>
    <row r="23" spans="1:9" x14ac:dyDescent="0.3">
      <c r="A23" s="31" t="s">
        <v>78</v>
      </c>
      <c r="B23" s="29">
        <v>56150271331178</v>
      </c>
      <c r="I23" s="10"/>
    </row>
    <row r="24" spans="1:9" x14ac:dyDescent="0.3">
      <c r="A24" s="32" t="s">
        <v>357</v>
      </c>
      <c r="B24" s="30">
        <v>34271932503086</v>
      </c>
      <c r="I24" s="10"/>
    </row>
    <row r="25" spans="1:9" x14ac:dyDescent="0.3">
      <c r="A25" s="32" t="s">
        <v>184</v>
      </c>
      <c r="B25" s="30">
        <v>13964321407022.039</v>
      </c>
      <c r="I25" s="10"/>
    </row>
    <row r="26" spans="1:9" x14ac:dyDescent="0.3">
      <c r="A26" s="32" t="s">
        <v>268</v>
      </c>
      <c r="B26" s="30">
        <v>12117280031086.803</v>
      </c>
      <c r="I26" s="10"/>
    </row>
    <row r="27" spans="1:9" x14ac:dyDescent="0.3">
      <c r="A27" s="32" t="s">
        <v>198</v>
      </c>
      <c r="B27" s="30">
        <v>11796103152456</v>
      </c>
      <c r="I27" s="10"/>
    </row>
    <row r="28" spans="1:9" x14ac:dyDescent="0.3">
      <c r="A28" s="32" t="s">
        <v>154</v>
      </c>
      <c r="B28" s="30">
        <v>11457708490008.242</v>
      </c>
      <c r="I28" s="10"/>
    </row>
    <row r="29" spans="1:9" x14ac:dyDescent="0.3">
      <c r="A29" s="32" t="s">
        <v>128</v>
      </c>
      <c r="B29" s="30">
        <v>11290720218252.639</v>
      </c>
      <c r="I29" s="10"/>
    </row>
    <row r="30" spans="1:9" x14ac:dyDescent="0.3">
      <c r="A30" s="32" t="s">
        <v>178</v>
      </c>
      <c r="B30" s="30">
        <v>11276199187725.826</v>
      </c>
      <c r="I30" s="10"/>
    </row>
    <row r="31" spans="1:9" x14ac:dyDescent="0.3">
      <c r="A31" s="32" t="s">
        <v>232</v>
      </c>
      <c r="B31" s="30">
        <v>9564158578322</v>
      </c>
      <c r="I31" s="10"/>
    </row>
    <row r="32" spans="1:9" ht="15" thickBot="1" x14ac:dyDescent="0.35">
      <c r="A32" s="33" t="s">
        <v>74</v>
      </c>
      <c r="B32" s="30">
        <v>9479798745702.8242</v>
      </c>
      <c r="I32" s="10"/>
    </row>
    <row r="33" spans="1:9" ht="15" thickBot="1" x14ac:dyDescent="0.35">
      <c r="A33" s="34" t="s">
        <v>389</v>
      </c>
      <c r="B33" s="21">
        <v>181368493644840.38</v>
      </c>
      <c r="I33" s="10"/>
    </row>
    <row r="34" spans="1:9" x14ac:dyDescent="0.3">
      <c r="A34" s="9"/>
      <c r="I34" s="10"/>
    </row>
    <row r="35" spans="1:9" ht="15" thickBot="1" x14ac:dyDescent="0.35">
      <c r="A35" s="11"/>
      <c r="B35" s="19"/>
      <c r="C35" s="19"/>
      <c r="D35" s="19"/>
      <c r="E35" s="19"/>
      <c r="F35" s="19"/>
      <c r="G35" s="19"/>
      <c r="H35" s="19"/>
      <c r="I35" s="12"/>
    </row>
    <row r="37" spans="1:9" ht="15.6" x14ac:dyDescent="0.3">
      <c r="A37" s="44" t="s">
        <v>396</v>
      </c>
      <c r="B37" s="44"/>
      <c r="C37" s="44"/>
      <c r="D37" s="44"/>
    </row>
    <row r="39" spans="1:9" x14ac:dyDescent="0.3">
      <c r="A39" s="15" t="s">
        <v>400</v>
      </c>
      <c r="B39" t="s">
        <v>397</v>
      </c>
      <c r="C39" t="s">
        <v>401</v>
      </c>
    </row>
    <row r="40" spans="1:9" x14ac:dyDescent="0.3">
      <c r="A40" s="16" t="s">
        <v>14</v>
      </c>
      <c r="B40" s="18">
        <v>18571383543</v>
      </c>
      <c r="C40" s="18">
        <v>7509560168.2000008</v>
      </c>
    </row>
    <row r="41" spans="1:9" x14ac:dyDescent="0.3">
      <c r="A41" s="16" t="s">
        <v>18</v>
      </c>
      <c r="B41" s="18">
        <v>17050114131.4</v>
      </c>
      <c r="C41" s="18">
        <v>60897159040.210991</v>
      </c>
    </row>
    <row r="42" spans="1:9" x14ac:dyDescent="0.3">
      <c r="A42" s="16" t="s">
        <v>112</v>
      </c>
      <c r="B42" s="18">
        <v>206750000000</v>
      </c>
      <c r="C42" s="18">
        <v>303673190979.15009</v>
      </c>
    </row>
    <row r="43" spans="1:9" x14ac:dyDescent="0.3">
      <c r="A43" s="16" t="s">
        <v>20</v>
      </c>
      <c r="B43" s="18">
        <v>3160172405.3333335</v>
      </c>
      <c r="C43" s="18">
        <v>3055199193.9789996</v>
      </c>
    </row>
    <row r="44" spans="1:9" x14ac:dyDescent="0.3">
      <c r="A44" s="16" t="s">
        <v>16</v>
      </c>
      <c r="B44" s="18">
        <v>89489548143.600006</v>
      </c>
      <c r="C44" s="18">
        <v>731233858545.40491</v>
      </c>
    </row>
    <row r="45" spans="1:9" x14ac:dyDescent="0.3">
      <c r="A45" s="16" t="s">
        <v>28</v>
      </c>
      <c r="B45" s="18">
        <v>1693726296.4000001</v>
      </c>
      <c r="C45" s="18">
        <v>679604903.20799994</v>
      </c>
    </row>
    <row r="46" spans="1:9" x14ac:dyDescent="0.3">
      <c r="A46" s="16" t="s">
        <v>24</v>
      </c>
      <c r="B46" s="18">
        <v>556400000000</v>
      </c>
      <c r="C46" s="18">
        <v>1334955613353.2598</v>
      </c>
      <c r="E46" s="18"/>
    </row>
    <row r="47" spans="1:9" x14ac:dyDescent="0.3">
      <c r="A47" s="16" t="s">
        <v>26</v>
      </c>
      <c r="B47" s="18">
        <v>15487953505.799999</v>
      </c>
      <c r="C47" s="18">
        <v>85362052932.253998</v>
      </c>
    </row>
    <row r="48" spans="1:9" x14ac:dyDescent="0.3">
      <c r="A48" s="16" t="s">
        <v>12</v>
      </c>
      <c r="B48" s="18">
        <v>3120703036.6666665</v>
      </c>
      <c r="C48" s="18">
        <v>1564607561.1259999</v>
      </c>
    </row>
    <row r="49" spans="1:3" x14ac:dyDescent="0.3">
      <c r="A49" s="16" t="s">
        <v>30</v>
      </c>
      <c r="B49" s="18">
        <v>1481000000000</v>
      </c>
      <c r="C49" s="18">
        <v>5688646440928.7773</v>
      </c>
    </row>
    <row r="50" spans="1:3" x14ac:dyDescent="0.3">
      <c r="A50" s="16" t="s">
        <v>32</v>
      </c>
      <c r="B50" s="18">
        <v>452400000000</v>
      </c>
      <c r="C50" s="18">
        <v>3563343518495.3784</v>
      </c>
    </row>
    <row r="51" spans="1:3" x14ac:dyDescent="0.3">
      <c r="A51" s="16" t="s">
        <v>34</v>
      </c>
      <c r="B51" s="18">
        <v>55027691787.699997</v>
      </c>
      <c r="C51" s="18">
        <v>429994111503.60016</v>
      </c>
    </row>
    <row r="52" spans="1:3" x14ac:dyDescent="0.3">
      <c r="A52" s="16" t="s">
        <v>50</v>
      </c>
      <c r="B52" s="18">
        <v>12966270000</v>
      </c>
      <c r="C52" s="18">
        <v>10964251694.356001</v>
      </c>
    </row>
    <row r="53" spans="1:3" x14ac:dyDescent="0.3">
      <c r="A53" s="16" t="s">
        <v>48</v>
      </c>
      <c r="B53" s="18">
        <v>40016661037.199997</v>
      </c>
      <c r="C53" s="18">
        <v>284596924387.4361</v>
      </c>
    </row>
    <row r="54" spans="1:3" x14ac:dyDescent="0.3">
      <c r="A54" s="16" t="s">
        <v>44</v>
      </c>
      <c r="B54" s="18">
        <v>268750000000</v>
      </c>
      <c r="C54" s="18">
        <v>292454128806.43005</v>
      </c>
    </row>
    <row r="55" spans="1:3" x14ac:dyDescent="0.3">
      <c r="A55" s="16" t="s">
        <v>64</v>
      </c>
      <c r="B55" s="18">
        <v>6245345460</v>
      </c>
      <c r="C55" s="18">
        <v>9099600902</v>
      </c>
    </row>
    <row r="56" spans="1:3" x14ac:dyDescent="0.3">
      <c r="A56" s="16" t="s">
        <v>54</v>
      </c>
      <c r="B56" s="18">
        <v>59198619803.285713</v>
      </c>
      <c r="C56" s="18">
        <v>430374941200</v>
      </c>
    </row>
    <row r="57" spans="1:3" x14ac:dyDescent="0.3">
      <c r="A57" s="16" t="s">
        <v>38</v>
      </c>
      <c r="B57" s="18">
        <v>555800000000</v>
      </c>
      <c r="C57" s="18">
        <v>6708682393424.8916</v>
      </c>
    </row>
    <row r="58" spans="1:3" x14ac:dyDescent="0.3">
      <c r="A58" s="16" t="s">
        <v>56</v>
      </c>
      <c r="B58" s="18">
        <v>2494432090</v>
      </c>
      <c r="C58" s="18">
        <v>5263162953.1900005</v>
      </c>
    </row>
    <row r="59" spans="1:3" x14ac:dyDescent="0.3">
      <c r="A59" s="16" t="s">
        <v>40</v>
      </c>
      <c r="B59" s="18">
        <v>15652068230.5</v>
      </c>
      <c r="C59" s="18">
        <v>17026374000.804001</v>
      </c>
    </row>
    <row r="60" spans="1:3" x14ac:dyDescent="0.3">
      <c r="A60" s="16" t="s">
        <v>58</v>
      </c>
      <c r="B60" s="18">
        <v>7508835400</v>
      </c>
      <c r="C60" s="18">
        <v>500621067.03999996</v>
      </c>
    </row>
    <row r="61" spans="1:3" x14ac:dyDescent="0.3">
      <c r="A61" s="16" t="s">
        <v>68</v>
      </c>
      <c r="B61" s="18">
        <v>2662372990</v>
      </c>
      <c r="C61" s="18">
        <v>5537031240.217</v>
      </c>
    </row>
    <row r="62" spans="1:3" x14ac:dyDescent="0.3">
      <c r="A62" s="16" t="s">
        <v>60</v>
      </c>
      <c r="B62" s="18">
        <v>45871173930.5</v>
      </c>
      <c r="C62" s="18">
        <v>188671630110.56</v>
      </c>
    </row>
    <row r="63" spans="1:3" x14ac:dyDescent="0.3">
      <c r="A63" s="16" t="s">
        <v>52</v>
      </c>
      <c r="B63" s="18">
        <v>21857745379.599998</v>
      </c>
      <c r="C63" s="18">
        <v>146243688586.60898</v>
      </c>
    </row>
    <row r="64" spans="1:3" x14ac:dyDescent="0.3">
      <c r="A64" s="16" t="s">
        <v>70</v>
      </c>
      <c r="B64" s="18">
        <v>16880176913.222221</v>
      </c>
      <c r="C64" s="18">
        <v>114825771917.47101</v>
      </c>
    </row>
    <row r="65" spans="1:3" x14ac:dyDescent="0.3">
      <c r="A65" s="16" t="s">
        <v>62</v>
      </c>
      <c r="B65" s="18">
        <v>1893000000000</v>
      </c>
      <c r="C65" s="18">
        <v>5070990845924</v>
      </c>
    </row>
    <row r="66" spans="1:3" x14ac:dyDescent="0.3">
      <c r="A66" s="16" t="s">
        <v>66</v>
      </c>
      <c r="B66" s="18">
        <v>13662460070.200001</v>
      </c>
      <c r="C66" s="18">
        <v>169613504775.745</v>
      </c>
    </row>
    <row r="67" spans="1:3" x14ac:dyDescent="0.3">
      <c r="A67" s="16" t="s">
        <v>46</v>
      </c>
      <c r="B67" s="18">
        <v>75886336642.199997</v>
      </c>
      <c r="C67" s="18">
        <v>738761165440.44019</v>
      </c>
    </row>
    <row r="68" spans="1:3" x14ac:dyDescent="0.3">
      <c r="A68" s="16" t="s">
        <v>42</v>
      </c>
      <c r="B68" s="18">
        <v>16998288374</v>
      </c>
      <c r="C68" s="18">
        <v>76533615952.912994</v>
      </c>
    </row>
    <row r="69" spans="1:3" x14ac:dyDescent="0.3">
      <c r="A69" s="16" t="s">
        <v>36</v>
      </c>
      <c r="B69" s="18">
        <v>3122081564.3333335</v>
      </c>
      <c r="C69" s="18">
        <v>2995486522.8239999</v>
      </c>
    </row>
    <row r="70" spans="1:3" x14ac:dyDescent="0.3">
      <c r="A70" s="16" t="s">
        <v>90</v>
      </c>
      <c r="B70" s="18">
        <v>2139232474.9000001</v>
      </c>
      <c r="C70" s="18">
        <v>3089722306.0289993</v>
      </c>
    </row>
    <row r="71" spans="1:3" x14ac:dyDescent="0.3">
      <c r="A71" s="16" t="s">
        <v>192</v>
      </c>
      <c r="B71" s="18">
        <v>35020869449</v>
      </c>
      <c r="C71" s="18">
        <v>321996583952.34906</v>
      </c>
    </row>
    <row r="72" spans="1:3" x14ac:dyDescent="0.3">
      <c r="A72" s="16" t="s">
        <v>80</v>
      </c>
      <c r="B72" s="18">
        <v>40077034773.222221</v>
      </c>
      <c r="C72" s="18">
        <v>70732089416.074005</v>
      </c>
    </row>
    <row r="73" spans="1:3" x14ac:dyDescent="0.3">
      <c r="A73" s="16" t="s">
        <v>74</v>
      </c>
      <c r="B73" s="18">
        <v>1856000000000</v>
      </c>
      <c r="C73" s="18">
        <v>9479798745702.8242</v>
      </c>
    </row>
    <row r="74" spans="1:3" x14ac:dyDescent="0.3">
      <c r="A74" s="16" t="s">
        <v>98</v>
      </c>
      <c r="B74" s="18">
        <v>6688717777.3999996</v>
      </c>
      <c r="C74" s="18">
        <v>357715937.72600001</v>
      </c>
    </row>
    <row r="75" spans="1:3" x14ac:dyDescent="0.3">
      <c r="A75" s="16" t="s">
        <v>72</v>
      </c>
      <c r="B75" s="18">
        <v>2256829862.3000002</v>
      </c>
      <c r="C75" s="18">
        <v>2184234593.6440001</v>
      </c>
    </row>
    <row r="76" spans="1:3" x14ac:dyDescent="0.3">
      <c r="A76" s="16" t="s">
        <v>76</v>
      </c>
      <c r="B76" s="18">
        <v>287700000000</v>
      </c>
      <c r="C76" s="18">
        <v>1589014409478.3552</v>
      </c>
    </row>
    <row r="77" spans="1:3" x14ac:dyDescent="0.3">
      <c r="A77" s="16" t="s">
        <v>78</v>
      </c>
      <c r="B77" s="18">
        <v>15250000000000</v>
      </c>
      <c r="C77" s="18">
        <v>56150271331178</v>
      </c>
    </row>
    <row r="78" spans="1:3" x14ac:dyDescent="0.3">
      <c r="A78" s="16" t="s">
        <v>154</v>
      </c>
      <c r="B78" s="18">
        <v>355800000000</v>
      </c>
      <c r="C78" s="18">
        <v>11457708490008.242</v>
      </c>
    </row>
    <row r="79" spans="1:3" x14ac:dyDescent="0.3">
      <c r="A79" s="16" t="s">
        <v>222</v>
      </c>
      <c r="B79" s="18">
        <v>42624104414.5</v>
      </c>
      <c r="C79" s="18">
        <v>23695570308.504997</v>
      </c>
    </row>
    <row r="80" spans="1:3" x14ac:dyDescent="0.3">
      <c r="A80" s="16" t="s">
        <v>86</v>
      </c>
      <c r="B80" s="18">
        <v>326800000000</v>
      </c>
      <c r="C80" s="18">
        <v>829009061103.16003</v>
      </c>
    </row>
    <row r="81" spans="1:3" x14ac:dyDescent="0.3">
      <c r="A81" s="16" t="s">
        <v>88</v>
      </c>
      <c r="B81" s="18">
        <v>1189968919.3222222</v>
      </c>
      <c r="C81" s="18">
        <v>642402648.34300017</v>
      </c>
    </row>
    <row r="82" spans="1:3" x14ac:dyDescent="0.3">
      <c r="A82" s="16" t="s">
        <v>84</v>
      </c>
      <c r="B82" s="18">
        <v>13487066308.777779</v>
      </c>
      <c r="C82" s="18">
        <v>134193691919.40399</v>
      </c>
    </row>
    <row r="83" spans="1:3" x14ac:dyDescent="0.3">
      <c r="A83" s="16" t="s">
        <v>92</v>
      </c>
      <c r="B83" s="18">
        <v>68675129390.300003</v>
      </c>
      <c r="C83" s="18">
        <v>265525385746.97202</v>
      </c>
    </row>
    <row r="84" spans="1:3" x14ac:dyDescent="0.3">
      <c r="A84" s="16" t="s">
        <v>158</v>
      </c>
      <c r="B84" s="18">
        <v>65972962091.599998</v>
      </c>
      <c r="C84" s="18">
        <v>382942125184</v>
      </c>
    </row>
    <row r="85" spans="1:3" x14ac:dyDescent="0.3">
      <c r="A85" s="16" t="s">
        <v>94</v>
      </c>
      <c r="B85" s="18">
        <v>99644211520</v>
      </c>
      <c r="C85" s="18">
        <v>29430423717.900002</v>
      </c>
    </row>
    <row r="86" spans="1:3" x14ac:dyDescent="0.3">
      <c r="A86" s="16" t="s">
        <v>96</v>
      </c>
      <c r="B86" s="18">
        <v>2910062444</v>
      </c>
      <c r="C86" s="18">
        <v>797466325.13199985</v>
      </c>
    </row>
    <row r="87" spans="1:3" x14ac:dyDescent="0.3">
      <c r="A87" s="16" t="s">
        <v>100</v>
      </c>
      <c r="B87" s="18">
        <v>27570873597.799999</v>
      </c>
      <c r="C87" s="18">
        <v>81256752588.419983</v>
      </c>
    </row>
    <row r="88" spans="1:3" x14ac:dyDescent="0.3">
      <c r="A88" s="16" t="s">
        <v>102</v>
      </c>
      <c r="B88" s="18">
        <v>265400000000</v>
      </c>
      <c r="C88" s="18">
        <v>4154577957930</v>
      </c>
    </row>
    <row r="89" spans="1:3" x14ac:dyDescent="0.3">
      <c r="A89" s="16" t="s">
        <v>82</v>
      </c>
      <c r="B89" s="18">
        <v>50649828400.222221</v>
      </c>
      <c r="C89" s="18">
        <v>281204327840.229</v>
      </c>
    </row>
    <row r="90" spans="1:3" x14ac:dyDescent="0.3">
      <c r="A90" s="16" t="s">
        <v>108</v>
      </c>
      <c r="B90" s="18">
        <v>363800000000</v>
      </c>
      <c r="C90" s="18">
        <v>2263257181375.0908</v>
      </c>
    </row>
    <row r="91" spans="1:3" x14ac:dyDescent="0.3">
      <c r="A91" s="16" t="s">
        <v>104</v>
      </c>
      <c r="B91" s="18">
        <v>3618019623</v>
      </c>
      <c r="C91" s="18">
        <v>26444636204.870991</v>
      </c>
    </row>
    <row r="92" spans="1:3" x14ac:dyDescent="0.3">
      <c r="A92" s="16" t="s">
        <v>106</v>
      </c>
      <c r="B92" s="18">
        <v>602850000</v>
      </c>
      <c r="C92" s="18">
        <v>249431006.61400008</v>
      </c>
    </row>
    <row r="93" spans="1:3" x14ac:dyDescent="0.3">
      <c r="A93" s="16" t="s">
        <v>110</v>
      </c>
      <c r="B93" s="18">
        <v>93012821466.899994</v>
      </c>
      <c r="C93" s="18">
        <v>215246657938.87601</v>
      </c>
    </row>
    <row r="94" spans="1:3" x14ac:dyDescent="0.3">
      <c r="A94" s="16" t="s">
        <v>114</v>
      </c>
      <c r="B94" s="18">
        <v>107774646400</v>
      </c>
      <c r="C94" s="18">
        <v>486642805035.23804</v>
      </c>
    </row>
    <row r="95" spans="1:3" x14ac:dyDescent="0.3">
      <c r="A95" s="16" t="s">
        <v>116</v>
      </c>
      <c r="B95" s="18">
        <v>356200000000</v>
      </c>
      <c r="C95" s="18">
        <v>687101838832.02795</v>
      </c>
    </row>
    <row r="96" spans="1:3" x14ac:dyDescent="0.3">
      <c r="A96" s="16" t="s">
        <v>316</v>
      </c>
      <c r="B96" s="18">
        <v>27979045000</v>
      </c>
      <c r="C96" s="18">
        <v>119249126274.34003</v>
      </c>
    </row>
    <row r="97" spans="1:3" x14ac:dyDescent="0.3">
      <c r="A97" s="16" t="s">
        <v>120</v>
      </c>
      <c r="B97" s="18">
        <v>33028799759.799999</v>
      </c>
      <c r="C97" s="18">
        <v>361215868007.25891</v>
      </c>
    </row>
    <row r="98" spans="1:3" x14ac:dyDescent="0.3">
      <c r="A98" s="16" t="s">
        <v>330</v>
      </c>
      <c r="B98" s="18">
        <v>4407059258.1111107</v>
      </c>
      <c r="C98" s="18">
        <v>34177423558.273998</v>
      </c>
    </row>
    <row r="99" spans="1:3" x14ac:dyDescent="0.3">
      <c r="A99" s="16" t="s">
        <v>122</v>
      </c>
      <c r="B99" s="18">
        <v>94310511156.333328</v>
      </c>
      <c r="C99" s="18">
        <v>44171484691.251007</v>
      </c>
    </row>
    <row r="100" spans="1:3" x14ac:dyDescent="0.3">
      <c r="A100" s="16" t="s">
        <v>126</v>
      </c>
      <c r="B100" s="18">
        <v>5070174953.3999996</v>
      </c>
      <c r="C100" s="18">
        <v>19599737526.992001</v>
      </c>
    </row>
    <row r="101" spans="1:3" x14ac:dyDescent="0.3">
      <c r="A101" s="16" t="s">
        <v>124</v>
      </c>
      <c r="B101" s="18">
        <v>270500000000</v>
      </c>
      <c r="C101" s="18">
        <v>1447736497984.5779</v>
      </c>
    </row>
    <row r="102" spans="1:3" x14ac:dyDescent="0.3">
      <c r="A102" s="16" t="s">
        <v>128</v>
      </c>
      <c r="B102" s="18">
        <v>2763000000000</v>
      </c>
      <c r="C102" s="18">
        <v>11290720218252.639</v>
      </c>
    </row>
    <row r="103" spans="1:3" x14ac:dyDescent="0.3">
      <c r="A103" s="16" t="s">
        <v>130</v>
      </c>
      <c r="B103" s="18">
        <v>16854935156.333334</v>
      </c>
      <c r="C103" s="18">
        <v>161533640329.20798</v>
      </c>
    </row>
    <row r="104" spans="1:3" x14ac:dyDescent="0.3">
      <c r="A104" s="16" t="s">
        <v>140</v>
      </c>
      <c r="B104" s="18">
        <v>1867016116.2</v>
      </c>
      <c r="C104" s="18">
        <v>815438063.17200005</v>
      </c>
    </row>
    <row r="105" spans="1:3" x14ac:dyDescent="0.3">
      <c r="A105" s="16" t="s">
        <v>134</v>
      </c>
      <c r="B105" s="18">
        <v>20749816312.299999</v>
      </c>
      <c r="C105" s="18">
        <v>80110614196.105988</v>
      </c>
    </row>
    <row r="106" spans="1:3" x14ac:dyDescent="0.3">
      <c r="A106" s="16" t="s">
        <v>136</v>
      </c>
      <c r="B106" s="18">
        <v>66944841636.625</v>
      </c>
      <c r="C106" s="18">
        <v>243428774109.91101</v>
      </c>
    </row>
    <row r="107" spans="1:3" x14ac:dyDescent="0.3">
      <c r="A107" s="16" t="s">
        <v>144</v>
      </c>
      <c r="B107" s="18">
        <v>213400000000</v>
      </c>
      <c r="C107" s="18">
        <v>827845050803.44604</v>
      </c>
    </row>
    <row r="108" spans="1:3" x14ac:dyDescent="0.3">
      <c r="A108" s="16" t="s">
        <v>148</v>
      </c>
      <c r="B108" s="18">
        <v>2778412098</v>
      </c>
      <c r="C108" s="18">
        <v>4436738763.2399998</v>
      </c>
    </row>
    <row r="109" spans="1:3" x14ac:dyDescent="0.3">
      <c r="A109" s="16" t="s">
        <v>146</v>
      </c>
      <c r="B109" s="18">
        <v>1164166296.24</v>
      </c>
      <c r="C109" s="18">
        <v>715829240.0309999</v>
      </c>
    </row>
    <row r="110" spans="1:3" x14ac:dyDescent="0.3">
      <c r="A110" s="16" t="s">
        <v>150</v>
      </c>
      <c r="B110" s="18">
        <v>82717866077.199997</v>
      </c>
      <c r="C110" s="18">
        <v>249308746700</v>
      </c>
    </row>
    <row r="111" spans="1:3" x14ac:dyDescent="0.3">
      <c r="A111" s="16" t="s">
        <v>138</v>
      </c>
      <c r="B111" s="18">
        <v>8695078482.5</v>
      </c>
      <c r="C111" s="18">
        <v>7936407446.9000006</v>
      </c>
    </row>
    <row r="112" spans="1:3" x14ac:dyDescent="0.3">
      <c r="A112" s="16" t="s">
        <v>142</v>
      </c>
      <c r="B112" s="18">
        <v>1355392657.75</v>
      </c>
      <c r="C112" s="18">
        <v>1875111059.142</v>
      </c>
    </row>
    <row r="113" spans="1:4" x14ac:dyDescent="0.3">
      <c r="A113" s="16" t="s">
        <v>152</v>
      </c>
      <c r="B113" s="18">
        <v>9328433447.3999996</v>
      </c>
      <c r="C113" s="18">
        <v>154100354910.21396</v>
      </c>
    </row>
    <row r="114" spans="1:4" x14ac:dyDescent="0.3">
      <c r="A114" s="16" t="s">
        <v>160</v>
      </c>
      <c r="B114" s="18">
        <v>14670754665.333334</v>
      </c>
      <c r="C114" s="18">
        <v>1490480073.5880001</v>
      </c>
    </row>
    <row r="115" spans="1:4" x14ac:dyDescent="0.3">
      <c r="A115" s="16" t="s">
        <v>156</v>
      </c>
      <c r="B115" s="18">
        <v>26401795787.888889</v>
      </c>
      <c r="C115" s="18">
        <v>89235578091.419983</v>
      </c>
    </row>
    <row r="116" spans="1:4" x14ac:dyDescent="0.3">
      <c r="A116" s="16" t="s">
        <v>162</v>
      </c>
      <c r="B116" s="18">
        <v>167700000000</v>
      </c>
      <c r="C116" s="18">
        <v>2574284739613.1982</v>
      </c>
    </row>
    <row r="117" spans="1:4" x14ac:dyDescent="0.3">
      <c r="A117" s="16" t="s">
        <v>174</v>
      </c>
      <c r="B117" s="18">
        <v>25784200987.799999</v>
      </c>
      <c r="C117" s="18">
        <v>113113620699.11398</v>
      </c>
    </row>
    <row r="118" spans="1:4" x14ac:dyDescent="0.3">
      <c r="A118" s="16" t="s">
        <v>166</v>
      </c>
      <c r="B118" s="18">
        <v>2893000000000</v>
      </c>
      <c r="C118" s="18">
        <v>6907298651582.3418</v>
      </c>
    </row>
    <row r="119" spans="1:4" x14ac:dyDescent="0.3">
      <c r="A119" s="16" t="s">
        <v>164</v>
      </c>
      <c r="B119" s="18">
        <v>1131300000000</v>
      </c>
      <c r="C119" s="18">
        <v>4049039938091.3755</v>
      </c>
    </row>
    <row r="120" spans="1:4" x14ac:dyDescent="0.3">
      <c r="A120" s="16" t="s">
        <v>170</v>
      </c>
      <c r="B120" s="18">
        <v>408625000000</v>
      </c>
      <c r="C120" s="18">
        <v>1140310317794.655</v>
      </c>
      <c r="D120" s="18"/>
    </row>
    <row r="121" spans="1:4" x14ac:dyDescent="0.3">
      <c r="A121" s="16" t="s">
        <v>172</v>
      </c>
      <c r="B121" s="18">
        <v>167000000000</v>
      </c>
      <c r="C121" s="18">
        <v>186353200178</v>
      </c>
    </row>
    <row r="122" spans="1:4" x14ac:dyDescent="0.3">
      <c r="A122" s="16" t="s">
        <v>168</v>
      </c>
      <c r="B122" s="18">
        <v>444800000000</v>
      </c>
      <c r="C122" s="18">
        <v>3576862353261.3271</v>
      </c>
    </row>
    <row r="123" spans="1:4" x14ac:dyDescent="0.3">
      <c r="A123" s="16" t="s">
        <v>176</v>
      </c>
      <c r="B123" s="18">
        <v>423600000000</v>
      </c>
      <c r="C123" s="18">
        <v>1216442462000</v>
      </c>
    </row>
    <row r="124" spans="1:4" x14ac:dyDescent="0.3">
      <c r="A124" s="16" t="s">
        <v>178</v>
      </c>
      <c r="B124" s="18">
        <v>2072000000000</v>
      </c>
      <c r="C124" s="18">
        <v>11276199187725.826</v>
      </c>
    </row>
    <row r="125" spans="1:4" x14ac:dyDescent="0.3">
      <c r="A125" s="16" t="s">
        <v>180</v>
      </c>
      <c r="B125" s="18">
        <v>17273873343.700001</v>
      </c>
      <c r="C125" s="18">
        <v>31854848837.964001</v>
      </c>
    </row>
    <row r="126" spans="1:4" x14ac:dyDescent="0.3">
      <c r="A126" s="16" t="s">
        <v>184</v>
      </c>
      <c r="B126" s="18">
        <v>4852000000000</v>
      </c>
      <c r="C126" s="18">
        <v>13964321407022.039</v>
      </c>
    </row>
    <row r="127" spans="1:4" x14ac:dyDescent="0.3">
      <c r="A127" s="16" t="s">
        <v>182</v>
      </c>
      <c r="B127" s="18">
        <v>49458778140.900002</v>
      </c>
      <c r="C127" s="18">
        <v>189652784247.98901</v>
      </c>
    </row>
    <row r="128" spans="1:4" x14ac:dyDescent="0.3">
      <c r="A128" s="16" t="s">
        <v>186</v>
      </c>
      <c r="B128" s="18">
        <v>199500000000</v>
      </c>
      <c r="C128" s="18">
        <v>1163674933285.2761</v>
      </c>
    </row>
    <row r="129" spans="1:3" x14ac:dyDescent="0.3">
      <c r="A129" s="16" t="s">
        <v>188</v>
      </c>
      <c r="B129" s="18">
        <v>97217508192.300003</v>
      </c>
      <c r="C129" s="18">
        <v>129593631880.422</v>
      </c>
    </row>
    <row r="130" spans="1:3" x14ac:dyDescent="0.3">
      <c r="A130" s="16" t="s">
        <v>194</v>
      </c>
      <c r="B130" s="18">
        <v>226879533.84999999</v>
      </c>
      <c r="C130" s="18">
        <v>125659333.23800001</v>
      </c>
    </row>
    <row r="131" spans="1:3" x14ac:dyDescent="0.3">
      <c r="A131" s="16" t="s">
        <v>200</v>
      </c>
      <c r="B131" s="18">
        <v>139400000000</v>
      </c>
      <c r="C131" s="18">
        <v>1309627911230.6172</v>
      </c>
    </row>
    <row r="132" spans="1:3" x14ac:dyDescent="0.3">
      <c r="A132" s="16" t="s">
        <v>190</v>
      </c>
      <c r="B132" s="18">
        <v>10183359941.5</v>
      </c>
      <c r="C132" s="18">
        <v>44877384454</v>
      </c>
    </row>
    <row r="133" spans="1:3" x14ac:dyDescent="0.3">
      <c r="A133" s="16" t="s">
        <v>202</v>
      </c>
      <c r="B133" s="18">
        <v>17045903849.888889</v>
      </c>
      <c r="C133" s="18">
        <v>101001905165.54799</v>
      </c>
    </row>
    <row r="134" spans="1:3" x14ac:dyDescent="0.3">
      <c r="A134" s="16" t="s">
        <v>220</v>
      </c>
      <c r="B134" s="18">
        <v>34554744881.099998</v>
      </c>
      <c r="C134" s="18">
        <v>325137122449.94</v>
      </c>
    </row>
    <row r="135" spans="1:3" x14ac:dyDescent="0.3">
      <c r="A135" s="16" t="s">
        <v>204</v>
      </c>
      <c r="B135" s="18">
        <v>38249856114.199997</v>
      </c>
      <c r="C135" s="18">
        <v>75654447666.606003</v>
      </c>
    </row>
    <row r="136" spans="1:3" x14ac:dyDescent="0.3">
      <c r="A136" s="16" t="s">
        <v>214</v>
      </c>
      <c r="B136" s="18">
        <v>2306976939.5999999</v>
      </c>
      <c r="C136" s="18">
        <v>16572257525.226</v>
      </c>
    </row>
    <row r="137" spans="1:3" x14ac:dyDescent="0.3">
      <c r="A137" s="16" t="s">
        <v>206</v>
      </c>
      <c r="B137" s="18">
        <v>3601896785.7142859</v>
      </c>
      <c r="C137" s="18">
        <v>3151185595.3129997</v>
      </c>
    </row>
    <row r="138" spans="1:3" x14ac:dyDescent="0.3">
      <c r="A138" s="16" t="s">
        <v>208</v>
      </c>
      <c r="B138" s="18">
        <v>65752513031.75</v>
      </c>
      <c r="C138" s="18">
        <v>199195715566.70596</v>
      </c>
    </row>
    <row r="139" spans="1:3" x14ac:dyDescent="0.3">
      <c r="A139" s="16" t="s">
        <v>216</v>
      </c>
      <c r="B139" s="18">
        <v>60263677365.400002</v>
      </c>
      <c r="C139" s="18">
        <v>698485142074.04004</v>
      </c>
    </row>
    <row r="140" spans="1:3" x14ac:dyDescent="0.3">
      <c r="A140" s="16" t="s">
        <v>218</v>
      </c>
      <c r="B140" s="18">
        <v>75188626419.800003</v>
      </c>
      <c r="C140" s="18">
        <v>290670446724.20508</v>
      </c>
    </row>
    <row r="141" spans="1:3" x14ac:dyDescent="0.3">
      <c r="A141" s="16" t="s">
        <v>228</v>
      </c>
      <c r="B141" s="18">
        <v>14059053855.200001</v>
      </c>
      <c r="C141" s="18">
        <v>55013115788.404007</v>
      </c>
    </row>
    <row r="142" spans="1:3" x14ac:dyDescent="0.3">
      <c r="A142" s="16" t="s">
        <v>254</v>
      </c>
      <c r="B142" s="18">
        <v>10825609365.6</v>
      </c>
      <c r="C142" s="18">
        <v>18548503289.238003</v>
      </c>
    </row>
    <row r="143" spans="1:3" x14ac:dyDescent="0.3">
      <c r="A143" s="16" t="s">
        <v>256</v>
      </c>
      <c r="B143" s="18">
        <v>358600000000</v>
      </c>
      <c r="C143" s="18">
        <v>5247598658222.6016</v>
      </c>
    </row>
    <row r="144" spans="1:3" x14ac:dyDescent="0.3">
      <c r="A144" s="16" t="s">
        <v>230</v>
      </c>
      <c r="B144" s="18">
        <v>5331111543.8000002</v>
      </c>
      <c r="C144" s="18">
        <v>3099637699.3410001</v>
      </c>
    </row>
    <row r="145" spans="1:3" x14ac:dyDescent="0.3">
      <c r="A145" s="16" t="s">
        <v>236</v>
      </c>
      <c r="B145" s="18">
        <v>20864166486</v>
      </c>
      <c r="C145" s="18">
        <v>56202263428.234009</v>
      </c>
    </row>
    <row r="146" spans="1:3" x14ac:dyDescent="0.3">
      <c r="A146" s="16" t="s">
        <v>238</v>
      </c>
      <c r="B146" s="18">
        <v>17276120203.400002</v>
      </c>
      <c r="C146" s="18">
        <v>72896078335.876984</v>
      </c>
    </row>
    <row r="147" spans="1:3" x14ac:dyDescent="0.3">
      <c r="A147" s="16" t="s">
        <v>248</v>
      </c>
      <c r="B147" s="18">
        <v>8338377669.6999998</v>
      </c>
      <c r="C147" s="18">
        <v>55701597467.383995</v>
      </c>
    </row>
    <row r="148" spans="1:3" x14ac:dyDescent="0.3">
      <c r="A148" s="16" t="s">
        <v>252</v>
      </c>
      <c r="B148" s="18">
        <v>13355447352.4</v>
      </c>
      <c r="C148" s="18">
        <v>38630134702.637993</v>
      </c>
    </row>
    <row r="149" spans="1:3" x14ac:dyDescent="0.3">
      <c r="A149" s="16" t="s">
        <v>232</v>
      </c>
      <c r="B149" s="18">
        <v>1360000000000</v>
      </c>
      <c r="C149" s="18">
        <v>9564158578322</v>
      </c>
    </row>
    <row r="150" spans="1:3" x14ac:dyDescent="0.3">
      <c r="A150" s="16" t="s">
        <v>244</v>
      </c>
      <c r="B150" s="18">
        <v>14193062332.666666</v>
      </c>
      <c r="C150" s="18">
        <v>149954629710.40601</v>
      </c>
    </row>
    <row r="151" spans="1:3" x14ac:dyDescent="0.3">
      <c r="A151" s="16" t="s">
        <v>242</v>
      </c>
      <c r="B151" s="18">
        <v>5682384008.8999996</v>
      </c>
      <c r="C151" s="18">
        <v>10207098288.661003</v>
      </c>
    </row>
    <row r="152" spans="1:3" x14ac:dyDescent="0.3">
      <c r="A152" s="16" t="s">
        <v>250</v>
      </c>
      <c r="B152" s="18"/>
      <c r="C152" s="18">
        <v>114794611.97199999</v>
      </c>
    </row>
    <row r="153" spans="1:3" x14ac:dyDescent="0.3">
      <c r="A153" s="16" t="s">
        <v>224</v>
      </c>
      <c r="B153" s="18">
        <v>129800000000</v>
      </c>
      <c r="C153" s="18">
        <v>718501207009.47522</v>
      </c>
    </row>
    <row r="154" spans="1:3" x14ac:dyDescent="0.3">
      <c r="A154" s="16" t="s">
        <v>246</v>
      </c>
      <c r="B154" s="18">
        <v>16504024646.299999</v>
      </c>
      <c r="C154" s="18">
        <v>112743108338.644</v>
      </c>
    </row>
    <row r="155" spans="1:3" x14ac:dyDescent="0.3">
      <c r="A155" s="16" t="s">
        <v>240</v>
      </c>
      <c r="B155" s="18">
        <v>68031473832.400002</v>
      </c>
      <c r="C155" s="18">
        <v>301333404078.79999</v>
      </c>
    </row>
    <row r="156" spans="1:3" x14ac:dyDescent="0.3">
      <c r="A156" s="16" t="s">
        <v>258</v>
      </c>
      <c r="B156" s="18">
        <v>12289516797.200001</v>
      </c>
      <c r="C156" s="18">
        <v>106174424057.03897</v>
      </c>
    </row>
    <row r="157" spans="1:3" x14ac:dyDescent="0.3">
      <c r="A157" s="16" t="s">
        <v>270</v>
      </c>
      <c r="B157" s="18">
        <v>32086955732.75</v>
      </c>
      <c r="C157" s="18">
        <v>15384321552.77</v>
      </c>
    </row>
    <row r="158" spans="1:3" x14ac:dyDescent="0.3">
      <c r="A158" s="16" t="s">
        <v>268</v>
      </c>
      <c r="B158" s="18">
        <v>966300000000</v>
      </c>
      <c r="C158" s="18">
        <v>12117280031086.803</v>
      </c>
    </row>
    <row r="159" spans="1:3" x14ac:dyDescent="0.3">
      <c r="A159" s="16" t="s">
        <v>260</v>
      </c>
      <c r="B159" s="18">
        <v>8738203074</v>
      </c>
      <c r="C159" s="18">
        <v>2477891233</v>
      </c>
    </row>
    <row r="160" spans="1:3" x14ac:dyDescent="0.3">
      <c r="A160" s="16" t="s">
        <v>272</v>
      </c>
      <c r="B160" s="18">
        <v>223300000000</v>
      </c>
      <c r="C160" s="18">
        <v>797405046556.33411</v>
      </c>
    </row>
    <row r="161" spans="1:3" x14ac:dyDescent="0.3">
      <c r="A161" s="16" t="s">
        <v>266</v>
      </c>
      <c r="B161" s="18">
        <v>14562509769.5</v>
      </c>
      <c r="C161" s="18">
        <v>116627717777.65997</v>
      </c>
    </row>
    <row r="162" spans="1:3" x14ac:dyDescent="0.3">
      <c r="A162" s="16" t="s">
        <v>262</v>
      </c>
      <c r="B162" s="18">
        <v>13740174899.700001</v>
      </c>
      <c r="C162" s="18">
        <v>14503727379.74</v>
      </c>
    </row>
    <row r="163" spans="1:3" x14ac:dyDescent="0.3">
      <c r="A163" s="16" t="s">
        <v>264</v>
      </c>
      <c r="B163" s="18">
        <v>495800000000</v>
      </c>
      <c r="C163" s="18">
        <v>1009679751727.834</v>
      </c>
    </row>
    <row r="164" spans="1:3" x14ac:dyDescent="0.3">
      <c r="A164" s="16" t="s">
        <v>234</v>
      </c>
      <c r="B164" s="18">
        <v>13043403137</v>
      </c>
      <c r="C164" s="18">
        <v>140266514030.97504</v>
      </c>
    </row>
    <row r="165" spans="1:3" x14ac:dyDescent="0.3">
      <c r="A165" s="16" t="s">
        <v>274</v>
      </c>
      <c r="B165" s="18">
        <v>90049622886.899994</v>
      </c>
      <c r="C165" s="18">
        <v>894787681236.61475</v>
      </c>
    </row>
    <row r="166" spans="1:3" x14ac:dyDescent="0.3">
      <c r="A166" s="16" t="s">
        <v>276</v>
      </c>
      <c r="B166" s="18">
        <v>336300000000</v>
      </c>
      <c r="C166" s="18">
        <v>509732987273.9151</v>
      </c>
    </row>
    <row r="167" spans="1:3" x14ac:dyDescent="0.3">
      <c r="A167" s="16" t="s">
        <v>284</v>
      </c>
      <c r="B167" s="18">
        <v>291190718.77499998</v>
      </c>
      <c r="C167" s="18">
        <v>55930039.82</v>
      </c>
    </row>
    <row r="168" spans="1:3" x14ac:dyDescent="0.3">
      <c r="A168" s="16" t="s">
        <v>278</v>
      </c>
      <c r="B168" s="18">
        <v>68822347380</v>
      </c>
      <c r="C168" s="18">
        <v>153108730158</v>
      </c>
    </row>
    <row r="169" spans="1:3" x14ac:dyDescent="0.3">
      <c r="A169" s="16" t="s">
        <v>286</v>
      </c>
      <c r="B169" s="18">
        <v>27436408477.200001</v>
      </c>
      <c r="C169" s="18">
        <v>102153558355.76602</v>
      </c>
    </row>
    <row r="170" spans="1:3" x14ac:dyDescent="0.3">
      <c r="A170" s="16" t="s">
        <v>292</v>
      </c>
      <c r="B170" s="18">
        <v>39453908611.599998</v>
      </c>
      <c r="C170" s="18">
        <v>188678196274.79803</v>
      </c>
    </row>
    <row r="171" spans="1:3" x14ac:dyDescent="0.3">
      <c r="A171" s="16" t="s">
        <v>280</v>
      </c>
      <c r="B171" s="18">
        <v>227700000000</v>
      </c>
      <c r="C171" s="18">
        <v>1007142723088.1583</v>
      </c>
    </row>
    <row r="172" spans="1:3" x14ac:dyDescent="0.3">
      <c r="A172" s="16" t="s">
        <v>282</v>
      </c>
      <c r="B172" s="18">
        <v>373600000000</v>
      </c>
      <c r="C172" s="18">
        <v>1375472199270</v>
      </c>
    </row>
    <row r="173" spans="1:3" x14ac:dyDescent="0.3">
      <c r="A173" s="16" t="s">
        <v>288</v>
      </c>
      <c r="B173" s="18">
        <v>640000000000</v>
      </c>
      <c r="C173" s="18">
        <v>5651843935430</v>
      </c>
    </row>
    <row r="174" spans="1:3" x14ac:dyDescent="0.3">
      <c r="A174" s="16" t="s">
        <v>290</v>
      </c>
      <c r="B174" s="18">
        <v>245700000000</v>
      </c>
      <c r="C174" s="18">
        <v>1399377280602.0249</v>
      </c>
    </row>
    <row r="175" spans="1:3" x14ac:dyDescent="0.3">
      <c r="A175" s="16" t="s">
        <v>296</v>
      </c>
      <c r="B175" s="18">
        <v>182300000000</v>
      </c>
      <c r="C175" s="18">
        <v>1643175622064.093</v>
      </c>
    </row>
    <row r="176" spans="1:3" x14ac:dyDescent="0.3">
      <c r="A176" s="16" t="s">
        <v>198</v>
      </c>
      <c r="B176" s="18">
        <v>1760000000000</v>
      </c>
      <c r="C176" s="18">
        <v>11796103152456</v>
      </c>
    </row>
    <row r="177" spans="1:3" x14ac:dyDescent="0.3">
      <c r="A177" s="16" t="s">
        <v>226</v>
      </c>
      <c r="B177" s="18">
        <v>12294884067.4</v>
      </c>
      <c r="C177" s="18">
        <v>58939827122</v>
      </c>
    </row>
    <row r="178" spans="1:3" x14ac:dyDescent="0.3">
      <c r="A178" s="16" t="s">
        <v>298</v>
      </c>
      <c r="B178" s="18">
        <v>262700000000</v>
      </c>
      <c r="C178" s="18">
        <v>1618936736012.2405</v>
      </c>
    </row>
    <row r="179" spans="1:3" x14ac:dyDescent="0.3">
      <c r="A179" s="16" t="s">
        <v>300</v>
      </c>
      <c r="B179" s="18">
        <v>1554285714285.7144</v>
      </c>
      <c r="C179" s="18">
        <v>5465055244812.209</v>
      </c>
    </row>
    <row r="180" spans="1:3" x14ac:dyDescent="0.3">
      <c r="A180" s="16" t="s">
        <v>302</v>
      </c>
      <c r="B180" s="18">
        <v>10233137630.75</v>
      </c>
      <c r="C180" s="18">
        <v>18596913814.990005</v>
      </c>
    </row>
    <row r="181" spans="1:3" x14ac:dyDescent="0.3">
      <c r="A181" s="16" t="s">
        <v>196</v>
      </c>
      <c r="B181" s="18">
        <v>1007006173.0666666</v>
      </c>
      <c r="C181" s="18">
        <v>203621695.88600001</v>
      </c>
    </row>
    <row r="182" spans="1:3" x14ac:dyDescent="0.3">
      <c r="A182" s="16" t="s">
        <v>210</v>
      </c>
      <c r="B182" s="18">
        <v>1891243210</v>
      </c>
      <c r="C182" s="18">
        <v>1447105456.7550001</v>
      </c>
    </row>
    <row r="183" spans="1:3" x14ac:dyDescent="0.3">
      <c r="A183" s="16" t="s">
        <v>361</v>
      </c>
      <c r="B183" s="18">
        <v>894931275.72222221</v>
      </c>
      <c r="C183" s="18">
        <v>779337088.4940002</v>
      </c>
    </row>
    <row r="184" spans="1:3" x14ac:dyDescent="0.3">
      <c r="A184" s="16" t="s">
        <v>365</v>
      </c>
      <c r="B184" s="18">
        <v>923806390.36666679</v>
      </c>
      <c r="C184" s="18">
        <v>823418514.49500012</v>
      </c>
    </row>
    <row r="185" spans="1:3" x14ac:dyDescent="0.3">
      <c r="A185" s="16" t="s">
        <v>320</v>
      </c>
      <c r="B185" s="18">
        <v>433095712.97777778</v>
      </c>
      <c r="C185" s="18">
        <v>245927664.039</v>
      </c>
    </row>
    <row r="186" spans="1:3" x14ac:dyDescent="0.3">
      <c r="A186" s="16" t="s">
        <v>304</v>
      </c>
      <c r="B186" s="18">
        <v>936000000000</v>
      </c>
      <c r="C186" s="18">
        <v>5303675973717.5078</v>
      </c>
    </row>
    <row r="187" spans="1:3" x14ac:dyDescent="0.3">
      <c r="A187" s="16" t="s">
        <v>308</v>
      </c>
      <c r="B187" s="18">
        <v>24700180288.900002</v>
      </c>
      <c r="C187" s="18">
        <v>85037682971.819992</v>
      </c>
    </row>
    <row r="188" spans="1:3" x14ac:dyDescent="0.3">
      <c r="A188" s="16" t="s">
        <v>318</v>
      </c>
      <c r="B188" s="18">
        <v>59642411821.599998</v>
      </c>
      <c r="C188" s="18">
        <v>444322345146</v>
      </c>
    </row>
    <row r="189" spans="1:3" x14ac:dyDescent="0.3">
      <c r="A189" s="16" t="s">
        <v>332</v>
      </c>
      <c r="B189" s="18">
        <v>1759906213</v>
      </c>
      <c r="C189" s="18">
        <v>18274080654.694</v>
      </c>
    </row>
    <row r="190" spans="1:3" x14ac:dyDescent="0.3">
      <c r="A190" s="16" t="s">
        <v>314</v>
      </c>
      <c r="B190" s="18">
        <v>6253252850.75</v>
      </c>
      <c r="C190" s="18">
        <v>1733745309.194</v>
      </c>
    </row>
    <row r="191" spans="1:3" x14ac:dyDescent="0.3">
      <c r="A191" s="16" t="s">
        <v>310</v>
      </c>
      <c r="B191" s="18">
        <v>411900000000</v>
      </c>
      <c r="C191" s="18">
        <v>8394062579129.5576</v>
      </c>
    </row>
    <row r="192" spans="1:3" x14ac:dyDescent="0.3">
      <c r="A192" s="16" t="s">
        <v>324</v>
      </c>
      <c r="B192" s="18">
        <v>110850385268.10001</v>
      </c>
      <c r="C192" s="18">
        <v>1903192013004.5576</v>
      </c>
    </row>
    <row r="193" spans="1:3" x14ac:dyDescent="0.3">
      <c r="A193" s="16" t="s">
        <v>326</v>
      </c>
      <c r="B193" s="18">
        <v>55980431528.300003</v>
      </c>
      <c r="C193" s="18">
        <v>851592502174.0061</v>
      </c>
    </row>
    <row r="194" spans="1:3" x14ac:dyDescent="0.3">
      <c r="A194" s="16" t="s">
        <v>312</v>
      </c>
      <c r="B194" s="18">
        <v>1443164720.25</v>
      </c>
      <c r="C194" s="18">
        <v>3813060713.8889999</v>
      </c>
    </row>
    <row r="195" spans="1:3" x14ac:dyDescent="0.3">
      <c r="A195" s="16" t="s">
        <v>369</v>
      </c>
      <c r="B195" s="18">
        <v>379400000000</v>
      </c>
      <c r="C195" s="18">
        <v>1952138227576.5505</v>
      </c>
    </row>
    <row r="196" spans="1:3" x14ac:dyDescent="0.3">
      <c r="A196" s="16" t="s">
        <v>118</v>
      </c>
      <c r="B196" s="18">
        <v>1415000000000</v>
      </c>
      <c r="C196" s="18">
        <v>7015475013415.1904</v>
      </c>
    </row>
    <row r="197" spans="1:3" x14ac:dyDescent="0.3">
      <c r="A197" s="16" t="s">
        <v>212</v>
      </c>
      <c r="B197" s="18">
        <v>87465586749</v>
      </c>
      <c r="C197" s="18">
        <v>212986342276.31796</v>
      </c>
    </row>
    <row r="198" spans="1:3" x14ac:dyDescent="0.3">
      <c r="A198" s="16" t="s">
        <v>294</v>
      </c>
      <c r="B198" s="18">
        <v>16706355555.555555</v>
      </c>
      <c r="C198" s="18">
        <v>21334888013.610001</v>
      </c>
    </row>
    <row r="199" spans="1:3" x14ac:dyDescent="0.3">
      <c r="A199" s="16" t="s">
        <v>306</v>
      </c>
      <c r="B199" s="18">
        <v>41993633259</v>
      </c>
      <c r="C199" s="18">
        <v>34881801873.760002</v>
      </c>
    </row>
    <row r="200" spans="1:3" x14ac:dyDescent="0.3">
      <c r="A200" s="16" t="s">
        <v>322</v>
      </c>
      <c r="B200" s="18">
        <v>3774838058.5999999</v>
      </c>
      <c r="C200" s="18">
        <v>41136183684.645996</v>
      </c>
    </row>
    <row r="201" spans="1:3" x14ac:dyDescent="0.3">
      <c r="A201" s="16" t="s">
        <v>328</v>
      </c>
      <c r="B201" s="18">
        <v>556600000000</v>
      </c>
      <c r="C201" s="18">
        <v>3388892572199.478</v>
      </c>
    </row>
    <row r="202" spans="1:3" x14ac:dyDescent="0.3">
      <c r="A202" s="16" t="s">
        <v>338</v>
      </c>
      <c r="B202" s="18">
        <v>8766169713.7777786</v>
      </c>
      <c r="C202" s="18">
        <v>19724325820</v>
      </c>
    </row>
    <row r="203" spans="1:3" x14ac:dyDescent="0.3">
      <c r="A203" s="16" t="s">
        <v>336</v>
      </c>
      <c r="B203" s="18">
        <v>486900000000</v>
      </c>
      <c r="C203" s="18">
        <v>5083958559945.6191</v>
      </c>
    </row>
    <row r="204" spans="1:3" x14ac:dyDescent="0.3">
      <c r="A204" s="16" t="s">
        <v>340</v>
      </c>
      <c r="B204" s="18">
        <v>2321346857.1428571</v>
      </c>
      <c r="C204" s="18">
        <v>3064755859.8999996</v>
      </c>
    </row>
    <row r="205" spans="1:3" x14ac:dyDescent="0.3">
      <c r="A205" s="16" t="s">
        <v>334</v>
      </c>
      <c r="B205" s="18">
        <v>7727710159.6000004</v>
      </c>
      <c r="C205" s="18">
        <v>21420864084.483002</v>
      </c>
    </row>
    <row r="206" spans="1:3" x14ac:dyDescent="0.3">
      <c r="A206" s="16" t="s">
        <v>342</v>
      </c>
      <c r="B206" s="18">
        <v>519010139.64285713</v>
      </c>
      <c r="C206" s="18">
        <v>407868370.63200003</v>
      </c>
    </row>
    <row r="207" spans="1:3" x14ac:dyDescent="0.3">
      <c r="A207" s="16" t="s">
        <v>344</v>
      </c>
      <c r="B207" s="18">
        <v>24578019946.200001</v>
      </c>
      <c r="C207" s="18">
        <v>172524583476.25604</v>
      </c>
    </row>
    <row r="208" spans="1:3" x14ac:dyDescent="0.3">
      <c r="A208" s="16" t="s">
        <v>346</v>
      </c>
      <c r="B208" s="18">
        <v>45100763034.5</v>
      </c>
      <c r="C208" s="18">
        <v>322863958938.66797</v>
      </c>
    </row>
    <row r="209" spans="1:3" x14ac:dyDescent="0.3">
      <c r="A209" s="16" t="s">
        <v>348</v>
      </c>
      <c r="B209" s="18">
        <v>916400000000</v>
      </c>
      <c r="C209" s="18">
        <v>3978345831410</v>
      </c>
    </row>
    <row r="210" spans="1:3" x14ac:dyDescent="0.3">
      <c r="A210" s="16" t="s">
        <v>352</v>
      </c>
      <c r="B210" s="18">
        <v>38699208603.400002</v>
      </c>
      <c r="C210" s="18">
        <v>80676047545.339996</v>
      </c>
    </row>
    <row r="211" spans="1:3" x14ac:dyDescent="0.3">
      <c r="A211" s="16" t="s">
        <v>354</v>
      </c>
      <c r="B211" s="18">
        <v>147238683719.29999</v>
      </c>
      <c r="C211" s="18">
        <v>905536863185.6803</v>
      </c>
    </row>
    <row r="212" spans="1:3" x14ac:dyDescent="0.3">
      <c r="A212" s="16" t="s">
        <v>22</v>
      </c>
      <c r="B212" s="18">
        <v>428333333333.33331</v>
      </c>
      <c r="C212" s="18">
        <v>7065680488082.4277</v>
      </c>
    </row>
    <row r="213" spans="1:3" x14ac:dyDescent="0.3">
      <c r="A213" s="16" t="s">
        <v>132</v>
      </c>
      <c r="B213" s="18">
        <v>3035000000000</v>
      </c>
      <c r="C213" s="18">
        <v>9459136309212.1582</v>
      </c>
    </row>
    <row r="214" spans="1:3" x14ac:dyDescent="0.3">
      <c r="A214" s="16" t="s">
        <v>350</v>
      </c>
      <c r="B214" s="18">
        <v>63923379540.599998</v>
      </c>
      <c r="C214" s="18">
        <v>117431434603.674</v>
      </c>
    </row>
    <row r="215" spans="1:3" x14ac:dyDescent="0.3">
      <c r="A215" s="16" t="s">
        <v>356</v>
      </c>
      <c r="B215" s="18">
        <v>65480472756.900002</v>
      </c>
      <c r="C215" s="18">
        <v>169457735174</v>
      </c>
    </row>
    <row r="216" spans="1:3" x14ac:dyDescent="0.3">
      <c r="A216" s="16" t="s">
        <v>357</v>
      </c>
      <c r="B216" s="18">
        <v>22720000000000</v>
      </c>
      <c r="C216" s="18">
        <v>34271932503086</v>
      </c>
    </row>
    <row r="217" spans="1:3" x14ac:dyDescent="0.3">
      <c r="A217" s="16" t="s">
        <v>359</v>
      </c>
      <c r="B217" s="18">
        <v>84793616725.5</v>
      </c>
      <c r="C217" s="18">
        <v>238680182862.25311</v>
      </c>
    </row>
    <row r="218" spans="1:3" x14ac:dyDescent="0.3">
      <c r="A218" s="16" t="s">
        <v>363</v>
      </c>
      <c r="B218" s="18">
        <v>331222222222.22223</v>
      </c>
      <c r="C218" s="18">
        <v>4806491765745.5508</v>
      </c>
    </row>
    <row r="219" spans="1:3" x14ac:dyDescent="0.3">
      <c r="A219" s="16" t="s">
        <v>367</v>
      </c>
      <c r="B219" s="18">
        <v>32025325368.5</v>
      </c>
      <c r="C219" s="18">
        <v>3242293956.868</v>
      </c>
    </row>
    <row r="220" spans="1:3" x14ac:dyDescent="0.3">
      <c r="A220" s="16" t="s">
        <v>371</v>
      </c>
      <c r="B220" s="18">
        <v>23998251146.900002</v>
      </c>
      <c r="C220" s="18">
        <v>178642293805.16602</v>
      </c>
    </row>
    <row r="221" spans="1:3" x14ac:dyDescent="0.3">
      <c r="A221" s="16" t="s">
        <v>373</v>
      </c>
      <c r="B221" s="18">
        <v>35048940520.199997</v>
      </c>
      <c r="C221" s="18">
        <v>100452151754.118</v>
      </c>
    </row>
    <row r="222" spans="1:3" x14ac:dyDescent="0.3">
      <c r="A222" s="16" t="s">
        <v>389</v>
      </c>
      <c r="B222" s="18">
        <v>518333825642.42676</v>
      </c>
      <c r="C222" s="18">
        <v>339428007660781.56</v>
      </c>
    </row>
    <row r="227" spans="1:4" ht="15.6" x14ac:dyDescent="0.3">
      <c r="A227" s="44" t="s">
        <v>398</v>
      </c>
      <c r="B227" s="44"/>
      <c r="C227" s="44"/>
      <c r="D227" s="44"/>
    </row>
    <row r="229" spans="1:4" x14ac:dyDescent="0.3">
      <c r="A229" s="15" t="s">
        <v>400</v>
      </c>
      <c r="B229" t="s">
        <v>399</v>
      </c>
    </row>
    <row r="230" spans="1:4" x14ac:dyDescent="0.3">
      <c r="A230" s="16" t="s">
        <v>152</v>
      </c>
      <c r="B230" s="17">
        <v>22.251167273100002</v>
      </c>
    </row>
    <row r="231" spans="1:4" x14ac:dyDescent="0.3">
      <c r="A231" s="16" t="s">
        <v>172</v>
      </c>
      <c r="B231" s="17">
        <v>8.1970697245000004</v>
      </c>
      <c r="C231" s="17"/>
    </row>
    <row r="232" spans="1:4" x14ac:dyDescent="0.3">
      <c r="A232" s="16" t="s">
        <v>168</v>
      </c>
      <c r="B232" s="17">
        <v>7.9603214456999991</v>
      </c>
    </row>
    <row r="233" spans="1:4" x14ac:dyDescent="0.3">
      <c r="A233" s="16" t="s">
        <v>122</v>
      </c>
      <c r="B233" s="17">
        <v>7.576381811777777</v>
      </c>
    </row>
    <row r="234" spans="1:4" x14ac:dyDescent="0.3">
      <c r="A234" s="16" t="s">
        <v>138</v>
      </c>
      <c r="B234" s="17">
        <v>7.3232688845</v>
      </c>
    </row>
    <row r="235" spans="1:4" x14ac:dyDescent="0.3">
      <c r="A235" s="16" t="s">
        <v>338</v>
      </c>
      <c r="B235" s="17">
        <v>7.2354781123333334</v>
      </c>
    </row>
    <row r="236" spans="1:4" x14ac:dyDescent="0.3">
      <c r="A236" s="16" t="s">
        <v>208</v>
      </c>
      <c r="B236" s="17">
        <v>6.9365365090000015</v>
      </c>
    </row>
    <row r="237" spans="1:4" x14ac:dyDescent="0.3">
      <c r="A237" s="16" t="s">
        <v>44</v>
      </c>
      <c r="B237" s="17">
        <v>6.8939451797500002</v>
      </c>
    </row>
    <row r="238" spans="1:4" x14ac:dyDescent="0.3">
      <c r="A238" s="16" t="s">
        <v>238</v>
      </c>
      <c r="B238" s="17">
        <v>6.7277602869999997</v>
      </c>
    </row>
    <row r="239" spans="1:4" x14ac:dyDescent="0.3">
      <c r="A239" s="16" t="s">
        <v>302</v>
      </c>
      <c r="B239" s="17">
        <v>6.5061622210000003</v>
      </c>
      <c r="C239" s="17"/>
    </row>
    <row r="240" spans="1:4" x14ac:dyDescent="0.3">
      <c r="A240" s="16" t="s">
        <v>363</v>
      </c>
      <c r="B240" s="17">
        <v>6.0418805451111108</v>
      </c>
    </row>
    <row r="241" spans="1:2" x14ac:dyDescent="0.3">
      <c r="A241" s="16" t="s">
        <v>230</v>
      </c>
      <c r="B241" s="17">
        <v>5.9672260637000001</v>
      </c>
    </row>
    <row r="242" spans="1:2" x14ac:dyDescent="0.3">
      <c r="A242" s="16" t="s">
        <v>166</v>
      </c>
      <c r="B242" s="17">
        <v>5.9203967317000004</v>
      </c>
    </row>
    <row r="243" spans="1:2" x14ac:dyDescent="0.3">
      <c r="A243" s="16" t="s">
        <v>78</v>
      </c>
      <c r="B243" s="17">
        <v>5.7889784133000006</v>
      </c>
    </row>
    <row r="244" spans="1:2" x14ac:dyDescent="0.3">
      <c r="A244" s="16" t="s">
        <v>359</v>
      </c>
      <c r="B244" s="17">
        <v>5.7651897642499996</v>
      </c>
    </row>
    <row r="245" spans="1:2" x14ac:dyDescent="0.3">
      <c r="A245" s="16" t="s">
        <v>134</v>
      </c>
      <c r="B245" s="17">
        <v>5.6228186057</v>
      </c>
    </row>
    <row r="246" spans="1:2" x14ac:dyDescent="0.3">
      <c r="A246" s="16" t="s">
        <v>262</v>
      </c>
      <c r="B246" s="17">
        <v>5.5929418042999997</v>
      </c>
    </row>
    <row r="247" spans="1:2" x14ac:dyDescent="0.3">
      <c r="A247" s="16" t="s">
        <v>192</v>
      </c>
      <c r="B247" s="17">
        <v>5.5587915966000008</v>
      </c>
    </row>
    <row r="248" spans="1:2" x14ac:dyDescent="0.3">
      <c r="A248" s="16" t="s">
        <v>40</v>
      </c>
      <c r="B248" s="17">
        <v>5.5415410835000012</v>
      </c>
    </row>
    <row r="249" spans="1:2" x14ac:dyDescent="0.3">
      <c r="A249" s="16" t="s">
        <v>104</v>
      </c>
      <c r="B249" s="17">
        <v>5.4603429996666675</v>
      </c>
    </row>
    <row r="250" spans="1:2" x14ac:dyDescent="0.3">
      <c r="A250" s="16" t="s">
        <v>194</v>
      </c>
      <c r="B250" s="17">
        <v>5.4415870013333327</v>
      </c>
    </row>
    <row r="251" spans="1:2" x14ac:dyDescent="0.3">
      <c r="A251" s="16" t="s">
        <v>308</v>
      </c>
      <c r="B251" s="17">
        <v>5.3409610958</v>
      </c>
    </row>
    <row r="252" spans="1:2" x14ac:dyDescent="0.3">
      <c r="A252" s="16" t="s">
        <v>350</v>
      </c>
      <c r="B252" s="17">
        <v>5.2532882960000009</v>
      </c>
    </row>
    <row r="253" spans="1:2" x14ac:dyDescent="0.3">
      <c r="A253" s="16" t="s">
        <v>100</v>
      </c>
      <c r="B253" s="17">
        <v>5.2367301768000001</v>
      </c>
    </row>
    <row r="254" spans="1:2" x14ac:dyDescent="0.3">
      <c r="A254" s="16" t="s">
        <v>142</v>
      </c>
      <c r="B254" s="17">
        <v>4.9979751654999998</v>
      </c>
    </row>
    <row r="255" spans="1:2" x14ac:dyDescent="0.3">
      <c r="A255" s="16" t="s">
        <v>334</v>
      </c>
      <c r="B255" s="17">
        <v>4.971874477200001</v>
      </c>
    </row>
    <row r="256" spans="1:2" x14ac:dyDescent="0.3">
      <c r="A256" s="16" t="s">
        <v>190</v>
      </c>
      <c r="B256" s="17">
        <v>4.9188694408</v>
      </c>
    </row>
    <row r="257" spans="1:2" x14ac:dyDescent="0.3">
      <c r="A257" s="16" t="s">
        <v>348</v>
      </c>
      <c r="B257" s="17">
        <v>4.9153001784999999</v>
      </c>
    </row>
    <row r="258" spans="1:2" x14ac:dyDescent="0.3">
      <c r="A258" s="16" t="s">
        <v>26</v>
      </c>
      <c r="B258" s="17">
        <v>4.910000000200001</v>
      </c>
    </row>
    <row r="259" spans="1:2" x14ac:dyDescent="0.3">
      <c r="A259" s="16" t="s">
        <v>352</v>
      </c>
      <c r="B259" s="17">
        <v>4.8311396885000004</v>
      </c>
    </row>
    <row r="260" spans="1:2" x14ac:dyDescent="0.3">
      <c r="A260" s="16" t="s">
        <v>110</v>
      </c>
      <c r="B260" s="17">
        <v>4.8100014004</v>
      </c>
    </row>
    <row r="261" spans="1:2" x14ac:dyDescent="0.3">
      <c r="A261" s="16" t="s">
        <v>136</v>
      </c>
      <c r="B261" s="17">
        <v>4.7940474577500005</v>
      </c>
    </row>
    <row r="262" spans="1:2" x14ac:dyDescent="0.3">
      <c r="A262" s="16" t="s">
        <v>282</v>
      </c>
      <c r="B262" s="17">
        <v>4.7899881487</v>
      </c>
    </row>
    <row r="263" spans="1:2" x14ac:dyDescent="0.3">
      <c r="A263" s="16" t="s">
        <v>82</v>
      </c>
      <c r="B263" s="17">
        <v>4.7412834616666668</v>
      </c>
    </row>
    <row r="264" spans="1:2" x14ac:dyDescent="0.3">
      <c r="A264" s="16" t="s">
        <v>140</v>
      </c>
      <c r="B264" s="17">
        <v>4.7089498930999998</v>
      </c>
    </row>
    <row r="265" spans="1:2" x14ac:dyDescent="0.3">
      <c r="A265" s="16" t="s">
        <v>202</v>
      </c>
      <c r="B265" s="17">
        <v>4.7084020926666668</v>
      </c>
    </row>
    <row r="266" spans="1:2" x14ac:dyDescent="0.3">
      <c r="A266" s="16" t="s">
        <v>42</v>
      </c>
      <c r="B266" s="17">
        <v>4.6990731343999999</v>
      </c>
    </row>
    <row r="267" spans="1:2" x14ac:dyDescent="0.3">
      <c r="A267" s="16" t="s">
        <v>188</v>
      </c>
      <c r="B267" s="17">
        <v>4.6339194181999996</v>
      </c>
    </row>
    <row r="268" spans="1:2" x14ac:dyDescent="0.3">
      <c r="A268" s="16" t="s">
        <v>332</v>
      </c>
      <c r="B268" s="17">
        <v>4.5658851832000007</v>
      </c>
    </row>
    <row r="269" spans="1:2" x14ac:dyDescent="0.3">
      <c r="A269" s="16" t="s">
        <v>270</v>
      </c>
      <c r="B269" s="17">
        <v>4.4707151779999998</v>
      </c>
    </row>
    <row r="270" spans="1:2" x14ac:dyDescent="0.3">
      <c r="A270" s="16" t="s">
        <v>116</v>
      </c>
      <c r="B270" s="17">
        <v>4.3371191475000002</v>
      </c>
    </row>
    <row r="271" spans="1:2" x14ac:dyDescent="0.3">
      <c r="A271" s="16" t="s">
        <v>278</v>
      </c>
      <c r="B271" s="17">
        <v>4.2202805960000003</v>
      </c>
    </row>
    <row r="272" spans="1:2" x14ac:dyDescent="0.3">
      <c r="A272" s="16" t="s">
        <v>164</v>
      </c>
      <c r="B272" s="17">
        <v>4.2198733579999992</v>
      </c>
    </row>
    <row r="273" spans="1:2" x14ac:dyDescent="0.3">
      <c r="A273" s="16" t="s">
        <v>248</v>
      </c>
      <c r="B273" s="17">
        <v>4.1116127941</v>
      </c>
    </row>
    <row r="274" spans="1:2" x14ac:dyDescent="0.3">
      <c r="A274" s="16" t="s">
        <v>256</v>
      </c>
      <c r="B274" s="17">
        <v>4.0143073830999993</v>
      </c>
    </row>
    <row r="275" spans="1:2" x14ac:dyDescent="0.3">
      <c r="A275" s="16" t="s">
        <v>236</v>
      </c>
      <c r="B275" s="17">
        <v>3.9559280087500004</v>
      </c>
    </row>
    <row r="276" spans="1:2" x14ac:dyDescent="0.3">
      <c r="A276" s="16" t="s">
        <v>365</v>
      </c>
      <c r="B276" s="17">
        <v>3.8098065535555556</v>
      </c>
    </row>
    <row r="277" spans="1:2" x14ac:dyDescent="0.3">
      <c r="A277" s="16" t="s">
        <v>288</v>
      </c>
      <c r="B277" s="17">
        <v>3.6866817009000004</v>
      </c>
    </row>
    <row r="278" spans="1:2" x14ac:dyDescent="0.3">
      <c r="A278" s="16" t="s">
        <v>276</v>
      </c>
      <c r="B278" s="17">
        <v>3.6558477971999999</v>
      </c>
    </row>
    <row r="279" spans="1:2" x14ac:dyDescent="0.3">
      <c r="A279" s="16" t="s">
        <v>92</v>
      </c>
      <c r="B279" s="17">
        <v>3.5987684463999998</v>
      </c>
    </row>
    <row r="280" spans="1:2" x14ac:dyDescent="0.3">
      <c r="A280" s="16" t="s">
        <v>244</v>
      </c>
      <c r="B280" s="17">
        <v>3.5986068357777774</v>
      </c>
    </row>
    <row r="281" spans="1:2" x14ac:dyDescent="0.3">
      <c r="A281" s="16" t="s">
        <v>176</v>
      </c>
      <c r="B281" s="17">
        <v>3.5662144120999999</v>
      </c>
    </row>
    <row r="282" spans="1:2" x14ac:dyDescent="0.3">
      <c r="A282" s="16" t="s">
        <v>80</v>
      </c>
      <c r="B282" s="17">
        <v>3.5397372551111115</v>
      </c>
    </row>
    <row r="283" spans="1:2" x14ac:dyDescent="0.3">
      <c r="A283" s="16" t="s">
        <v>150</v>
      </c>
      <c r="B283" s="17">
        <v>3.4925561363000002</v>
      </c>
    </row>
    <row r="284" spans="1:2" x14ac:dyDescent="0.3">
      <c r="A284" s="16" t="s">
        <v>158</v>
      </c>
      <c r="B284" s="17">
        <v>3.4287725916</v>
      </c>
    </row>
    <row r="285" spans="1:2" x14ac:dyDescent="0.3">
      <c r="A285" s="16" t="s">
        <v>90</v>
      </c>
      <c r="B285" s="17">
        <v>3.4278421156999999</v>
      </c>
    </row>
    <row r="286" spans="1:2" x14ac:dyDescent="0.3">
      <c r="A286" s="16" t="s">
        <v>242</v>
      </c>
      <c r="B286" s="17">
        <v>3.3741541433000002</v>
      </c>
    </row>
    <row r="287" spans="1:2" x14ac:dyDescent="0.3">
      <c r="A287" s="16" t="s">
        <v>246</v>
      </c>
      <c r="B287" s="17">
        <v>3.3711028091000004</v>
      </c>
    </row>
    <row r="288" spans="1:2" x14ac:dyDescent="0.3">
      <c r="A288" s="16" t="s">
        <v>18</v>
      </c>
      <c r="B288" s="17">
        <v>3.3697778769999998</v>
      </c>
    </row>
    <row r="289" spans="1:2" x14ac:dyDescent="0.3">
      <c r="A289" s="16" t="s">
        <v>371</v>
      </c>
      <c r="B289" s="17">
        <v>3.3526219818999996</v>
      </c>
    </row>
    <row r="290" spans="1:2" x14ac:dyDescent="0.3">
      <c r="A290" s="16" t="s">
        <v>318</v>
      </c>
      <c r="B290" s="17">
        <v>3.3434266956000003</v>
      </c>
    </row>
    <row r="291" spans="1:2" x14ac:dyDescent="0.3">
      <c r="A291" s="16" t="s">
        <v>156</v>
      </c>
      <c r="B291" s="17">
        <v>3.309894711333333</v>
      </c>
    </row>
    <row r="292" spans="1:2" x14ac:dyDescent="0.3">
      <c r="A292" s="16" t="s">
        <v>298</v>
      </c>
      <c r="B292" s="17">
        <v>3.2918034956</v>
      </c>
    </row>
    <row r="293" spans="1:2" x14ac:dyDescent="0.3">
      <c r="A293" s="16" t="s">
        <v>310</v>
      </c>
      <c r="B293" s="17">
        <v>3.2894234371000004</v>
      </c>
    </row>
    <row r="294" spans="1:2" x14ac:dyDescent="0.3">
      <c r="A294" s="16" t="s">
        <v>312</v>
      </c>
      <c r="B294" s="17">
        <v>3.2630109530000002</v>
      </c>
    </row>
    <row r="295" spans="1:2" x14ac:dyDescent="0.3">
      <c r="A295" s="16" t="s">
        <v>216</v>
      </c>
      <c r="B295" s="17">
        <v>3.2385377853999997</v>
      </c>
    </row>
    <row r="296" spans="1:2" x14ac:dyDescent="0.3">
      <c r="A296" s="16" t="s">
        <v>52</v>
      </c>
      <c r="B296" s="17">
        <v>3.1309900240999999</v>
      </c>
    </row>
    <row r="297" spans="1:2" x14ac:dyDescent="0.3">
      <c r="A297" s="16" t="s">
        <v>112</v>
      </c>
      <c r="B297" s="17">
        <v>3.0749999997500002</v>
      </c>
    </row>
    <row r="298" spans="1:2" x14ac:dyDescent="0.3">
      <c r="A298" s="16" t="s">
        <v>174</v>
      </c>
      <c r="B298" s="17">
        <v>3.0412103601</v>
      </c>
    </row>
    <row r="299" spans="1:2" x14ac:dyDescent="0.3">
      <c r="A299" s="16" t="s">
        <v>304</v>
      </c>
      <c r="B299" s="17">
        <v>3.0326736328999999</v>
      </c>
    </row>
    <row r="300" spans="1:2" x14ac:dyDescent="0.3">
      <c r="A300" s="16" t="s">
        <v>98</v>
      </c>
      <c r="B300" s="17">
        <v>3.0272369684</v>
      </c>
    </row>
    <row r="301" spans="1:2" x14ac:dyDescent="0.3">
      <c r="A301" s="16" t="s">
        <v>186</v>
      </c>
      <c r="B301" s="17">
        <v>3.0099999998000002</v>
      </c>
    </row>
    <row r="302" spans="1:2" x14ac:dyDescent="0.3">
      <c r="A302" s="16" t="s">
        <v>326</v>
      </c>
      <c r="B302" s="17">
        <v>2.9594059106000001</v>
      </c>
    </row>
    <row r="303" spans="1:2" x14ac:dyDescent="0.3">
      <c r="A303" s="16" t="s">
        <v>254</v>
      </c>
      <c r="B303" s="17">
        <v>2.9262580428999998</v>
      </c>
    </row>
    <row r="304" spans="1:2" x14ac:dyDescent="0.3">
      <c r="A304" s="16" t="s">
        <v>46</v>
      </c>
      <c r="B304" s="17">
        <v>2.9140981322000004</v>
      </c>
    </row>
    <row r="305" spans="1:2" x14ac:dyDescent="0.3">
      <c r="A305" s="16" t="s">
        <v>228</v>
      </c>
      <c r="B305" s="17">
        <v>2.8868590627000001</v>
      </c>
    </row>
    <row r="306" spans="1:2" x14ac:dyDescent="0.3">
      <c r="A306" s="16" t="s">
        <v>70</v>
      </c>
      <c r="B306" s="17">
        <v>2.8410465780000007</v>
      </c>
    </row>
    <row r="307" spans="1:2" x14ac:dyDescent="0.3">
      <c r="A307" s="16" t="s">
        <v>36</v>
      </c>
      <c r="B307" s="17">
        <v>2.8383424710000007</v>
      </c>
    </row>
    <row r="308" spans="1:2" x14ac:dyDescent="0.3">
      <c r="A308" s="16" t="s">
        <v>292</v>
      </c>
      <c r="B308" s="17">
        <v>2.7939395787000003</v>
      </c>
    </row>
    <row r="309" spans="1:2" x14ac:dyDescent="0.3">
      <c r="A309" s="16" t="s">
        <v>162</v>
      </c>
      <c r="B309" s="17">
        <v>2.7834498764999998</v>
      </c>
    </row>
    <row r="310" spans="1:2" x14ac:dyDescent="0.3">
      <c r="A310" s="16" t="s">
        <v>68</v>
      </c>
      <c r="B310" s="17">
        <v>2.7782052051428567</v>
      </c>
    </row>
    <row r="311" spans="1:2" x14ac:dyDescent="0.3">
      <c r="A311" s="16" t="s">
        <v>266</v>
      </c>
      <c r="B311" s="17">
        <v>2.7503256800000004</v>
      </c>
    </row>
    <row r="312" spans="1:2" x14ac:dyDescent="0.3">
      <c r="A312" s="16" t="s">
        <v>340</v>
      </c>
      <c r="B312" s="17">
        <v>2.7144463339999994</v>
      </c>
    </row>
    <row r="313" spans="1:2" x14ac:dyDescent="0.3">
      <c r="A313" s="16" t="s">
        <v>48</v>
      </c>
      <c r="B313" s="17">
        <v>2.6776227861999997</v>
      </c>
    </row>
    <row r="314" spans="1:2" x14ac:dyDescent="0.3">
      <c r="A314" s="16" t="s">
        <v>12</v>
      </c>
      <c r="B314" s="17">
        <v>2.6443125771111107</v>
      </c>
    </row>
    <row r="315" spans="1:2" x14ac:dyDescent="0.3">
      <c r="A315" s="16" t="s">
        <v>224</v>
      </c>
      <c r="B315" s="17">
        <v>2.6118515883000004</v>
      </c>
    </row>
    <row r="316" spans="1:2" x14ac:dyDescent="0.3">
      <c r="A316" s="16" t="s">
        <v>252</v>
      </c>
      <c r="B316" s="17">
        <v>2.5669208308</v>
      </c>
    </row>
    <row r="317" spans="1:2" x14ac:dyDescent="0.3">
      <c r="A317" s="16" t="s">
        <v>86</v>
      </c>
      <c r="B317" s="17">
        <v>2.543251261</v>
      </c>
    </row>
    <row r="318" spans="1:2" x14ac:dyDescent="0.3">
      <c r="A318" s="16" t="s">
        <v>198</v>
      </c>
      <c r="B318" s="17">
        <v>2.5241845611000007</v>
      </c>
    </row>
    <row r="319" spans="1:2" x14ac:dyDescent="0.3">
      <c r="A319" s="16" t="s">
        <v>357</v>
      </c>
      <c r="B319" s="17">
        <v>2.5095365360000002</v>
      </c>
    </row>
    <row r="320" spans="1:2" x14ac:dyDescent="0.3">
      <c r="A320" s="16" t="s">
        <v>72</v>
      </c>
      <c r="B320" s="17">
        <v>2.5040949944999999</v>
      </c>
    </row>
    <row r="321" spans="1:2" x14ac:dyDescent="0.3">
      <c r="A321" s="16" t="s">
        <v>316</v>
      </c>
      <c r="B321" s="17">
        <v>2.4948412771999999</v>
      </c>
    </row>
    <row r="322" spans="1:2" x14ac:dyDescent="0.3">
      <c r="A322" s="16" t="s">
        <v>146</v>
      </c>
      <c r="B322" s="17">
        <v>2.4839017557999998</v>
      </c>
    </row>
    <row r="323" spans="1:2" x14ac:dyDescent="0.3">
      <c r="A323" s="16" t="s">
        <v>272</v>
      </c>
      <c r="B323" s="17">
        <v>2.4783442409999998</v>
      </c>
    </row>
    <row r="324" spans="1:2" x14ac:dyDescent="0.3">
      <c r="A324" s="16" t="s">
        <v>320</v>
      </c>
      <c r="B324" s="17">
        <v>2.4763403457777775</v>
      </c>
    </row>
    <row r="325" spans="1:2" x14ac:dyDescent="0.3">
      <c r="A325" s="16" t="s">
        <v>126</v>
      </c>
      <c r="B325" s="17">
        <v>2.4719568617999998</v>
      </c>
    </row>
    <row r="326" spans="1:2" x14ac:dyDescent="0.3">
      <c r="A326" s="16" t="s">
        <v>22</v>
      </c>
      <c r="B326" s="17">
        <v>2.4630802766666666</v>
      </c>
    </row>
    <row r="327" spans="1:2" x14ac:dyDescent="0.3">
      <c r="A327" s="16" t="s">
        <v>280</v>
      </c>
      <c r="B327" s="17">
        <v>2.4400496025999998</v>
      </c>
    </row>
    <row r="328" spans="1:2" x14ac:dyDescent="0.3">
      <c r="A328" s="16" t="s">
        <v>324</v>
      </c>
      <c r="B328" s="17">
        <v>2.4003698515000003</v>
      </c>
    </row>
    <row r="329" spans="1:2" x14ac:dyDescent="0.3">
      <c r="A329" s="16" t="s">
        <v>56</v>
      </c>
      <c r="B329" s="17">
        <v>2.3709267466999995</v>
      </c>
    </row>
    <row r="330" spans="1:2" x14ac:dyDescent="0.3">
      <c r="A330" s="16" t="s">
        <v>222</v>
      </c>
      <c r="B330" s="17">
        <v>2.3622489687000003</v>
      </c>
    </row>
    <row r="331" spans="1:2" x14ac:dyDescent="0.3">
      <c r="A331" s="16" t="s">
        <v>88</v>
      </c>
      <c r="B331" s="17">
        <v>2.3526797336666667</v>
      </c>
    </row>
    <row r="332" spans="1:2" x14ac:dyDescent="0.3">
      <c r="A332" s="16" t="s">
        <v>30</v>
      </c>
      <c r="B332" s="17">
        <v>2.3365177067000005</v>
      </c>
    </row>
    <row r="333" spans="1:2" x14ac:dyDescent="0.3">
      <c r="A333" s="16" t="s">
        <v>14</v>
      </c>
      <c r="B333" s="17">
        <v>2.2918927224000001</v>
      </c>
    </row>
    <row r="334" spans="1:2" x14ac:dyDescent="0.3">
      <c r="A334" s="16" t="s">
        <v>234</v>
      </c>
      <c r="B334" s="17">
        <v>2.2706673571999998</v>
      </c>
    </row>
    <row r="335" spans="1:2" x14ac:dyDescent="0.3">
      <c r="A335" s="16" t="s">
        <v>28</v>
      </c>
      <c r="B335" s="17">
        <v>2.2346734463999995</v>
      </c>
    </row>
    <row r="336" spans="1:2" x14ac:dyDescent="0.3">
      <c r="A336" s="16" t="s">
        <v>118</v>
      </c>
      <c r="B336" s="17">
        <v>2.2258157252999999</v>
      </c>
    </row>
    <row r="337" spans="1:2" x14ac:dyDescent="0.3">
      <c r="A337" s="16" t="s">
        <v>290</v>
      </c>
      <c r="B337" s="17">
        <v>2.2255173462000002</v>
      </c>
    </row>
    <row r="338" spans="1:2" x14ac:dyDescent="0.3">
      <c r="A338" s="16" t="s">
        <v>330</v>
      </c>
      <c r="B338" s="17">
        <v>2.2082973711111111</v>
      </c>
    </row>
    <row r="339" spans="1:2" x14ac:dyDescent="0.3">
      <c r="A339" s="16" t="s">
        <v>102</v>
      </c>
      <c r="B339" s="17">
        <v>2.1979477108999999</v>
      </c>
    </row>
    <row r="340" spans="1:2" x14ac:dyDescent="0.3">
      <c r="A340" s="16" t="s">
        <v>182</v>
      </c>
      <c r="B340" s="17">
        <v>2.1883511893000001</v>
      </c>
    </row>
    <row r="341" spans="1:2" x14ac:dyDescent="0.3">
      <c r="A341" s="16" t="s">
        <v>170</v>
      </c>
      <c r="B341" s="17">
        <v>2.1541471531249998</v>
      </c>
    </row>
    <row r="342" spans="1:2" x14ac:dyDescent="0.3">
      <c r="A342" s="16" t="s">
        <v>108</v>
      </c>
      <c r="B342" s="17">
        <v>2.1051750476000004</v>
      </c>
    </row>
    <row r="343" spans="1:2" x14ac:dyDescent="0.3">
      <c r="A343" s="16" t="s">
        <v>274</v>
      </c>
      <c r="B343" s="17">
        <v>2.0759813298999998</v>
      </c>
    </row>
    <row r="344" spans="1:2" x14ac:dyDescent="0.3">
      <c r="A344" s="16" t="s">
        <v>361</v>
      </c>
      <c r="B344" s="17">
        <v>2.0653994670000002</v>
      </c>
    </row>
    <row r="345" spans="1:2" x14ac:dyDescent="0.3">
      <c r="A345" s="16" t="s">
        <v>76</v>
      </c>
      <c r="B345" s="17">
        <v>2.0640705648000002</v>
      </c>
    </row>
    <row r="346" spans="1:2" x14ac:dyDescent="0.3">
      <c r="A346" s="16" t="s">
        <v>286</v>
      </c>
      <c r="B346" s="17">
        <v>2.0639905302000003</v>
      </c>
    </row>
    <row r="347" spans="1:2" x14ac:dyDescent="0.3">
      <c r="A347" s="16" t="s">
        <v>314</v>
      </c>
      <c r="B347" s="17">
        <v>2.0439552990000003</v>
      </c>
    </row>
    <row r="348" spans="1:2" x14ac:dyDescent="0.3">
      <c r="A348" s="16" t="s">
        <v>336</v>
      </c>
      <c r="B348" s="17">
        <v>2.0385109653999995</v>
      </c>
    </row>
    <row r="349" spans="1:2" x14ac:dyDescent="0.3">
      <c r="A349" s="16" t="s">
        <v>20</v>
      </c>
      <c r="B349" s="17">
        <v>2.0383565998888891</v>
      </c>
    </row>
    <row r="350" spans="1:2" x14ac:dyDescent="0.3">
      <c r="A350" s="16" t="s">
        <v>60</v>
      </c>
      <c r="B350" s="17">
        <v>2.0141127093</v>
      </c>
    </row>
    <row r="351" spans="1:2" x14ac:dyDescent="0.3">
      <c r="A351" s="16" t="s">
        <v>268</v>
      </c>
      <c r="B351" s="17">
        <v>1.9777165944000004</v>
      </c>
    </row>
    <row r="352" spans="1:2" x14ac:dyDescent="0.3">
      <c r="A352" s="16" t="s">
        <v>373</v>
      </c>
      <c r="B352" s="17">
        <v>1.9765223366</v>
      </c>
    </row>
    <row r="353" spans="1:2" x14ac:dyDescent="0.3">
      <c r="A353" s="16" t="s">
        <v>50</v>
      </c>
      <c r="B353" s="17">
        <v>1.9573252434000001</v>
      </c>
    </row>
    <row r="354" spans="1:2" x14ac:dyDescent="0.3">
      <c r="A354" s="16" t="s">
        <v>120</v>
      </c>
      <c r="B354" s="17">
        <v>1.9302832577999998</v>
      </c>
    </row>
    <row r="355" spans="1:2" x14ac:dyDescent="0.3">
      <c r="A355" s="16" t="s">
        <v>220</v>
      </c>
      <c r="B355" s="17">
        <v>1.9122274181000001</v>
      </c>
    </row>
    <row r="356" spans="1:2" x14ac:dyDescent="0.3">
      <c r="A356" s="16" t="s">
        <v>160</v>
      </c>
      <c r="B356" s="17">
        <v>1.9075798106666666</v>
      </c>
    </row>
    <row r="357" spans="1:2" x14ac:dyDescent="0.3">
      <c r="A357" s="16" t="s">
        <v>74</v>
      </c>
      <c r="B357" s="17">
        <v>1.8980818253999998</v>
      </c>
    </row>
    <row r="358" spans="1:2" x14ac:dyDescent="0.3">
      <c r="A358" s="16" t="s">
        <v>218</v>
      </c>
      <c r="B358" s="17">
        <v>1.8704615026000002</v>
      </c>
    </row>
    <row r="359" spans="1:2" x14ac:dyDescent="0.3">
      <c r="A359" s="16" t="s">
        <v>226</v>
      </c>
      <c r="B359" s="17">
        <v>1.8576161938000002</v>
      </c>
    </row>
    <row r="360" spans="1:2" x14ac:dyDescent="0.3">
      <c r="A360" s="16" t="s">
        <v>328</v>
      </c>
      <c r="B360" s="17">
        <v>1.8141971711999996</v>
      </c>
    </row>
    <row r="361" spans="1:2" x14ac:dyDescent="0.3">
      <c r="A361" s="16" t="s">
        <v>130</v>
      </c>
      <c r="B361" s="17">
        <v>1.8120507117777775</v>
      </c>
    </row>
    <row r="362" spans="1:2" x14ac:dyDescent="0.3">
      <c r="A362" s="16" t="s">
        <v>206</v>
      </c>
      <c r="B362" s="17">
        <v>1.8059310038571428</v>
      </c>
    </row>
    <row r="363" spans="1:2" x14ac:dyDescent="0.3">
      <c r="A363" s="16" t="s">
        <v>294</v>
      </c>
      <c r="B363" s="17">
        <v>1.7110166145555561</v>
      </c>
    </row>
    <row r="364" spans="1:2" x14ac:dyDescent="0.3">
      <c r="A364" s="16" t="s">
        <v>38</v>
      </c>
      <c r="B364" s="17">
        <v>1.6608083919999999</v>
      </c>
    </row>
    <row r="365" spans="1:2" x14ac:dyDescent="0.3">
      <c r="A365" s="16" t="s">
        <v>180</v>
      </c>
      <c r="B365" s="17">
        <v>1.6351103568999998</v>
      </c>
    </row>
    <row r="366" spans="1:2" x14ac:dyDescent="0.3">
      <c r="A366" s="16" t="s">
        <v>196</v>
      </c>
      <c r="B366" s="17">
        <v>1.6159266226666666</v>
      </c>
    </row>
    <row r="367" spans="1:2" x14ac:dyDescent="0.3">
      <c r="A367" s="16" t="s">
        <v>284</v>
      </c>
      <c r="B367" s="17">
        <v>1.59936375075</v>
      </c>
    </row>
    <row r="368" spans="1:2" x14ac:dyDescent="0.3">
      <c r="A368" s="16" t="s">
        <v>132</v>
      </c>
      <c r="B368" s="17">
        <v>1.5174624260000003</v>
      </c>
    </row>
    <row r="369" spans="1:2" x14ac:dyDescent="0.3">
      <c r="A369" s="16" t="s">
        <v>240</v>
      </c>
      <c r="B369" s="17">
        <v>1.4798567719</v>
      </c>
    </row>
    <row r="370" spans="1:2" x14ac:dyDescent="0.3">
      <c r="A370" s="16" t="s">
        <v>296</v>
      </c>
      <c r="B370" s="17">
        <v>1.4794091250000001</v>
      </c>
    </row>
    <row r="371" spans="1:2" x14ac:dyDescent="0.3">
      <c r="A371" s="16" t="s">
        <v>144</v>
      </c>
      <c r="B371" s="17">
        <v>1.4757618626</v>
      </c>
    </row>
    <row r="372" spans="1:2" x14ac:dyDescent="0.3">
      <c r="A372" s="16" t="s">
        <v>58</v>
      </c>
      <c r="B372" s="17">
        <v>1.3877058311999999</v>
      </c>
    </row>
    <row r="373" spans="1:2" x14ac:dyDescent="0.3">
      <c r="A373" s="16" t="s">
        <v>232</v>
      </c>
      <c r="B373" s="17">
        <v>1.3787515486999999</v>
      </c>
    </row>
    <row r="374" spans="1:2" x14ac:dyDescent="0.3">
      <c r="A374" s="16" t="s">
        <v>34</v>
      </c>
      <c r="B374" s="17">
        <v>1.3764478561</v>
      </c>
    </row>
    <row r="375" spans="1:2" x14ac:dyDescent="0.3">
      <c r="A375" s="16" t="s">
        <v>64</v>
      </c>
      <c r="B375" s="17">
        <v>1.3027788052</v>
      </c>
    </row>
    <row r="376" spans="1:2" x14ac:dyDescent="0.3">
      <c r="A376" s="16" t="s">
        <v>114</v>
      </c>
      <c r="B376" s="17">
        <v>1.2545806178000001</v>
      </c>
    </row>
    <row r="377" spans="1:2" x14ac:dyDescent="0.3">
      <c r="A377" s="16" t="s">
        <v>258</v>
      </c>
      <c r="B377" s="17">
        <v>1.2496157914999999</v>
      </c>
    </row>
    <row r="378" spans="1:2" x14ac:dyDescent="0.3">
      <c r="A378" s="16" t="s">
        <v>128</v>
      </c>
      <c r="B378" s="17">
        <v>1.2471893375000001</v>
      </c>
    </row>
    <row r="379" spans="1:2" x14ac:dyDescent="0.3">
      <c r="A379" s="16" t="s">
        <v>32</v>
      </c>
      <c r="B379" s="17">
        <v>1.2422656776999998</v>
      </c>
    </row>
    <row r="380" spans="1:2" x14ac:dyDescent="0.3">
      <c r="A380" s="16" t="s">
        <v>264</v>
      </c>
      <c r="B380" s="17">
        <v>1.2419051394</v>
      </c>
    </row>
    <row r="381" spans="1:2" x14ac:dyDescent="0.3">
      <c r="A381" s="16" t="s">
        <v>356</v>
      </c>
      <c r="B381" s="17">
        <v>1.2074729107</v>
      </c>
    </row>
    <row r="382" spans="1:2" x14ac:dyDescent="0.3">
      <c r="A382" s="16" t="s">
        <v>212</v>
      </c>
      <c r="B382" s="17">
        <v>1.1885591745555555</v>
      </c>
    </row>
    <row r="383" spans="1:2" x14ac:dyDescent="0.3">
      <c r="A383" s="16" t="s">
        <v>300</v>
      </c>
      <c r="B383" s="17">
        <v>1.1807015700000001</v>
      </c>
    </row>
    <row r="384" spans="1:2" x14ac:dyDescent="0.3">
      <c r="A384" s="16" t="s">
        <v>178</v>
      </c>
      <c r="B384" s="17">
        <v>1.1571251182999998</v>
      </c>
    </row>
    <row r="385" spans="1:2" x14ac:dyDescent="0.3">
      <c r="A385" s="16" t="s">
        <v>154</v>
      </c>
      <c r="B385" s="17">
        <v>1.1537902917000002</v>
      </c>
    </row>
    <row r="386" spans="1:2" x14ac:dyDescent="0.3">
      <c r="A386" s="16" t="s">
        <v>124</v>
      </c>
      <c r="B386" s="17">
        <v>0.89177080019999999</v>
      </c>
    </row>
    <row r="387" spans="1:2" x14ac:dyDescent="0.3">
      <c r="A387" s="16" t="s">
        <v>346</v>
      </c>
      <c r="B387" s="17">
        <v>0.88064023109999989</v>
      </c>
    </row>
    <row r="388" spans="1:2" x14ac:dyDescent="0.3">
      <c r="A388" s="16" t="s">
        <v>62</v>
      </c>
      <c r="B388" s="17">
        <v>0.86691437699999996</v>
      </c>
    </row>
    <row r="389" spans="1:2" x14ac:dyDescent="0.3">
      <c r="A389" s="16" t="s">
        <v>306</v>
      </c>
      <c r="B389" s="17">
        <v>0.85153620250000006</v>
      </c>
    </row>
    <row r="390" spans="1:2" x14ac:dyDescent="0.3">
      <c r="A390" s="16" t="s">
        <v>342</v>
      </c>
      <c r="B390" s="17">
        <v>0.71111467314285715</v>
      </c>
    </row>
    <row r="391" spans="1:2" x14ac:dyDescent="0.3">
      <c r="A391" s="16" t="s">
        <v>148</v>
      </c>
      <c r="B391" s="17">
        <v>0.70710742450000008</v>
      </c>
    </row>
    <row r="392" spans="1:2" x14ac:dyDescent="0.3">
      <c r="A392" s="16" t="s">
        <v>369</v>
      </c>
      <c r="B392" s="17">
        <v>0.70498965570000016</v>
      </c>
    </row>
    <row r="393" spans="1:2" x14ac:dyDescent="0.3">
      <c r="A393" s="16" t="s">
        <v>184</v>
      </c>
      <c r="B393" s="17">
        <v>0.57473258639999991</v>
      </c>
    </row>
    <row r="394" spans="1:2" x14ac:dyDescent="0.3">
      <c r="A394" s="16" t="s">
        <v>106</v>
      </c>
      <c r="B394" s="17">
        <v>0.56718046512499987</v>
      </c>
    </row>
    <row r="395" spans="1:2" x14ac:dyDescent="0.3">
      <c r="A395" s="16" t="s">
        <v>66</v>
      </c>
      <c r="B395" s="17">
        <v>0.54742810259999997</v>
      </c>
    </row>
    <row r="396" spans="1:2" x14ac:dyDescent="0.3">
      <c r="A396" s="16" t="s">
        <v>16</v>
      </c>
      <c r="B396" s="17">
        <v>0.44509093679999995</v>
      </c>
    </row>
    <row r="397" spans="1:2" x14ac:dyDescent="0.3">
      <c r="A397" s="16" t="s">
        <v>200</v>
      </c>
      <c r="B397" s="17">
        <v>0.43123570180000004</v>
      </c>
    </row>
    <row r="398" spans="1:2" x14ac:dyDescent="0.3">
      <c r="A398" s="16" t="s">
        <v>214</v>
      </c>
      <c r="B398" s="17">
        <v>0.41140697149999983</v>
      </c>
    </row>
    <row r="399" spans="1:2" x14ac:dyDescent="0.3">
      <c r="A399" s="16" t="s">
        <v>54</v>
      </c>
      <c r="B399" s="17">
        <v>0.36256267557142852</v>
      </c>
    </row>
    <row r="400" spans="1:2" x14ac:dyDescent="0.3">
      <c r="A400" s="16" t="s">
        <v>24</v>
      </c>
      <c r="B400" s="17">
        <v>0.22144312949999989</v>
      </c>
    </row>
    <row r="401" spans="1:8" x14ac:dyDescent="0.3">
      <c r="A401" s="16" t="s">
        <v>260</v>
      </c>
      <c r="B401" s="17"/>
    </row>
    <row r="402" spans="1:8" x14ac:dyDescent="0.3">
      <c r="A402" s="16" t="s">
        <v>250</v>
      </c>
      <c r="B402" s="17"/>
    </row>
    <row r="403" spans="1:8" x14ac:dyDescent="0.3">
      <c r="A403" s="16" t="s">
        <v>94</v>
      </c>
      <c r="B403" s="17">
        <v>-0.50182858299999988</v>
      </c>
    </row>
    <row r="404" spans="1:8" x14ac:dyDescent="0.3">
      <c r="A404" s="16" t="s">
        <v>322</v>
      </c>
      <c r="B404" s="17">
        <v>-1.2509610056999996</v>
      </c>
    </row>
    <row r="405" spans="1:8" x14ac:dyDescent="0.3">
      <c r="A405" s="16" t="s">
        <v>344</v>
      </c>
      <c r="B405" s="17">
        <v>-1.7961721348000004</v>
      </c>
    </row>
    <row r="406" spans="1:8" x14ac:dyDescent="0.3">
      <c r="A406" s="16" t="s">
        <v>354</v>
      </c>
      <c r="B406" s="17">
        <v>-1.8567096649999999</v>
      </c>
    </row>
    <row r="407" spans="1:8" x14ac:dyDescent="0.3">
      <c r="A407" s="16" t="s">
        <v>84</v>
      </c>
      <c r="B407" s="17">
        <v>-1.8794610547777775</v>
      </c>
    </row>
    <row r="408" spans="1:8" x14ac:dyDescent="0.3">
      <c r="A408" s="16" t="s">
        <v>210</v>
      </c>
      <c r="B408" s="17">
        <v>-2.3555810964999999</v>
      </c>
    </row>
    <row r="409" spans="1:8" x14ac:dyDescent="0.3">
      <c r="A409" s="16" t="s">
        <v>204</v>
      </c>
      <c r="B409" s="17">
        <v>-4.2743025503999998</v>
      </c>
    </row>
    <row r="410" spans="1:8" x14ac:dyDescent="0.3">
      <c r="A410" s="16" t="s">
        <v>96</v>
      </c>
      <c r="B410" s="17">
        <v>-6.2562303362499998</v>
      </c>
    </row>
    <row r="411" spans="1:8" x14ac:dyDescent="0.3">
      <c r="A411" s="16" t="s">
        <v>367</v>
      </c>
      <c r="B411" s="17">
        <v>-13.6210493285</v>
      </c>
    </row>
    <row r="412" spans="1:8" x14ac:dyDescent="0.3">
      <c r="A412" s="16" t="s">
        <v>389</v>
      </c>
      <c r="B412" s="17">
        <v>2.8579205385523232</v>
      </c>
    </row>
    <row r="414" spans="1:8" ht="15" thickBot="1" x14ac:dyDescent="0.35"/>
    <row r="415" spans="1:8" x14ac:dyDescent="0.3">
      <c r="A415" s="7"/>
      <c r="B415" s="25"/>
      <c r="C415" s="25"/>
      <c r="D415" s="25"/>
      <c r="E415" s="25"/>
      <c r="F415" s="25"/>
      <c r="G415" s="25"/>
      <c r="H415" s="8"/>
    </row>
    <row r="416" spans="1:8" ht="15.6" x14ac:dyDescent="0.3">
      <c r="A416" s="45" t="s">
        <v>402</v>
      </c>
      <c r="B416" s="44"/>
      <c r="C416" s="44"/>
      <c r="D416" s="44"/>
      <c r="H416" s="10"/>
    </row>
    <row r="417" spans="1:8" ht="15" thickBot="1" x14ac:dyDescent="0.35">
      <c r="A417" s="9"/>
      <c r="H417" s="10"/>
    </row>
    <row r="418" spans="1:8" ht="15" thickBot="1" x14ac:dyDescent="0.35">
      <c r="A418" s="27" t="s">
        <v>404</v>
      </c>
      <c r="B418" s="37" t="s">
        <v>403</v>
      </c>
      <c r="H418" s="10"/>
    </row>
    <row r="419" spans="1:8" x14ac:dyDescent="0.3">
      <c r="A419" s="31" t="s">
        <v>218</v>
      </c>
      <c r="B419" s="38">
        <v>373.69892161999991</v>
      </c>
      <c r="H419" s="10"/>
    </row>
    <row r="420" spans="1:8" x14ac:dyDescent="0.3">
      <c r="A420" s="32" t="s">
        <v>154</v>
      </c>
      <c r="B420" s="39">
        <v>371.91757108000002</v>
      </c>
      <c r="H420" s="10"/>
    </row>
    <row r="421" spans="1:8" x14ac:dyDescent="0.3">
      <c r="A421" s="32" t="s">
        <v>310</v>
      </c>
      <c r="B421" s="39">
        <v>322.10689229000002</v>
      </c>
      <c r="H421" s="10"/>
    </row>
    <row r="422" spans="1:8" x14ac:dyDescent="0.3">
      <c r="A422" s="32" t="s">
        <v>104</v>
      </c>
      <c r="B422" s="39">
        <v>283.88839389999998</v>
      </c>
      <c r="H422" s="10"/>
    </row>
    <row r="423" spans="1:8" x14ac:dyDescent="0.3">
      <c r="A423" s="32" t="s">
        <v>168</v>
      </c>
      <c r="B423" s="39">
        <v>239.02097483000003</v>
      </c>
      <c r="C423" s="17"/>
      <c r="H423" s="10"/>
    </row>
    <row r="424" spans="1:8" x14ac:dyDescent="0.3">
      <c r="A424" s="32" t="s">
        <v>238</v>
      </c>
      <c r="B424" s="39">
        <v>224.06506657</v>
      </c>
      <c r="H424" s="10"/>
    </row>
    <row r="425" spans="1:8" x14ac:dyDescent="0.3">
      <c r="A425" s="32" t="s">
        <v>324</v>
      </c>
      <c r="B425" s="39">
        <v>182.74573121</v>
      </c>
      <c r="H425" s="10"/>
    </row>
    <row r="426" spans="1:8" x14ac:dyDescent="0.3">
      <c r="A426" s="32" t="s">
        <v>332</v>
      </c>
      <c r="B426" s="39">
        <v>181.34469111000004</v>
      </c>
      <c r="H426" s="10"/>
    </row>
    <row r="427" spans="1:8" x14ac:dyDescent="0.3">
      <c r="A427" s="32" t="s">
        <v>22</v>
      </c>
      <c r="B427" s="39">
        <v>173.63497511111112</v>
      </c>
      <c r="H427" s="10"/>
    </row>
    <row r="428" spans="1:8" x14ac:dyDescent="0.3">
      <c r="A428" s="32" t="s">
        <v>38</v>
      </c>
      <c r="B428" s="39">
        <v>166.51700020000001</v>
      </c>
      <c r="H428" s="10"/>
    </row>
    <row r="429" spans="1:8" x14ac:dyDescent="0.3">
      <c r="A429" s="32" t="s">
        <v>100</v>
      </c>
      <c r="B429" s="39">
        <v>164.68354235999999</v>
      </c>
      <c r="H429" s="10"/>
    </row>
    <row r="430" spans="1:8" x14ac:dyDescent="0.3">
      <c r="A430" s="32" t="s">
        <v>363</v>
      </c>
      <c r="B430" s="39">
        <v>164.30476354444446</v>
      </c>
      <c r="H430" s="10"/>
    </row>
    <row r="431" spans="1:8" x14ac:dyDescent="0.3">
      <c r="A431" s="32" t="s">
        <v>162</v>
      </c>
      <c r="B431" s="39">
        <v>162.41519290000002</v>
      </c>
      <c r="H431" s="10"/>
    </row>
    <row r="432" spans="1:8" x14ac:dyDescent="0.3">
      <c r="A432" s="32" t="s">
        <v>268</v>
      </c>
      <c r="B432" s="39">
        <v>161.36554974999999</v>
      </c>
      <c r="H432" s="10"/>
    </row>
    <row r="433" spans="1:8" x14ac:dyDescent="0.3">
      <c r="A433" s="32" t="s">
        <v>326</v>
      </c>
      <c r="B433" s="39">
        <v>158.86191316999998</v>
      </c>
      <c r="H433" s="10"/>
    </row>
    <row r="434" spans="1:8" x14ac:dyDescent="0.3">
      <c r="A434" s="32" t="s">
        <v>120</v>
      </c>
      <c r="B434" s="39">
        <v>150.39084162</v>
      </c>
      <c r="H434" s="10"/>
    </row>
    <row r="435" spans="1:8" x14ac:dyDescent="0.3">
      <c r="A435" s="32" t="s">
        <v>96</v>
      </c>
      <c r="B435" s="39">
        <v>147.54065415000002</v>
      </c>
      <c r="H435" s="10"/>
    </row>
    <row r="436" spans="1:8" x14ac:dyDescent="0.3">
      <c r="A436" s="32" t="s">
        <v>216</v>
      </c>
      <c r="B436" s="39">
        <v>147.09468949000001</v>
      </c>
      <c r="H436" s="10"/>
    </row>
    <row r="437" spans="1:8" x14ac:dyDescent="0.3">
      <c r="A437" s="32" t="s">
        <v>48</v>
      </c>
      <c r="B437" s="39">
        <v>146.79914807000003</v>
      </c>
      <c r="D437" s="17"/>
      <c r="H437" s="10"/>
    </row>
    <row r="438" spans="1:8" ht="15" thickBot="1" x14ac:dyDescent="0.35">
      <c r="A438" s="33" t="s">
        <v>230</v>
      </c>
      <c r="B438" s="39">
        <v>143.46657534000002</v>
      </c>
      <c r="H438" s="10"/>
    </row>
    <row r="439" spans="1:8" ht="15" thickBot="1" x14ac:dyDescent="0.35">
      <c r="A439" s="34" t="s">
        <v>389</v>
      </c>
      <c r="B439" s="40">
        <v>203.02266204371577</v>
      </c>
      <c r="H439" s="10"/>
    </row>
    <row r="440" spans="1:8" x14ac:dyDescent="0.3">
      <c r="H440" s="10"/>
    </row>
    <row r="441" spans="1:8" x14ac:dyDescent="0.3">
      <c r="H441" s="10"/>
    </row>
    <row r="442" spans="1:8" x14ac:dyDescent="0.3">
      <c r="H442" s="10"/>
    </row>
    <row r="443" spans="1:8" x14ac:dyDescent="0.3">
      <c r="H443" s="10"/>
    </row>
    <row r="444" spans="1:8" x14ac:dyDescent="0.3">
      <c r="H444" s="10"/>
    </row>
    <row r="445" spans="1:8" x14ac:dyDescent="0.3">
      <c r="H445" s="10"/>
    </row>
    <row r="446" spans="1:8" x14ac:dyDescent="0.3">
      <c r="H446" s="10"/>
    </row>
    <row r="447" spans="1:8" x14ac:dyDescent="0.3">
      <c r="H447" s="10"/>
    </row>
    <row r="448" spans="1:8" x14ac:dyDescent="0.3">
      <c r="H448" s="10"/>
    </row>
    <row r="449" spans="8:8" x14ac:dyDescent="0.3">
      <c r="H449" s="10"/>
    </row>
    <row r="450" spans="8:8" x14ac:dyDescent="0.3">
      <c r="H450" s="10"/>
    </row>
    <row r="451" spans="8:8" x14ac:dyDescent="0.3">
      <c r="H451" s="10"/>
    </row>
    <row r="452" spans="8:8" x14ac:dyDescent="0.3">
      <c r="H452" s="10"/>
    </row>
    <row r="453" spans="8:8" x14ac:dyDescent="0.3">
      <c r="H453" s="10"/>
    </row>
    <row r="454" spans="8:8" x14ac:dyDescent="0.3">
      <c r="H454" s="10"/>
    </row>
    <row r="455" spans="8:8" x14ac:dyDescent="0.3">
      <c r="H455" s="10"/>
    </row>
    <row r="456" spans="8:8" x14ac:dyDescent="0.3">
      <c r="H456" s="10"/>
    </row>
    <row r="457" spans="8:8" x14ac:dyDescent="0.3">
      <c r="H457" s="10"/>
    </row>
    <row r="458" spans="8:8" x14ac:dyDescent="0.3">
      <c r="H458" s="10"/>
    </row>
    <row r="459" spans="8:8" x14ac:dyDescent="0.3">
      <c r="H459" s="10"/>
    </row>
    <row r="460" spans="8:8" x14ac:dyDescent="0.3">
      <c r="H460" s="10"/>
    </row>
    <row r="461" spans="8:8" x14ac:dyDescent="0.3">
      <c r="H461" s="10"/>
    </row>
    <row r="462" spans="8:8" x14ac:dyDescent="0.3">
      <c r="H462" s="10"/>
    </row>
    <row r="463" spans="8:8" x14ac:dyDescent="0.3">
      <c r="H463" s="10"/>
    </row>
    <row r="464" spans="8:8" x14ac:dyDescent="0.3">
      <c r="H464" s="10"/>
    </row>
    <row r="465" spans="8:8" x14ac:dyDescent="0.3">
      <c r="H465" s="10"/>
    </row>
    <row r="466" spans="8:8" x14ac:dyDescent="0.3">
      <c r="H466" s="10"/>
    </row>
    <row r="467" spans="8:8" x14ac:dyDescent="0.3">
      <c r="H467" s="10"/>
    </row>
    <row r="468" spans="8:8" x14ac:dyDescent="0.3">
      <c r="H468" s="10"/>
    </row>
    <row r="469" spans="8:8" x14ac:dyDescent="0.3">
      <c r="H469" s="10"/>
    </row>
    <row r="470" spans="8:8" x14ac:dyDescent="0.3">
      <c r="H470" s="10"/>
    </row>
    <row r="471" spans="8:8" x14ac:dyDescent="0.3">
      <c r="H471" s="10"/>
    </row>
    <row r="472" spans="8:8" x14ac:dyDescent="0.3">
      <c r="H472" s="10"/>
    </row>
    <row r="473" spans="8:8" x14ac:dyDescent="0.3">
      <c r="H473" s="10"/>
    </row>
    <row r="474" spans="8:8" x14ac:dyDescent="0.3">
      <c r="H474" s="10"/>
    </row>
    <row r="475" spans="8:8" x14ac:dyDescent="0.3">
      <c r="H475" s="10"/>
    </row>
    <row r="476" spans="8:8" x14ac:dyDescent="0.3">
      <c r="H476" s="10"/>
    </row>
    <row r="477" spans="8:8" x14ac:dyDescent="0.3">
      <c r="H477" s="10"/>
    </row>
    <row r="478" spans="8:8" x14ac:dyDescent="0.3">
      <c r="H478" s="10"/>
    </row>
    <row r="479" spans="8:8" x14ac:dyDescent="0.3">
      <c r="H479" s="10"/>
    </row>
    <row r="480" spans="8:8" x14ac:dyDescent="0.3">
      <c r="H480" s="10"/>
    </row>
    <row r="481" spans="8:8" x14ac:dyDescent="0.3">
      <c r="H481" s="10"/>
    </row>
    <row r="482" spans="8:8" x14ac:dyDescent="0.3">
      <c r="H482" s="10"/>
    </row>
    <row r="483" spans="8:8" x14ac:dyDescent="0.3">
      <c r="H483" s="10"/>
    </row>
    <row r="484" spans="8:8" x14ac:dyDescent="0.3">
      <c r="H484" s="10"/>
    </row>
    <row r="485" spans="8:8" x14ac:dyDescent="0.3">
      <c r="H485" s="10"/>
    </row>
    <row r="486" spans="8:8" x14ac:dyDescent="0.3">
      <c r="H486" s="10"/>
    </row>
    <row r="487" spans="8:8" x14ac:dyDescent="0.3">
      <c r="H487" s="10"/>
    </row>
    <row r="488" spans="8:8" x14ac:dyDescent="0.3">
      <c r="H488" s="10"/>
    </row>
    <row r="489" spans="8:8" x14ac:dyDescent="0.3">
      <c r="H489" s="10"/>
    </row>
    <row r="490" spans="8:8" x14ac:dyDescent="0.3">
      <c r="H490" s="10"/>
    </row>
    <row r="491" spans="8:8" x14ac:dyDescent="0.3">
      <c r="H491" s="10"/>
    </row>
    <row r="492" spans="8:8" x14ac:dyDescent="0.3">
      <c r="H492" s="10"/>
    </row>
    <row r="493" spans="8:8" x14ac:dyDescent="0.3">
      <c r="H493" s="10"/>
    </row>
    <row r="494" spans="8:8" x14ac:dyDescent="0.3">
      <c r="H494" s="10"/>
    </row>
    <row r="495" spans="8:8" x14ac:dyDescent="0.3">
      <c r="H495" s="10"/>
    </row>
    <row r="496" spans="8:8" x14ac:dyDescent="0.3">
      <c r="H496" s="10"/>
    </row>
    <row r="497" spans="8:8" x14ac:dyDescent="0.3">
      <c r="H497" s="10"/>
    </row>
    <row r="498" spans="8:8" x14ac:dyDescent="0.3">
      <c r="H498" s="10"/>
    </row>
    <row r="499" spans="8:8" x14ac:dyDescent="0.3">
      <c r="H499" s="10"/>
    </row>
    <row r="500" spans="8:8" x14ac:dyDescent="0.3">
      <c r="H500" s="10"/>
    </row>
    <row r="501" spans="8:8" x14ac:dyDescent="0.3">
      <c r="H501" s="10"/>
    </row>
    <row r="502" spans="8:8" x14ac:dyDescent="0.3">
      <c r="H502" s="10"/>
    </row>
    <row r="503" spans="8:8" x14ac:dyDescent="0.3">
      <c r="H503" s="10"/>
    </row>
    <row r="504" spans="8:8" x14ac:dyDescent="0.3">
      <c r="H504" s="10"/>
    </row>
    <row r="505" spans="8:8" x14ac:dyDescent="0.3">
      <c r="H505" s="10"/>
    </row>
    <row r="506" spans="8:8" x14ac:dyDescent="0.3">
      <c r="H506" s="10"/>
    </row>
    <row r="507" spans="8:8" x14ac:dyDescent="0.3">
      <c r="H507" s="10"/>
    </row>
    <row r="508" spans="8:8" x14ac:dyDescent="0.3">
      <c r="H508" s="10"/>
    </row>
    <row r="509" spans="8:8" x14ac:dyDescent="0.3">
      <c r="H509" s="10"/>
    </row>
    <row r="510" spans="8:8" x14ac:dyDescent="0.3">
      <c r="H510" s="10"/>
    </row>
    <row r="511" spans="8:8" x14ac:dyDescent="0.3">
      <c r="H511" s="10"/>
    </row>
    <row r="512" spans="8:8" x14ac:dyDescent="0.3">
      <c r="H512" s="10"/>
    </row>
    <row r="513" spans="8:8" x14ac:dyDescent="0.3">
      <c r="H513" s="10"/>
    </row>
    <row r="514" spans="8:8" x14ac:dyDescent="0.3">
      <c r="H514" s="10"/>
    </row>
    <row r="515" spans="8:8" x14ac:dyDescent="0.3">
      <c r="H515" s="10"/>
    </row>
    <row r="516" spans="8:8" x14ac:dyDescent="0.3">
      <c r="H516" s="10"/>
    </row>
    <row r="517" spans="8:8" x14ac:dyDescent="0.3">
      <c r="H517" s="10"/>
    </row>
    <row r="518" spans="8:8" x14ac:dyDescent="0.3">
      <c r="H518" s="10"/>
    </row>
    <row r="519" spans="8:8" x14ac:dyDescent="0.3">
      <c r="H519" s="10"/>
    </row>
    <row r="520" spans="8:8" x14ac:dyDescent="0.3">
      <c r="H520" s="10"/>
    </row>
    <row r="521" spans="8:8" x14ac:dyDescent="0.3">
      <c r="H521" s="10"/>
    </row>
    <row r="522" spans="8:8" x14ac:dyDescent="0.3">
      <c r="H522" s="10"/>
    </row>
    <row r="523" spans="8:8" x14ac:dyDescent="0.3">
      <c r="H523" s="10"/>
    </row>
    <row r="524" spans="8:8" x14ac:dyDescent="0.3">
      <c r="H524" s="10"/>
    </row>
    <row r="525" spans="8:8" x14ac:dyDescent="0.3">
      <c r="H525" s="10"/>
    </row>
    <row r="526" spans="8:8" x14ac:dyDescent="0.3">
      <c r="H526" s="10"/>
    </row>
    <row r="527" spans="8:8" x14ac:dyDescent="0.3">
      <c r="H527" s="10"/>
    </row>
    <row r="528" spans="8:8" x14ac:dyDescent="0.3">
      <c r="H528" s="10"/>
    </row>
    <row r="529" spans="8:8" x14ac:dyDescent="0.3">
      <c r="H529" s="10"/>
    </row>
    <row r="530" spans="8:8" x14ac:dyDescent="0.3">
      <c r="H530" s="10"/>
    </row>
    <row r="531" spans="8:8" x14ac:dyDescent="0.3">
      <c r="H531" s="10"/>
    </row>
    <row r="532" spans="8:8" x14ac:dyDescent="0.3">
      <c r="H532" s="10"/>
    </row>
    <row r="533" spans="8:8" x14ac:dyDescent="0.3">
      <c r="H533" s="10"/>
    </row>
    <row r="534" spans="8:8" x14ac:dyDescent="0.3">
      <c r="H534" s="10"/>
    </row>
    <row r="535" spans="8:8" x14ac:dyDescent="0.3">
      <c r="H535" s="10"/>
    </row>
    <row r="536" spans="8:8" x14ac:dyDescent="0.3">
      <c r="H536" s="10"/>
    </row>
    <row r="537" spans="8:8" x14ac:dyDescent="0.3">
      <c r="H537" s="10"/>
    </row>
    <row r="538" spans="8:8" x14ac:dyDescent="0.3">
      <c r="H538" s="10"/>
    </row>
    <row r="539" spans="8:8" x14ac:dyDescent="0.3">
      <c r="H539" s="10"/>
    </row>
    <row r="540" spans="8:8" x14ac:dyDescent="0.3">
      <c r="H540" s="10"/>
    </row>
    <row r="541" spans="8:8" x14ac:dyDescent="0.3">
      <c r="H541" s="10"/>
    </row>
    <row r="542" spans="8:8" x14ac:dyDescent="0.3">
      <c r="H542" s="10"/>
    </row>
    <row r="543" spans="8:8" x14ac:dyDescent="0.3">
      <c r="H543" s="10"/>
    </row>
    <row r="544" spans="8:8" x14ac:dyDescent="0.3">
      <c r="H544" s="10"/>
    </row>
    <row r="545" spans="8:8" x14ac:dyDescent="0.3">
      <c r="H545" s="10"/>
    </row>
    <row r="546" spans="8:8" x14ac:dyDescent="0.3">
      <c r="H546" s="10"/>
    </row>
    <row r="547" spans="8:8" x14ac:dyDescent="0.3">
      <c r="H547" s="10"/>
    </row>
    <row r="548" spans="8:8" x14ac:dyDescent="0.3">
      <c r="H548" s="10"/>
    </row>
    <row r="549" spans="8:8" x14ac:dyDescent="0.3">
      <c r="H549" s="10"/>
    </row>
    <row r="550" spans="8:8" x14ac:dyDescent="0.3">
      <c r="H550" s="10"/>
    </row>
    <row r="551" spans="8:8" x14ac:dyDescent="0.3">
      <c r="H551" s="10"/>
    </row>
    <row r="552" spans="8:8" x14ac:dyDescent="0.3">
      <c r="H552" s="10"/>
    </row>
    <row r="553" spans="8:8" x14ac:dyDescent="0.3">
      <c r="H553" s="10"/>
    </row>
    <row r="554" spans="8:8" x14ac:dyDescent="0.3">
      <c r="H554" s="10"/>
    </row>
    <row r="555" spans="8:8" x14ac:dyDescent="0.3">
      <c r="H555" s="10"/>
    </row>
    <row r="556" spans="8:8" x14ac:dyDescent="0.3">
      <c r="H556" s="10"/>
    </row>
    <row r="557" spans="8:8" x14ac:dyDescent="0.3">
      <c r="H557" s="10"/>
    </row>
    <row r="558" spans="8:8" x14ac:dyDescent="0.3">
      <c r="H558" s="10"/>
    </row>
    <row r="559" spans="8:8" x14ac:dyDescent="0.3">
      <c r="H559" s="10"/>
    </row>
    <row r="560" spans="8:8" x14ac:dyDescent="0.3">
      <c r="H560" s="10"/>
    </row>
    <row r="561" spans="8:8" x14ac:dyDescent="0.3">
      <c r="H561" s="10"/>
    </row>
    <row r="562" spans="8:8" x14ac:dyDescent="0.3">
      <c r="H562" s="10"/>
    </row>
    <row r="563" spans="8:8" x14ac:dyDescent="0.3">
      <c r="H563" s="10"/>
    </row>
    <row r="564" spans="8:8" x14ac:dyDescent="0.3">
      <c r="H564" s="10"/>
    </row>
    <row r="565" spans="8:8" x14ac:dyDescent="0.3">
      <c r="H565" s="10"/>
    </row>
    <row r="566" spans="8:8" x14ac:dyDescent="0.3">
      <c r="H566" s="10"/>
    </row>
    <row r="567" spans="8:8" x14ac:dyDescent="0.3">
      <c r="H567" s="10"/>
    </row>
    <row r="568" spans="8:8" x14ac:dyDescent="0.3">
      <c r="H568" s="10"/>
    </row>
    <row r="569" spans="8:8" x14ac:dyDescent="0.3">
      <c r="H569" s="10"/>
    </row>
    <row r="570" spans="8:8" x14ac:dyDescent="0.3">
      <c r="H570" s="10"/>
    </row>
    <row r="571" spans="8:8" x14ac:dyDescent="0.3">
      <c r="H571" s="10"/>
    </row>
    <row r="572" spans="8:8" x14ac:dyDescent="0.3">
      <c r="H572" s="10"/>
    </row>
    <row r="573" spans="8:8" x14ac:dyDescent="0.3">
      <c r="H573" s="10"/>
    </row>
    <row r="574" spans="8:8" x14ac:dyDescent="0.3">
      <c r="H574" s="10"/>
    </row>
    <row r="575" spans="8:8" x14ac:dyDescent="0.3">
      <c r="H575" s="10"/>
    </row>
    <row r="576" spans="8:8" x14ac:dyDescent="0.3">
      <c r="H576" s="10"/>
    </row>
    <row r="577" spans="8:8" x14ac:dyDescent="0.3">
      <c r="H577" s="10"/>
    </row>
    <row r="578" spans="8:8" x14ac:dyDescent="0.3">
      <c r="H578" s="10"/>
    </row>
    <row r="579" spans="8:8" x14ac:dyDescent="0.3">
      <c r="H579" s="10"/>
    </row>
    <row r="580" spans="8:8" x14ac:dyDescent="0.3">
      <c r="H580" s="10"/>
    </row>
    <row r="581" spans="8:8" x14ac:dyDescent="0.3">
      <c r="H581" s="10"/>
    </row>
    <row r="582" spans="8:8" x14ac:dyDescent="0.3">
      <c r="H582" s="10"/>
    </row>
    <row r="583" spans="8:8" x14ac:dyDescent="0.3">
      <c r="H583" s="10"/>
    </row>
    <row r="584" spans="8:8" x14ac:dyDescent="0.3">
      <c r="H584" s="10"/>
    </row>
    <row r="585" spans="8:8" x14ac:dyDescent="0.3">
      <c r="H585" s="10"/>
    </row>
    <row r="586" spans="8:8" x14ac:dyDescent="0.3">
      <c r="H586" s="10"/>
    </row>
    <row r="587" spans="8:8" x14ac:dyDescent="0.3">
      <c r="H587" s="10"/>
    </row>
    <row r="588" spans="8:8" x14ac:dyDescent="0.3">
      <c r="H588" s="10"/>
    </row>
    <row r="589" spans="8:8" x14ac:dyDescent="0.3">
      <c r="H589" s="10"/>
    </row>
    <row r="590" spans="8:8" x14ac:dyDescent="0.3">
      <c r="H590" s="10"/>
    </row>
    <row r="591" spans="8:8" x14ac:dyDescent="0.3">
      <c r="H591" s="10"/>
    </row>
    <row r="592" spans="8:8" x14ac:dyDescent="0.3">
      <c r="H592" s="10"/>
    </row>
    <row r="593" spans="1:11" x14ac:dyDescent="0.3">
      <c r="H593" s="10"/>
    </row>
    <row r="594" spans="1:11" x14ac:dyDescent="0.3">
      <c r="H594" s="10"/>
    </row>
    <row r="595" spans="1:11" x14ac:dyDescent="0.3">
      <c r="H595" s="10"/>
    </row>
    <row r="596" spans="1:11" x14ac:dyDescent="0.3">
      <c r="H596" s="10"/>
    </row>
    <row r="597" spans="1:11" x14ac:dyDescent="0.3">
      <c r="H597" s="10"/>
    </row>
    <row r="598" spans="1:11" x14ac:dyDescent="0.3">
      <c r="H598" s="10"/>
    </row>
    <row r="599" spans="1:11" x14ac:dyDescent="0.3">
      <c r="H599" s="10"/>
    </row>
    <row r="600" spans="1:11" x14ac:dyDescent="0.3">
      <c r="H600" s="10"/>
    </row>
    <row r="601" spans="1:11" x14ac:dyDescent="0.3">
      <c r="H601" s="10"/>
    </row>
    <row r="602" spans="1:11" ht="15" thickBot="1" x14ac:dyDescent="0.35">
      <c r="A602" s="11"/>
      <c r="B602" s="19"/>
      <c r="C602" s="19"/>
      <c r="D602" s="19"/>
      <c r="E602" s="19"/>
      <c r="F602" s="19"/>
      <c r="G602" s="19"/>
      <c r="H602" s="12"/>
    </row>
    <row r="603" spans="1:11" ht="15" thickBot="1" x14ac:dyDescent="0.35"/>
    <row r="604" spans="1:11" x14ac:dyDescent="0.3">
      <c r="A604" s="7"/>
      <c r="B604" s="25"/>
      <c r="C604" s="25"/>
      <c r="D604" s="25"/>
      <c r="E604" s="25"/>
      <c r="F604" s="25"/>
      <c r="G604" s="25"/>
      <c r="H604" s="25"/>
      <c r="I604" s="25"/>
      <c r="J604" s="25"/>
      <c r="K604" s="8"/>
    </row>
    <row r="605" spans="1:11" ht="15.6" x14ac:dyDescent="0.3">
      <c r="A605" s="45" t="s">
        <v>405</v>
      </c>
      <c r="B605" s="44"/>
      <c r="C605" s="44"/>
      <c r="D605" s="44"/>
      <c r="K605" s="10"/>
    </row>
    <row r="606" spans="1:11" ht="15" thickBot="1" x14ac:dyDescent="0.35">
      <c r="A606" s="9"/>
      <c r="K606" s="10"/>
    </row>
    <row r="607" spans="1:11" ht="15" thickBot="1" x14ac:dyDescent="0.35">
      <c r="A607" s="27" t="s">
        <v>404</v>
      </c>
      <c r="B607" s="37" t="s">
        <v>417</v>
      </c>
      <c r="K607" s="10"/>
    </row>
    <row r="608" spans="1:11" x14ac:dyDescent="0.3">
      <c r="A608" s="31" t="s">
        <v>367</v>
      </c>
      <c r="B608" s="38">
        <v>465.04250000000002</v>
      </c>
      <c r="K608" s="10"/>
    </row>
    <row r="609" spans="1:11" x14ac:dyDescent="0.3">
      <c r="A609" s="32" t="s">
        <v>314</v>
      </c>
      <c r="B609" s="41">
        <v>140.45666666666668</v>
      </c>
      <c r="K609" s="10"/>
    </row>
    <row r="610" spans="1:11" x14ac:dyDescent="0.3">
      <c r="A610" s="32" t="s">
        <v>340</v>
      </c>
      <c r="B610" s="41">
        <v>100.94666666666667</v>
      </c>
      <c r="K610" s="10"/>
    </row>
    <row r="611" spans="1:11" x14ac:dyDescent="0.3">
      <c r="A611" s="32" t="s">
        <v>90</v>
      </c>
      <c r="B611" s="41">
        <v>65.185555555555567</v>
      </c>
      <c r="K611" s="10"/>
    </row>
    <row r="612" spans="1:11" x14ac:dyDescent="0.3">
      <c r="A612" s="32" t="s">
        <v>152</v>
      </c>
      <c r="B612" s="41">
        <v>61.312222222222218</v>
      </c>
      <c r="K612" s="10"/>
    </row>
    <row r="613" spans="1:11" x14ac:dyDescent="0.3">
      <c r="A613" s="32" t="s">
        <v>138</v>
      </c>
      <c r="B613" s="41">
        <v>52.16</v>
      </c>
      <c r="K613" s="10"/>
    </row>
    <row r="614" spans="1:11" x14ac:dyDescent="0.3">
      <c r="A614" s="32" t="s">
        <v>332</v>
      </c>
      <c r="B614" s="41">
        <v>50.646666666666668</v>
      </c>
      <c r="K614" s="10"/>
    </row>
    <row r="615" spans="1:11" x14ac:dyDescent="0.3">
      <c r="A615" s="32" t="s">
        <v>342</v>
      </c>
      <c r="B615" s="41">
        <v>44.116666666666667</v>
      </c>
      <c r="K615" s="10"/>
    </row>
    <row r="616" spans="1:11" x14ac:dyDescent="0.3">
      <c r="A616" s="32" t="s">
        <v>58</v>
      </c>
      <c r="B616" s="41">
        <v>40.130000000000003</v>
      </c>
      <c r="K616" s="10"/>
    </row>
    <row r="617" spans="1:11" ht="15" thickBot="1" x14ac:dyDescent="0.35">
      <c r="A617" s="33" t="s">
        <v>72</v>
      </c>
      <c r="B617" s="41">
        <v>35.987777777777779</v>
      </c>
      <c r="K617" s="10"/>
    </row>
    <row r="618" spans="1:11" ht="15" thickBot="1" x14ac:dyDescent="0.35">
      <c r="A618" s="34" t="s">
        <v>389</v>
      </c>
      <c r="B618" s="42">
        <v>84.360615384615386</v>
      </c>
      <c r="K618" s="10"/>
    </row>
    <row r="619" spans="1:11" x14ac:dyDescent="0.3">
      <c r="A619" s="9"/>
      <c r="K619" s="10"/>
    </row>
    <row r="620" spans="1:11" ht="15" thickBot="1" x14ac:dyDescent="0.35">
      <c r="A620" s="11"/>
      <c r="B620" s="19"/>
      <c r="C620" s="19"/>
      <c r="D620" s="19"/>
      <c r="E620" s="19"/>
      <c r="F620" s="19"/>
      <c r="G620" s="19"/>
      <c r="H620" s="19"/>
      <c r="I620" s="19"/>
      <c r="J620" s="19"/>
      <c r="K620" s="12"/>
    </row>
    <row r="621" spans="1:11" x14ac:dyDescent="0.3">
      <c r="F621" s="17"/>
    </row>
    <row r="622" spans="1:11" ht="15.6" x14ac:dyDescent="0.3">
      <c r="A622" s="44" t="s">
        <v>407</v>
      </c>
      <c r="B622" s="44"/>
      <c r="C622" s="44"/>
      <c r="D622" s="44"/>
    </row>
    <row r="624" spans="1:11" x14ac:dyDescent="0.3">
      <c r="A624" s="15" t="s">
        <v>404</v>
      </c>
      <c r="B624" t="s">
        <v>390</v>
      </c>
      <c r="C624" t="s">
        <v>408</v>
      </c>
      <c r="D624" t="s">
        <v>409</v>
      </c>
      <c r="E624" t="s">
        <v>410</v>
      </c>
      <c r="F624" t="s">
        <v>411</v>
      </c>
      <c r="G624" t="s">
        <v>406</v>
      </c>
    </row>
    <row r="625" spans="1:7" x14ac:dyDescent="0.3">
      <c r="A625" s="16" t="s">
        <v>30</v>
      </c>
      <c r="B625" s="18">
        <v>5688646440928.7773</v>
      </c>
      <c r="C625" s="18">
        <v>1481000000000</v>
      </c>
      <c r="D625" s="18">
        <v>25410516.300000001</v>
      </c>
      <c r="E625" s="17">
        <v>2.3365177067000005</v>
      </c>
      <c r="F625" s="17">
        <v>44.050463686000001</v>
      </c>
      <c r="G625" s="17">
        <v>7.9188888888888904</v>
      </c>
    </row>
    <row r="626" spans="1:7" x14ac:dyDescent="0.3">
      <c r="A626" s="16" t="s">
        <v>38</v>
      </c>
      <c r="B626" s="18">
        <v>6708682393424.8916</v>
      </c>
      <c r="C626" s="18">
        <v>555800000000</v>
      </c>
      <c r="D626" s="18">
        <v>11534037.5</v>
      </c>
      <c r="E626" s="17">
        <v>1.6608083919999999</v>
      </c>
      <c r="F626" s="17">
        <v>166.51700020000001</v>
      </c>
      <c r="G626" s="17">
        <v>4.905555555555555</v>
      </c>
    </row>
    <row r="627" spans="1:7" x14ac:dyDescent="0.3">
      <c r="A627" s="16" t="s">
        <v>74</v>
      </c>
      <c r="B627" s="18">
        <v>9479798745702.8242</v>
      </c>
      <c r="C627" s="18">
        <v>1856000000000</v>
      </c>
      <c r="D627" s="18">
        <v>37958154.200000003</v>
      </c>
      <c r="E627" s="17">
        <v>1.8980818253999998</v>
      </c>
      <c r="F627" s="17">
        <v>65.145328578999994</v>
      </c>
      <c r="G627" s="17">
        <v>4.4644444444444451</v>
      </c>
    </row>
    <row r="628" spans="1:7" x14ac:dyDescent="0.3">
      <c r="A628" s="16" t="s">
        <v>78</v>
      </c>
      <c r="B628" s="18">
        <v>56150271331178</v>
      </c>
      <c r="C628" s="18">
        <v>15250000000000</v>
      </c>
      <c r="D628" s="18">
        <v>1402969000</v>
      </c>
      <c r="E628" s="17">
        <v>5.7889784133000006</v>
      </c>
      <c r="F628" s="17">
        <v>36.736245050999997</v>
      </c>
      <c r="G628" s="17">
        <v>5.6066666666666656</v>
      </c>
    </row>
    <row r="629" spans="1:7" x14ac:dyDescent="0.3">
      <c r="A629" s="16" t="s">
        <v>154</v>
      </c>
      <c r="B629" s="18">
        <v>11457708490008.242</v>
      </c>
      <c r="C629" s="18">
        <v>355800000000</v>
      </c>
      <c r="D629" s="18">
        <v>7428200</v>
      </c>
      <c r="E629" s="17">
        <v>1.1537902917000002</v>
      </c>
      <c r="F629" s="17">
        <v>371.91757108000002</v>
      </c>
      <c r="G629" s="17">
        <v>2.9144444444444439</v>
      </c>
    </row>
    <row r="630" spans="1:7" x14ac:dyDescent="0.3">
      <c r="A630" s="16" t="s">
        <v>128</v>
      </c>
      <c r="B630" s="18">
        <v>11290720218252.639</v>
      </c>
      <c r="C630" s="18">
        <v>2763000000000</v>
      </c>
      <c r="D630" s="18">
        <v>67528312.200000003</v>
      </c>
      <c r="E630" s="17">
        <v>1.2471893375000001</v>
      </c>
      <c r="F630" s="17">
        <v>66.279922706000008</v>
      </c>
      <c r="G630" s="17">
        <v>3.3722222222222227</v>
      </c>
    </row>
    <row r="631" spans="1:7" x14ac:dyDescent="0.3">
      <c r="A631" s="16" t="s">
        <v>166</v>
      </c>
      <c r="B631" s="18">
        <v>6907298651582.3418</v>
      </c>
      <c r="C631" s="18">
        <v>2893000000000</v>
      </c>
      <c r="D631" s="18">
        <v>1392656576</v>
      </c>
      <c r="E631" s="17">
        <v>5.9203967317000004</v>
      </c>
      <c r="F631" s="17">
        <v>43.238904461000004</v>
      </c>
      <c r="G631" s="17">
        <v>6.7255555555555553</v>
      </c>
    </row>
    <row r="632" spans="1:7" x14ac:dyDescent="0.3">
      <c r="A632" s="16" t="s">
        <v>178</v>
      </c>
      <c r="B632" s="18">
        <v>11276199187725.826</v>
      </c>
      <c r="C632" s="18">
        <v>2072000000000</v>
      </c>
      <c r="D632" s="18">
        <v>59547599.299999997</v>
      </c>
      <c r="E632" s="17">
        <v>1.1571251182999998</v>
      </c>
      <c r="F632" s="17">
        <v>59.937342055999999</v>
      </c>
      <c r="G632" s="17">
        <v>4.7333333333333334</v>
      </c>
    </row>
    <row r="633" spans="1:7" x14ac:dyDescent="0.3">
      <c r="A633" s="16" t="s">
        <v>184</v>
      </c>
      <c r="B633" s="18">
        <v>13964321407022.039</v>
      </c>
      <c r="C633" s="18">
        <v>4852000000000</v>
      </c>
      <c r="D633" s="18">
        <v>126019260.3</v>
      </c>
      <c r="E633" s="17">
        <v>0.57473258639999991</v>
      </c>
      <c r="F633" s="17">
        <v>36.848788449999994</v>
      </c>
      <c r="G633" s="17">
        <v>1.6711111111111112</v>
      </c>
    </row>
    <row r="634" spans="1:7" x14ac:dyDescent="0.3">
      <c r="A634" s="16" t="s">
        <v>232</v>
      </c>
      <c r="B634" s="18">
        <v>9564158578322</v>
      </c>
      <c r="C634" s="18">
        <v>1360000000000</v>
      </c>
      <c r="D634" s="18">
        <v>126072149.2</v>
      </c>
      <c r="E634" s="17">
        <v>1.3787515486999999</v>
      </c>
      <c r="F634" s="17">
        <v>77.861735434000011</v>
      </c>
      <c r="G634" s="17">
        <v>5.9066666666666654</v>
      </c>
    </row>
    <row r="635" spans="1:7" x14ac:dyDescent="0.3">
      <c r="A635" s="16" t="s">
        <v>268</v>
      </c>
      <c r="B635" s="18">
        <v>12117280031086.803</v>
      </c>
      <c r="C635" s="18">
        <v>966300000000</v>
      </c>
      <c r="D635" s="18">
        <v>17422415.899999999</v>
      </c>
      <c r="E635" s="17">
        <v>1.9777165944000004</v>
      </c>
      <c r="F635" s="17">
        <v>161.36554974999999</v>
      </c>
      <c r="G635" s="17">
        <v>5.1177777777777775</v>
      </c>
    </row>
    <row r="636" spans="1:7" x14ac:dyDescent="0.3">
      <c r="A636" s="16" t="s">
        <v>288</v>
      </c>
      <c r="B636" s="18">
        <v>5651843935430</v>
      </c>
      <c r="C636" s="18">
        <v>640000000000</v>
      </c>
      <c r="D636" s="18">
        <v>37443719.200000003</v>
      </c>
      <c r="E636" s="17">
        <v>3.6866817009000004</v>
      </c>
      <c r="F636" s="17">
        <v>103.72498062100001</v>
      </c>
      <c r="G636" s="17">
        <v>8.1355555555555554</v>
      </c>
    </row>
    <row r="637" spans="1:7" x14ac:dyDescent="0.3">
      <c r="A637" s="16" t="s">
        <v>198</v>
      </c>
      <c r="B637" s="18">
        <v>11796103152456</v>
      </c>
      <c r="C637" s="18">
        <v>1760000000000</v>
      </c>
      <c r="D637" s="18">
        <v>51568657.200000003</v>
      </c>
      <c r="E637" s="17">
        <v>2.5241845611000007</v>
      </c>
      <c r="F637" s="17">
        <v>76.297153421000004</v>
      </c>
      <c r="G637" s="17">
        <v>3.5344444444444441</v>
      </c>
    </row>
    <row r="638" spans="1:7" x14ac:dyDescent="0.3">
      <c r="A638" s="16" t="s">
        <v>300</v>
      </c>
      <c r="B638" s="18">
        <v>5465055244812.209</v>
      </c>
      <c r="C638" s="18">
        <v>1554285714285.7144</v>
      </c>
      <c r="D638" s="18">
        <v>145113249</v>
      </c>
      <c r="E638" s="17">
        <v>1.1807015700000001</v>
      </c>
      <c r="F638" s="17">
        <v>48.588107311428573</v>
      </c>
      <c r="G638" s="17">
        <v>8.67</v>
      </c>
    </row>
    <row r="639" spans="1:7" x14ac:dyDescent="0.3">
      <c r="A639" s="16" t="s">
        <v>304</v>
      </c>
      <c r="B639" s="18">
        <v>5303675973717.5078</v>
      </c>
      <c r="C639" s="18">
        <v>936000000000</v>
      </c>
      <c r="D639" s="18">
        <v>31552314.300000001</v>
      </c>
      <c r="E639" s="17">
        <v>3.0326736328999999</v>
      </c>
      <c r="F639" s="17">
        <v>56.789929884000003</v>
      </c>
      <c r="G639" s="17">
        <v>8.8911111111111101</v>
      </c>
    </row>
    <row r="640" spans="1:7" x14ac:dyDescent="0.3">
      <c r="A640" s="16" t="s">
        <v>310</v>
      </c>
      <c r="B640" s="18">
        <v>8394062579129.5576</v>
      </c>
      <c r="C640" s="18">
        <v>411900000000</v>
      </c>
      <c r="D640" s="18">
        <v>5682768.5999999996</v>
      </c>
      <c r="E640" s="17">
        <v>3.2894234371000004</v>
      </c>
      <c r="F640" s="17">
        <v>322.10689229000002</v>
      </c>
      <c r="G640" s="17">
        <v>4.3533333333333335</v>
      </c>
    </row>
    <row r="641" spans="1:7" x14ac:dyDescent="0.3">
      <c r="A641" s="16" t="s">
        <v>118</v>
      </c>
      <c r="B641" s="18">
        <v>7015475013415.1904</v>
      </c>
      <c r="C641" s="18">
        <v>1415000000000</v>
      </c>
      <c r="D641" s="18">
        <v>47314290.100000001</v>
      </c>
      <c r="E641" s="17">
        <v>2.2258157252999999</v>
      </c>
      <c r="F641" s="17">
        <v>67.249814932000007</v>
      </c>
      <c r="G641" s="17">
        <v>4.695555555555555</v>
      </c>
    </row>
    <row r="642" spans="1:7" x14ac:dyDescent="0.3">
      <c r="A642" s="16" t="s">
        <v>22</v>
      </c>
      <c r="B642" s="18">
        <v>7065680488082.4277</v>
      </c>
      <c r="C642" s="18">
        <v>428333333333.33331</v>
      </c>
      <c r="D642" s="18">
        <v>9443440.1111111119</v>
      </c>
      <c r="E642" s="17">
        <v>2.4630802766666666</v>
      </c>
      <c r="F642" s="17">
        <v>173.63497511111112</v>
      </c>
      <c r="G642" s="17">
        <v>9.1675000000000004</v>
      </c>
    </row>
    <row r="643" spans="1:7" x14ac:dyDescent="0.3">
      <c r="A643" s="16" t="s">
        <v>132</v>
      </c>
      <c r="B643" s="18">
        <v>9459136309212.1582</v>
      </c>
      <c r="C643" s="18">
        <v>3035000000000</v>
      </c>
      <c r="D643" s="18">
        <v>66873300</v>
      </c>
      <c r="E643" s="17">
        <v>1.5174624260000003</v>
      </c>
      <c r="F643" s="17">
        <v>62.479647755999999</v>
      </c>
      <c r="G643" s="17">
        <v>1.8577777777777778</v>
      </c>
    </row>
    <row r="644" spans="1:7" x14ac:dyDescent="0.3">
      <c r="A644" s="16" t="s">
        <v>357</v>
      </c>
      <c r="B644" s="18">
        <v>34271932503086</v>
      </c>
      <c r="C644" s="18">
        <v>22720000000000</v>
      </c>
      <c r="D644" s="18">
        <v>330596629.69999999</v>
      </c>
      <c r="E644" s="17">
        <v>2.5095365360000002</v>
      </c>
      <c r="F644" s="17">
        <v>26.019587310000002</v>
      </c>
      <c r="G644" s="17">
        <v>4.1033333333333335</v>
      </c>
    </row>
    <row r="645" spans="1:7" x14ac:dyDescent="0.3">
      <c r="A645" s="16" t="s">
        <v>389</v>
      </c>
      <c r="B645" s="18">
        <v>249028050674575.56</v>
      </c>
      <c r="C645" s="18">
        <v>3407974489795.9185</v>
      </c>
      <c r="D645" s="18">
        <v>201819197.46938777</v>
      </c>
      <c r="E645" s="17">
        <v>2.394037240479594</v>
      </c>
      <c r="F645" s="17">
        <v>103.81887808086739</v>
      </c>
      <c r="G645" s="17">
        <v>5.2586931818181828</v>
      </c>
    </row>
    <row r="812" spans="1:4" ht="15.6" x14ac:dyDescent="0.3">
      <c r="A812" s="44" t="s">
        <v>412</v>
      </c>
      <c r="B812" s="44"/>
      <c r="C812" s="44"/>
      <c r="D812" s="44"/>
    </row>
    <row r="840" spans="1:4" ht="15.6" x14ac:dyDescent="0.3">
      <c r="A840" s="44" t="s">
        <v>413</v>
      </c>
      <c r="B840" s="44"/>
      <c r="C840" s="44"/>
      <c r="D840" s="44"/>
    </row>
    <row r="842" spans="1:4" x14ac:dyDescent="0.3">
      <c r="A842" s="23" t="s">
        <v>414</v>
      </c>
      <c r="B842" s="23" t="s">
        <v>383</v>
      </c>
      <c r="C842" s="23" t="s">
        <v>415</v>
      </c>
      <c r="D842" s="23" t="s">
        <v>416</v>
      </c>
    </row>
    <row r="843" spans="1:4" x14ac:dyDescent="0.3">
      <c r="A843" s="22">
        <f>SUM(Trade_Data_Table[total_exports_usd])</f>
        <v>339428007660782.25</v>
      </c>
      <c r="B843" s="4">
        <f>COUNTA(_xlfn.UNIQUE(Trade_Data_Table[reporter_iso3]))</f>
        <v>182</v>
      </c>
      <c r="C843" s="24">
        <f>AVERAGE(Trade_Data_Table[gdp_growth_annual_pct])</f>
        <v>2.8579205385523223</v>
      </c>
      <c r="D843" s="24">
        <f>AVERAGE(Trade_Data_Table[trade_pct_of_gdp])</f>
        <v>91.398215698124602</v>
      </c>
    </row>
  </sheetData>
  <sheetProtection sort="0" autoFilter="0" pivotTables="0"/>
  <mergeCells count="9">
    <mergeCell ref="A622:D622"/>
    <mergeCell ref="A812:D812"/>
    <mergeCell ref="A840:D840"/>
    <mergeCell ref="A2:D2"/>
    <mergeCell ref="A20:D20"/>
    <mergeCell ref="A37:D37"/>
    <mergeCell ref="A227:D227"/>
    <mergeCell ref="A416:D416"/>
    <mergeCell ref="A605:D605"/>
  </mergeCells>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1F8BB-9759-47C0-98DB-4AF8FA311CCF}">
  <sheetPr>
    <tabColor rgb="FFF5FB79"/>
  </sheetPr>
  <dimension ref="A1"/>
  <sheetViews>
    <sheetView showGridLines="0" showRowColHeaders="0" tabSelected="1" zoomScale="84" zoomScaleNormal="90" workbookViewId="0">
      <selection activeCell="AE29" sqref="AE29"/>
    </sheetView>
  </sheetViews>
  <sheetFormatPr defaultRowHeight="14.4" x14ac:dyDescent="0.3"/>
  <sheetData/>
  <pageMargins left="0.7" right="0.7" top="0.75" bottom="0.75" header="0.3" footer="0.3"/>
  <pageSetup paperSize="8" fitToWidth="0" fitToHeight="0"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6072E5-41F0-4A21-BD6C-E7FDB9605F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Data_Import</vt:lpstr>
      <vt:lpstr>Data_Quality_Check</vt:lpstr>
      <vt:lpstr>Pivot_Tables</vt:lpstr>
      <vt:lpstr>Executive_Dashboard</vt:lpstr>
      <vt:lpstr>XEW4A1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Mohd Wasiq Khan [MCA - 2023]</dc:creator>
  <cp:lastModifiedBy>Mohd Wasiq Khan [MCA - 2023]</cp:lastModifiedBy>
  <dcterms:created xsi:type="dcterms:W3CDTF">2026-07-14T21:55:13Z</dcterms:created>
  <dcterms:modified xsi:type="dcterms:W3CDTF">2026-07-30T19:49:20Z</dcterms:modified>
</cp:coreProperties>
</file>